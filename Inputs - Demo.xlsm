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FinES\STAGE\2019\Jacques\Fichiers demo\"/>
    </mc:Choice>
  </mc:AlternateContent>
  <bookViews>
    <workbookView xWindow="360" yWindow="1350" windowWidth="21840" windowHeight="6420" activeTab="9"/>
  </bookViews>
  <sheets>
    <sheet name="MOS" sheetId="6" r:id="rId1"/>
    <sheet name="Inputs" sheetId="4" r:id="rId2"/>
    <sheet name="Listes" sheetId="5" state="hidden" r:id="rId3"/>
    <sheet name="Dates" sheetId="7" r:id="rId4"/>
    <sheet name="Sous-Jacent" sheetId="14" r:id="rId5"/>
    <sheet name="Graphe" sheetId="8" r:id="rId6"/>
    <sheet name="Perf Historique" sheetId="10" r:id="rId7"/>
    <sheet name="TRA" sheetId="9" r:id="rId8"/>
    <sheet name="TRA Distribuant" sheetId="13" state="hidden" r:id="rId9"/>
    <sheet name="Formes" sheetId="12" r:id="rId10"/>
  </sheets>
  <functionGroups builtInGroupCount="18"/>
  <definedNames>
    <definedName name="Action">'Sous-Jacent'!#REF!</definedName>
    <definedName name="Action1">Inputs!#REF!</definedName>
    <definedName name="Arangeur">Inputs!$B$15</definedName>
    <definedName name="Arrangeur">Inputs!#REF!</definedName>
    <definedName name="Barriere">Inputs!#REF!</definedName>
    <definedName name="Barriere_phoenix">Inputs!#REF!</definedName>
    <definedName name="Base1">'Perf Historique'!$E$32</definedName>
    <definedName name="Base2">'Perf Historique'!$I$32</definedName>
    <definedName name="Base3">'Perf Historique'!$M$32</definedName>
    <definedName name="Bounce_effect">Inputs!$B$11</definedName>
    <definedName name="Cas_defavorable">'TRA Distribuant'!$D$7</definedName>
    <definedName name="Cas_favorable">'TRA Distribuant'!$B$7</definedName>
    <definedName name="Cas_intermediaire">'TRA Distribuant'!$F$7</definedName>
    <definedName name="Cloture">'Perf Historique'!#REF!</definedName>
    <definedName name="Cloture1">'Perf Historique'!$D$32</definedName>
    <definedName name="Cloture2">'Perf Historique'!$H$32</definedName>
    <definedName name="Cloture3">'Perf Historique'!$L$32</definedName>
    <definedName name="Code_bloomberg">'Sous-Jacent'!$F$3</definedName>
    <definedName name="Code_bloomberg1">Inputs!#REF!</definedName>
    <definedName name="Commission_surveillance">Inputs!#REF!</definedName>
    <definedName name="Commissions_relatives">Inputs!$B$43</definedName>
    <definedName name="Constatation_finale">Inputs!$B$30</definedName>
    <definedName name="Constatation_initiale">Inputs!$B$29</definedName>
    <definedName name="Coupon">Inputs!$B$41</definedName>
    <definedName name="Date_emission">Inputs!$B$27</definedName>
    <definedName name="Date_fin_commercialisation">Inputs!$B$28</definedName>
    <definedName name="Date_prospectus">Inputs!$B$49</definedName>
    <definedName name="Date_strike">Inputs!$B$31</definedName>
    <definedName name="Date_visa">Inputs!#REF!</definedName>
    <definedName name="Dated">TRA!$F$7</definedName>
    <definedName name="Debut_rebond">Inputs!#REF!</definedName>
    <definedName name="Derniere_date_observation_Coupon_Conditionnel">Inputs!#REF!</definedName>
    <definedName name="Derniere_date_paiement_Coupon_Conditionnel">Inputs!#REF!</definedName>
    <definedName name="Derniere_NDR">Inputs!$B$36</definedName>
    <definedName name="Description">'Sous-Jacent'!$D$3</definedName>
    <definedName name="Description1">Inputs!#REF!</definedName>
    <definedName name="Devise">Inputs!$B$25</definedName>
    <definedName name="DMax">'TRA Distribuant'!$E$10</definedName>
    <definedName name="Droit_applicable">Inputs!$B$39</definedName>
    <definedName name="Echeance">Inputs!$B$37</definedName>
    <definedName name="Emetteur">Inputs!$B$14</definedName>
    <definedName name="End_date">'Perf Historique'!$B$3</definedName>
    <definedName name="Evaluation">Dates!$B$5</definedName>
    <definedName name="Evaluation_coupon">Dates!#REF!</definedName>
    <definedName name="Evaluation_f">Inputs!$B$34</definedName>
    <definedName name="Evaluation_i">Inputs!$B$33</definedName>
    <definedName name="Evaluation1">Dates!$B$6</definedName>
    <definedName name="Field">'Perf Historique'!$B$1</definedName>
    <definedName name="Fin_rebond">Inputs!#REF!</definedName>
    <definedName name="Flux_bruts">'TRA Distribuant'!$A$17</definedName>
    <definedName name="Flux_nets">'TRA Distribuant'!$A$18</definedName>
    <definedName name="FMax">'TRA Distribuant'!$C$10</definedName>
    <definedName name="Forme_juridique">Inputs!$B$12</definedName>
    <definedName name="Garant">Inputs!$B$16</definedName>
    <definedName name="Graphe_dates1">Graphe!$B$67</definedName>
    <definedName name="Graphe_dates2">Graphe!$B$180</definedName>
    <definedName name="Graphe_dates3">Graphe!$B$293</definedName>
    <definedName name="Graphe_dates4">Graphe!$B$406</definedName>
    <definedName name="Graphe_f1">Graphe!$G$67</definedName>
    <definedName name="Graphe_f2">Graphe!$G$180</definedName>
    <definedName name="Graphe_f3">Graphe!$G$293</definedName>
    <definedName name="Graphe_f4">Graphe!$G$406</definedName>
    <definedName name="Graphe_niveau1">Graphe!$F$67</definedName>
    <definedName name="Graphe_niveau2">Graphe!$F$180</definedName>
    <definedName name="Graphe_niveau3">Graphe!$F$293</definedName>
    <definedName name="Graphe_niveau4">Graphe!$F$406</definedName>
    <definedName name="Graphe_seuil_perte">Graphe!$C$2</definedName>
    <definedName name="Graphe_seuil_phoenix1">Graphe!$E$67</definedName>
    <definedName name="Graphe_seuil_phoenix2">Graphe!$E$180</definedName>
    <definedName name="Graphe_seuil_phoenix3">Graphe!$E$293</definedName>
    <definedName name="Graphe_seuil_phoenix4">Graphe!$E$406</definedName>
    <definedName name="Graphe_seuil1">Graphe!$D$67</definedName>
    <definedName name="Graphe_seuil2">Graphe!$D$180</definedName>
    <definedName name="Graphe_seuil3">Graphe!$D$293</definedName>
    <definedName name="Graphe_seuil4">Graphe!$D$406</definedName>
    <definedName name="Groupe">Inputs!#REF!</definedName>
    <definedName name="Horizon">Inputs!$B$40</definedName>
    <definedName name="Hyperlien">'Sous-Jacent'!$E$3</definedName>
    <definedName name="IMax">'TRA Distribuant'!$G$10</definedName>
    <definedName name="Indice">'Sous-Jacent'!$C$3</definedName>
    <definedName name="Indice_base">Inputs!$B$46</definedName>
    <definedName name="Indice1">'Sous-Jacent'!#REF!</definedName>
    <definedName name="Inputs">Inputs!#REF!</definedName>
    <definedName name="Inputs_frais_gestion">Inputs!$B$44</definedName>
    <definedName name="Inputs_prix_emission">Inputs!$B$26</definedName>
    <definedName name="Isin">Inputs!$B$13</definedName>
    <definedName name="Lien_site">Inputs!#REF!</definedName>
    <definedName name="Lieu_cotation">Inputs!$B$38</definedName>
    <definedName name="Marqueur1">Graphe!$C$67</definedName>
    <definedName name="Marqueur2">Graphe!$C$180</definedName>
    <definedName name="Marqueur3">Graphe!$C$293</definedName>
    <definedName name="Marqueur4">Graphe!$C$406</definedName>
    <definedName name="Max_defavorable">'TRA Distribuant'!$E$8</definedName>
    <definedName name="Max_favorable">'TRA Distribuant'!$C$8</definedName>
    <definedName name="Max_intermédiaire">'TRA Distribuant'!$G$8</definedName>
    <definedName name="Min_defavorable">'TRA Distribuant'!$D$8</definedName>
    <definedName name="Min_favorable">'TRA Distribuant'!$B$8</definedName>
    <definedName name="Min_intermedaire">'TRA Distribuant'!$F$8</definedName>
    <definedName name="Min_intermédiaire">'TRA Distribuant'!$F$8</definedName>
    <definedName name="Minimum">'Perf Historique'!$J$32</definedName>
    <definedName name="Montant_minimum">Inputs!$B$24</definedName>
    <definedName name="Nbre_periode_écoulée">TRA!$F$24</definedName>
    <definedName name="Nbre_ss_jacent">Inputs!$B$48</definedName>
    <definedName name="Ndr">Inputs!#REF!</definedName>
    <definedName name="Niveau_seuil">Dates!$E$5</definedName>
    <definedName name="Niveau_seuil_phoenix">Dates!$D$5</definedName>
    <definedName name="Niveau_seuil_rebond">Inputs!#REF!</definedName>
    <definedName name="Niveau1">Dates!#REF!</definedName>
    <definedName name="Nominal">Inputs!$B$21</definedName>
    <definedName name="Num_prospectus">Inputs!$B$50</definedName>
    <definedName name="Numero_visa">Inputs!#REF!</definedName>
    <definedName name="Observation">Inputs!$B$47</definedName>
    <definedName name="OBSERVATIONS">Listes!$B$4:$B$12</definedName>
    <definedName name="Partie_valo">Inputs!#REF!</definedName>
    <definedName name="Perf_dates">'Perf Historique'!#REF!</definedName>
    <definedName name="Perf_dates1">'Perf Historique'!$C$32</definedName>
    <definedName name="Perf_dates2">'Perf Historique'!$G$32</definedName>
    <definedName name="Perf_dates3">'Perf Historique'!$K$32</definedName>
    <definedName name="Perf_Performance">'Perf Historique'!#REF!</definedName>
    <definedName name="Periode">Inputs!$B$32</definedName>
    <definedName name="Periode_exacte">TRA!$B$13</definedName>
    <definedName name="PERIODICITE">Listes!$B$36:$B$40</definedName>
    <definedName name="Plafonnement">'TRA Distribuant'!$H$8</definedName>
    <definedName name="PMax">'TRA Distribuant'!$H$10</definedName>
    <definedName name="Premiere_date_observation_Coupon_Conditionnel">Inputs!#REF!</definedName>
    <definedName name="Premiere_date_paiement_Coupon_Conditionnel">Inputs!#REF!</definedName>
    <definedName name="Premiere_NDR">Inputs!$B$35</definedName>
    <definedName name="Produit">Inputs!$B$9</definedName>
    <definedName name="Rating">Inputs!#REF!</definedName>
    <definedName name="Rating_DBRS">Inputs!$B$20</definedName>
    <definedName name="Rating_fitch">Inputs!$B$19</definedName>
    <definedName name="Rating_moodys">Inputs!$B$17</definedName>
    <definedName name="Rating_sp">Inputs!$B$18</definedName>
    <definedName name="Rebond">Inputs!#REF!</definedName>
    <definedName name="Remboursement">Dates!$C$5</definedName>
    <definedName name="Remboursement_coupon">Dates!#REF!</definedName>
    <definedName name="Remboursement1">Dates!$C$6</definedName>
    <definedName name="Scenario_maturite">Inputs!$B$53</definedName>
    <definedName name="Seuil_perte">Inputs!$B$52</definedName>
    <definedName name="Seuil_phoenix">Inputs!#REF!</definedName>
    <definedName name="Societe_valo">Inputs!#REF!</definedName>
    <definedName name="Societe_valorisation">Inputs!#REF!</definedName>
    <definedName name="Sous_jacent">'Sous-Jacent'!$B$4</definedName>
    <definedName name="Sous_Jacent_1">'Sous-Jacent'!$B$4</definedName>
    <definedName name="Souscripteur_juridique">Inputs!$B$22</definedName>
    <definedName name="Start_date">'Perf Historique'!$B$2</definedName>
    <definedName name="TauxRA1">TRA!$F$16</definedName>
    <definedName name="TauxRA2">TRA!$G$16</definedName>
    <definedName name="TauxRA3">TRA!$H$16</definedName>
    <definedName name="TauxRA4">TRA!$I$16</definedName>
    <definedName name="TauxRA5">TRA!$J$16</definedName>
    <definedName name="TauxRA6">TRA!$K$16</definedName>
    <definedName name="TauxRA7">TRA!$L$16</definedName>
    <definedName name="Tickers">'Perf Historique'!#REF!</definedName>
    <definedName name="Tickers1">'Perf Historique'!$B$32</definedName>
    <definedName name="Tickers2">'Perf Historique'!$F$32</definedName>
    <definedName name="Tickers3">'Perf Historique'!$J$32</definedName>
    <definedName name="TRA_brut">TRA!$B$15</definedName>
    <definedName name="TRA_date_remboursement">TRA!$B$10</definedName>
    <definedName name="TRA_dis_dates">'TRA Distribuant'!$A$16</definedName>
    <definedName name="TRA_frais_gestion">TRA!$F$9</definedName>
    <definedName name="TRA_net">TRA!$B$16</definedName>
    <definedName name="TRA_prix_emission">TRA!$F$6</definedName>
    <definedName name="TRA_valeur_remboursement">TRA!$B$11</definedName>
    <definedName name="TRI_brut">'TRA Distribuant'!$A$9</definedName>
    <definedName name="TRI_net">'TRA Distribuant'!$A$10</definedName>
    <definedName name="TYPE">Listes!$B$21:$B$23</definedName>
    <definedName name="Type_paiement">Inputs!#REF!</definedName>
    <definedName name="Type_produit">Inputs!$B$10</definedName>
    <definedName name="Type_sous_jacent">Inputs!$B$45</definedName>
    <definedName name="TYPE_SS_JACENT">Listes!$C$36:$C$38</definedName>
    <definedName name="Valeur_nominale">Inputs!$B$23</definedName>
    <definedName name="Valo">Inputs!#REF!</definedName>
    <definedName name="Valo_reuters">Inputs!#REF!</definedName>
    <definedName name="Visa_approuve">Inputs!$B$51</definedName>
    <definedName name="Zone_marche">Inputs!$B$42</definedName>
  </definedNames>
  <calcPr calcId="162913"/>
</workbook>
</file>

<file path=xl/calcChain.xml><?xml version="1.0" encoding="utf-8"?>
<calcChain xmlns="http://schemas.openxmlformats.org/spreadsheetml/2006/main">
  <c r="L11" i="9" l="1"/>
  <c r="L10" i="9"/>
  <c r="G10" i="9" l="1"/>
  <c r="B20" i="13" l="1"/>
  <c r="B19" i="13"/>
  <c r="B15" i="13" l="1"/>
  <c r="F7" i="9" l="1"/>
  <c r="B40" i="4" l="1"/>
  <c r="K10" i="9" l="1"/>
  <c r="J10" i="9" l="1"/>
  <c r="I10" i="9"/>
  <c r="H10" i="9"/>
  <c r="F10" i="9"/>
  <c r="F9" i="9"/>
  <c r="F6" i="9"/>
</calcChain>
</file>

<file path=xl/sharedStrings.xml><?xml version="1.0" encoding="utf-8"?>
<sst xmlns="http://schemas.openxmlformats.org/spreadsheetml/2006/main" count="4787" uniqueCount="468">
  <si>
    <t>EMETTEUR</t>
  </si>
  <si>
    <t>CODE BLOOMBERG</t>
  </si>
  <si>
    <t>FORME JURIDIQUE</t>
  </si>
  <si>
    <t>GARANT</t>
  </si>
  <si>
    <t>ARRANGEUR</t>
  </si>
  <si>
    <t>DEVISE</t>
  </si>
  <si>
    <t>DATE EMISSION</t>
  </si>
  <si>
    <t>PERIODICITE</t>
  </si>
  <si>
    <t>LIEU DE COTATION</t>
  </si>
  <si>
    <t>DROIT APPLICABLE</t>
  </si>
  <si>
    <t>PREMIERE DATE DE REMBOURSEMENT ANTICIPE</t>
  </si>
  <si>
    <t>OBSERVATIONS</t>
  </si>
  <si>
    <t>AUTOCALL</t>
  </si>
  <si>
    <t>PHOENIX</t>
  </si>
  <si>
    <t>OBSERVATION</t>
  </si>
  <si>
    <t>SOUSCRIPTEUR 
JURIDIQUE</t>
  </si>
  <si>
    <t>DATE DE CONSTATATION 
INITIALE</t>
  </si>
  <si>
    <t>DATE DE CONSTATATION
 FINALE</t>
  </si>
  <si>
    <t>SIGNIFICATIONS</t>
  </si>
  <si>
    <t>SOUS-JACENT 1</t>
  </si>
  <si>
    <t>TYPE</t>
  </si>
  <si>
    <t>HORIZON</t>
  </si>
  <si>
    <t>ZONE DU MARCHE</t>
  </si>
  <si>
    <t>BINAIRE</t>
  </si>
  <si>
    <t>Oui</t>
  </si>
  <si>
    <t>Non</t>
  </si>
  <si>
    <t>RATING MOODY'S</t>
  </si>
  <si>
    <t>RATING S&amp;P</t>
  </si>
  <si>
    <t>RATING FITCH</t>
  </si>
  <si>
    <t>RATING DBRS</t>
  </si>
  <si>
    <t>TYPE SS-JACENT</t>
  </si>
  <si>
    <t>Action(s)</t>
  </si>
  <si>
    <t>Indice(s)</t>
  </si>
  <si>
    <t>FRAIS DE GESTION</t>
  </si>
  <si>
    <t>DATE DU PROSPECTUS</t>
  </si>
  <si>
    <t>NUMERO DU PROSPECTUS</t>
  </si>
  <si>
    <t>Cas 1</t>
  </si>
  <si>
    <t>Cas 2</t>
  </si>
  <si>
    <t>Cas 3</t>
  </si>
  <si>
    <t>Cas 4</t>
  </si>
  <si>
    <t>Cas 5</t>
  </si>
  <si>
    <t>Cas 6</t>
  </si>
  <si>
    <t>Cas 7</t>
  </si>
  <si>
    <t>Cas 8</t>
  </si>
  <si>
    <t>Cas 9</t>
  </si>
  <si>
    <t>Cas 10</t>
  </si>
  <si>
    <t>Cas 11</t>
  </si>
  <si>
    <t>Prix d'émission :</t>
  </si>
  <si>
    <t>Date de début de la période de calcul :</t>
  </si>
  <si>
    <t>Frais sur versement (up-front) :</t>
  </si>
  <si>
    <t>Frais de gestion annuels (running) :</t>
  </si>
  <si>
    <t>Date de remboursement :</t>
  </si>
  <si>
    <t>Valeur de remboursement :</t>
  </si>
  <si>
    <t>Période exact/365:</t>
  </si>
  <si>
    <t>TRA brut</t>
  </si>
  <si>
    <t>TRA net des frais de gestion</t>
  </si>
  <si>
    <t>TRA net de tous les frais</t>
  </si>
  <si>
    <t>Note :</t>
  </si>
  <si>
    <t>Le calcul fonctionne également pour un prix d'émission différent de 100%</t>
  </si>
  <si>
    <t>Cas 12</t>
  </si>
  <si>
    <t>Cas 13</t>
  </si>
  <si>
    <t>Cas 14</t>
  </si>
  <si>
    <t>Cas 15</t>
  </si>
  <si>
    <t>Cas 16</t>
  </si>
  <si>
    <t>Cas 17</t>
  </si>
  <si>
    <t>Cas 18</t>
  </si>
  <si>
    <t>Cas 19</t>
  </si>
  <si>
    <t>Cas 20</t>
  </si>
  <si>
    <t>Cas 21</t>
  </si>
  <si>
    <t>Cas 22</t>
  </si>
  <si>
    <t>Cas 23</t>
  </si>
  <si>
    <t>Cas 24</t>
  </si>
  <si>
    <t>Cas 25</t>
  </si>
  <si>
    <t>Cas 26</t>
  </si>
  <si>
    <t>Cas 27</t>
  </si>
  <si>
    <t>Cas 28</t>
  </si>
  <si>
    <t>Cas 29</t>
  </si>
  <si>
    <t>Cas 30</t>
  </si>
  <si>
    <t>Cas 31</t>
  </si>
  <si>
    <t>Cas 32</t>
  </si>
  <si>
    <t>Cas 33</t>
  </si>
  <si>
    <t>Cas 34</t>
  </si>
  <si>
    <t>Cas 35</t>
  </si>
  <si>
    <t>Cas 36</t>
  </si>
  <si>
    <t>Cas 37</t>
  </si>
  <si>
    <t>Cas 38</t>
  </si>
  <si>
    <t>Cas 39</t>
  </si>
  <si>
    <t>Cas 40</t>
  </si>
  <si>
    <t>Cas 41</t>
  </si>
  <si>
    <t>Cas 42</t>
  </si>
  <si>
    <t>Cas 43</t>
  </si>
  <si>
    <t>Cas 44</t>
  </si>
  <si>
    <t>Cas 45</t>
  </si>
  <si>
    <t>Cas 46</t>
  </si>
  <si>
    <t>Cas 47</t>
  </si>
  <si>
    <t>Cas 48</t>
  </si>
  <si>
    <t>Cas 49</t>
  </si>
  <si>
    <t>Cas 50</t>
  </si>
  <si>
    <t>Cas 51</t>
  </si>
  <si>
    <t>Cas 52</t>
  </si>
  <si>
    <t>Cas 53</t>
  </si>
  <si>
    <t>Cas 54</t>
  </si>
  <si>
    <t>Cas 55</t>
  </si>
  <si>
    <t>Cas 56</t>
  </si>
  <si>
    <t>Cas 57</t>
  </si>
  <si>
    <t>Cas 58</t>
  </si>
  <si>
    <t>Cas 59</t>
  </si>
  <si>
    <t>Cas 60</t>
  </si>
  <si>
    <t>Cas 61</t>
  </si>
  <si>
    <t>Cas 62</t>
  </si>
  <si>
    <t>Cas 63</t>
  </si>
  <si>
    <t>Cas 64</t>
  </si>
  <si>
    <t>Cas 65</t>
  </si>
  <si>
    <t>Cas 66</t>
  </si>
  <si>
    <t>Cas 67</t>
  </si>
  <si>
    <t>Cas 68</t>
  </si>
  <si>
    <t>Cas 69</t>
  </si>
  <si>
    <t>Cas 70</t>
  </si>
  <si>
    <t>Cas 71</t>
  </si>
  <si>
    <t>Cas 72</t>
  </si>
  <si>
    <t>Cas 73</t>
  </si>
  <si>
    <t>Cas 74</t>
  </si>
  <si>
    <t>Cas 75</t>
  </si>
  <si>
    <t>Cas 76</t>
  </si>
  <si>
    <t>Cas 77</t>
  </si>
  <si>
    <t>Cas 78</t>
  </si>
  <si>
    <t>Cas 79</t>
  </si>
  <si>
    <t>Cas 80</t>
  </si>
  <si>
    <t>Cas 81</t>
  </si>
  <si>
    <t>Cas 82</t>
  </si>
  <si>
    <t>Cas 83</t>
  </si>
  <si>
    <t>Cas 84</t>
  </si>
  <si>
    <t>Cas 85</t>
  </si>
  <si>
    <t>Cas 86</t>
  </si>
  <si>
    <t>Cas 87</t>
  </si>
  <si>
    <t>Cas 88</t>
  </si>
  <si>
    <t>Cas 89</t>
  </si>
  <si>
    <t>Cas 90</t>
  </si>
  <si>
    <t>Cas 91</t>
  </si>
  <si>
    <t>Cas 92</t>
  </si>
  <si>
    <t>Cas 93</t>
  </si>
  <si>
    <t>Cas 94</t>
  </si>
  <si>
    <t>Cas 95</t>
  </si>
  <si>
    <t>Cas 96</t>
  </si>
  <si>
    <t>Cas 97</t>
  </si>
  <si>
    <t>Cas 98</t>
  </si>
  <si>
    <t>Cas 99</t>
  </si>
  <si>
    <t>Cas 100</t>
  </si>
  <si>
    <t>Cas 101</t>
  </si>
  <si>
    <t>Cas 102</t>
  </si>
  <si>
    <t>Cas 103</t>
  </si>
  <si>
    <t>Cas 104</t>
  </si>
  <si>
    <t>Cas 105</t>
  </si>
  <si>
    <t>Cas 106</t>
  </si>
  <si>
    <t>Cas 107</t>
  </si>
  <si>
    <t>Cas 108</t>
  </si>
  <si>
    <t>Cas 109</t>
  </si>
  <si>
    <t>Cas 110</t>
  </si>
  <si>
    <t>Cas 111</t>
  </si>
  <si>
    <t>Cas 112</t>
  </si>
  <si>
    <t>Cas 113</t>
  </si>
  <si>
    <t>Cas 114</t>
  </si>
  <si>
    <t>Cas 115</t>
  </si>
  <si>
    <t>Cas 116</t>
  </si>
  <si>
    <t>Cas 117</t>
  </si>
  <si>
    <t>Cas 118</t>
  </si>
  <si>
    <t>Cas 119</t>
  </si>
  <si>
    <t>Cas 120</t>
  </si>
  <si>
    <t>Cas 121</t>
  </si>
  <si>
    <t>Cas 122</t>
  </si>
  <si>
    <t>Cas 123</t>
  </si>
  <si>
    <t>Cas 124</t>
  </si>
  <si>
    <t>Cas 125</t>
  </si>
  <si>
    <t>Cas 126</t>
  </si>
  <si>
    <t>Cas 127</t>
  </si>
  <si>
    <t>Cas 128</t>
  </si>
  <si>
    <t>Cas 129</t>
  </si>
  <si>
    <t>Cas 130</t>
  </si>
  <si>
    <t>Cas 131</t>
  </si>
  <si>
    <t>Cas 132</t>
  </si>
  <si>
    <t>Cas 133</t>
  </si>
  <si>
    <t>Cas 134</t>
  </si>
  <si>
    <t>Cas 135</t>
  </si>
  <si>
    <t>Cas 136</t>
  </si>
  <si>
    <t>Cas 137</t>
  </si>
  <si>
    <t>Cas 138</t>
  </si>
  <si>
    <t>Cas 139</t>
  </si>
  <si>
    <t>Cas 140</t>
  </si>
  <si>
    <t>Cas 141</t>
  </si>
  <si>
    <t>Cas 142</t>
  </si>
  <si>
    <t>Cas 143</t>
  </si>
  <si>
    <t>Cas 144</t>
  </si>
  <si>
    <t>Cas 145</t>
  </si>
  <si>
    <t>Cas 146</t>
  </si>
  <si>
    <t>Cas 147</t>
  </si>
  <si>
    <t>Cas 148</t>
  </si>
  <si>
    <t>Cas 149</t>
  </si>
  <si>
    <t>Cas 150</t>
  </si>
  <si>
    <t>Cas 151</t>
  </si>
  <si>
    <t>Cas 152</t>
  </si>
  <si>
    <t>Cas 153</t>
  </si>
  <si>
    <t>Cas 154</t>
  </si>
  <si>
    <t>Cas 155</t>
  </si>
  <si>
    <t>Cas 156</t>
  </si>
  <si>
    <t>Cas 157</t>
  </si>
  <si>
    <t>Cas 158</t>
  </si>
  <si>
    <t>Cas 159</t>
  </si>
  <si>
    <t>Cas 160</t>
  </si>
  <si>
    <t>Cas 161</t>
  </si>
  <si>
    <t>Cas 162</t>
  </si>
  <si>
    <t>Cas 163</t>
  </si>
  <si>
    <t>Cas 164</t>
  </si>
  <si>
    <t>Cas 165</t>
  </si>
  <si>
    <t>Cas 166</t>
  </si>
  <si>
    <t>Cas 167</t>
  </si>
  <si>
    <t>Cas 168</t>
  </si>
  <si>
    <t>Cas 169</t>
  </si>
  <si>
    <t>Cas 170</t>
  </si>
  <si>
    <t>Cas 171</t>
  </si>
  <si>
    <t>Cas 172</t>
  </si>
  <si>
    <t>Cas 173</t>
  </si>
  <si>
    <t>Cas 174</t>
  </si>
  <si>
    <t>Cas 175</t>
  </si>
  <si>
    <t>Cas 176</t>
  </si>
  <si>
    <t>Cas 177</t>
  </si>
  <si>
    <t>Cas 178</t>
  </si>
  <si>
    <t>Cas 179</t>
  </si>
  <si>
    <t>Cas 180</t>
  </si>
  <si>
    <t>Cas 181</t>
  </si>
  <si>
    <t>Cas 182</t>
  </si>
  <si>
    <t>Cas 183</t>
  </si>
  <si>
    <t>Cas 184</t>
  </si>
  <si>
    <t>Cas 185</t>
  </si>
  <si>
    <t>Cas 186</t>
  </si>
  <si>
    <t>Cas 187</t>
  </si>
  <si>
    <t>Cas 188</t>
  </si>
  <si>
    <t>Cas 189</t>
  </si>
  <si>
    <t>Cas 190</t>
  </si>
  <si>
    <t>Cas 191</t>
  </si>
  <si>
    <t>Cas 192</t>
  </si>
  <si>
    <t>Cas 193</t>
  </si>
  <si>
    <t>Cas 194</t>
  </si>
  <si>
    <t>Cas 195</t>
  </si>
  <si>
    <t>Cas 196</t>
  </si>
  <si>
    <t>Cas 197</t>
  </si>
  <si>
    <t>Cas 198</t>
  </si>
  <si>
    <t>Cas 199</t>
  </si>
  <si>
    <t>Cas 200</t>
  </si>
  <si>
    <t>Cas 201</t>
  </si>
  <si>
    <t>Cas 202</t>
  </si>
  <si>
    <t>Cas 203</t>
  </si>
  <si>
    <t>Cas 204</t>
  </si>
  <si>
    <t>Cas 205</t>
  </si>
  <si>
    <t>Cas 206</t>
  </si>
  <si>
    <t>Cas 207</t>
  </si>
  <si>
    <t>Cas 208</t>
  </si>
  <si>
    <t>Cas 209</t>
  </si>
  <si>
    <t>Cas 210</t>
  </si>
  <si>
    <t>Cas 211</t>
  </si>
  <si>
    <t>Cas 212</t>
  </si>
  <si>
    <t>Cas 213</t>
  </si>
  <si>
    <t>Cas 214</t>
  </si>
  <si>
    <t>Cas 215</t>
  </si>
  <si>
    <t>Cas 216</t>
  </si>
  <si>
    <t>Cas 217</t>
  </si>
  <si>
    <t>Cas 218</t>
  </si>
  <si>
    <t>Cas 219</t>
  </si>
  <si>
    <t>Cas 220</t>
  </si>
  <si>
    <t>Cas 221</t>
  </si>
  <si>
    <t>Cas 222</t>
  </si>
  <si>
    <t>Cas 223</t>
  </si>
  <si>
    <t>Cas 224</t>
  </si>
  <si>
    <t>Cas 225</t>
  </si>
  <si>
    <t>Cas 226</t>
  </si>
  <si>
    <t>Cas 227</t>
  </si>
  <si>
    <t>Cas 228</t>
  </si>
  <si>
    <t>Cas 229</t>
  </si>
  <si>
    <t>Cas 230</t>
  </si>
  <si>
    <t>Cas 231</t>
  </si>
  <si>
    <t>Cas 232</t>
  </si>
  <si>
    <t>Cas 233</t>
  </si>
  <si>
    <t>Cas 234</t>
  </si>
  <si>
    <t>Cas 235</t>
  </si>
  <si>
    <t>Cas 236</t>
  </si>
  <si>
    <t>Cas 237</t>
  </si>
  <si>
    <t>Cas 238</t>
  </si>
  <si>
    <t>Cas 239</t>
  </si>
  <si>
    <t>Cas 240</t>
  </si>
  <si>
    <t>Cas 241</t>
  </si>
  <si>
    <t>Cas 242</t>
  </si>
  <si>
    <t>Cas 243</t>
  </si>
  <si>
    <t>Cas 244</t>
  </si>
  <si>
    <t>Cas 245</t>
  </si>
  <si>
    <t>Cas 246</t>
  </si>
  <si>
    <t>Cas 247</t>
  </si>
  <si>
    <t>Cas 248</t>
  </si>
  <si>
    <t>Cas 249</t>
  </si>
  <si>
    <t>Cas 250</t>
  </si>
  <si>
    <t>Cas 251</t>
  </si>
  <si>
    <t>Cas 252</t>
  </si>
  <si>
    <t>Cas 253</t>
  </si>
  <si>
    <t>Cas 254</t>
  </si>
  <si>
    <t>Cas 255</t>
  </si>
  <si>
    <t>Cas 256</t>
  </si>
  <si>
    <t>Cas 257</t>
  </si>
  <si>
    <t>Cas 258</t>
  </si>
  <si>
    <t>Cas 259</t>
  </si>
  <si>
    <t>Cas 260</t>
  </si>
  <si>
    <t>Cas 261</t>
  </si>
  <si>
    <t>Cas 262</t>
  </si>
  <si>
    <t>Cas 263</t>
  </si>
  <si>
    <t>Cas 264</t>
  </si>
  <si>
    <t>Cas 265</t>
  </si>
  <si>
    <t>Cas 266</t>
  </si>
  <si>
    <t>Cas 267</t>
  </si>
  <si>
    <t>Cas 268</t>
  </si>
  <si>
    <t>Cas 269</t>
  </si>
  <si>
    <t>Cas 270</t>
  </si>
  <si>
    <t>Cas 271</t>
  </si>
  <si>
    <t>Cas 272</t>
  </si>
  <si>
    <t>Cas 273</t>
  </si>
  <si>
    <t>Cas 274</t>
  </si>
  <si>
    <t>Cas 275</t>
  </si>
  <si>
    <t>Cas 276</t>
  </si>
  <si>
    <t>Cas 277</t>
  </si>
  <si>
    <t>Cas 278</t>
  </si>
  <si>
    <t>Cas 279</t>
  </si>
  <si>
    <t>Cas 280</t>
  </si>
  <si>
    <t>Cas 281</t>
  </si>
  <si>
    <t>Cas 282</t>
  </si>
  <si>
    <t>Cas 283</t>
  </si>
  <si>
    <t>Cas 284</t>
  </si>
  <si>
    <t>Cas 285</t>
  </si>
  <si>
    <t>Cas 286</t>
  </si>
  <si>
    <t>Cas 287</t>
  </si>
  <si>
    <t>Cas 288</t>
  </si>
  <si>
    <t>Cas 289</t>
  </si>
  <si>
    <t>Cas 290</t>
  </si>
  <si>
    <t>Cas 291</t>
  </si>
  <si>
    <t>Cas 292</t>
  </si>
  <si>
    <t>Cas 293</t>
  </si>
  <si>
    <t>Cas 294</t>
  </si>
  <si>
    <t>Cas 295</t>
  </si>
  <si>
    <t>Cas 296</t>
  </si>
  <si>
    <t>Cas 297</t>
  </si>
  <si>
    <t>Cas 298</t>
  </si>
  <si>
    <t>Cas 299</t>
  </si>
  <si>
    <t>Cas 300</t>
  </si>
  <si>
    <t>Cas 301</t>
  </si>
  <si>
    <t>Cas 302</t>
  </si>
  <si>
    <t>Cas 303</t>
  </si>
  <si>
    <t>Cas 304</t>
  </si>
  <si>
    <t>Cas 305</t>
  </si>
  <si>
    <t>Cas 306</t>
  </si>
  <si>
    <t>Cas 307</t>
  </si>
  <si>
    <t>Cas 308</t>
  </si>
  <si>
    <t>Cas 309</t>
  </si>
  <si>
    <t>Cas 310</t>
  </si>
  <si>
    <t>Cas 311</t>
  </si>
  <si>
    <t>Cas 312</t>
  </si>
  <si>
    <t>Cas 313</t>
  </si>
  <si>
    <t>Cas 314</t>
  </si>
  <si>
    <t>Cas 315</t>
  </si>
  <si>
    <t>Cas 316</t>
  </si>
  <si>
    <t>Cas 317</t>
  </si>
  <si>
    <t>Nombre de période écoulée  dès le Cas 1:</t>
  </si>
  <si>
    <t>DERNIERE DATE DE REMBOURSEMENT ANTICIPE</t>
  </si>
  <si>
    <t>TYPE SOUS-JACENT</t>
  </si>
  <si>
    <t>NOM DU PRODUIT</t>
  </si>
  <si>
    <t>f(x)</t>
  </si>
  <si>
    <t>Dates</t>
  </si>
  <si>
    <t>Scénario défavorable</t>
  </si>
  <si>
    <t>DATE FIN COMMERCIALISATION</t>
  </si>
  <si>
    <t xml:space="preserve">Dates d’Evaluation du Remboursement
Anticipé Automatique </t>
  </si>
  <si>
    <t>Dates de Remboursement Anticipé
Automatique</t>
  </si>
  <si>
    <t xml:space="preserve">PREMIERE DATE D'EVALUATION </t>
  </si>
  <si>
    <t>DERNIERE DATE D'EVALUATION</t>
  </si>
  <si>
    <t>Mois</t>
  </si>
  <si>
    <t>Trimestre</t>
  </si>
  <si>
    <t>Année</t>
  </si>
  <si>
    <t>Semestre</t>
  </si>
  <si>
    <t>Jour</t>
  </si>
  <si>
    <t xml:space="preserve">Niveau </t>
  </si>
  <si>
    <t>Niveau</t>
  </si>
  <si>
    <t xml:space="preserve">Seuil Remboursement </t>
  </si>
  <si>
    <t>Seuil Remboursement</t>
  </si>
  <si>
    <t>Marqueur</t>
  </si>
  <si>
    <t>Field</t>
  </si>
  <si>
    <t>PX_LAST</t>
  </si>
  <si>
    <t>Start Date</t>
  </si>
  <si>
    <t>End Date</t>
  </si>
  <si>
    <t>Tickers</t>
  </si>
  <si>
    <t>Cours du sous-jacent</t>
  </si>
  <si>
    <r>
      <rPr>
        <b/>
        <sz val="14"/>
        <color theme="1"/>
        <rFont val="Calibri"/>
        <family val="2"/>
        <scheme val="minor"/>
      </rPr>
      <t>Mode Opératoire Simplifié - Fichier Inputs Produits Structurés</t>
    </r>
    <r>
      <rPr>
        <sz val="9"/>
        <color theme="1"/>
        <rFont val="Calibri"/>
        <family val="2"/>
        <scheme val="minor"/>
      </rPr>
      <t xml:space="preserve">
Dans l'onglet</t>
    </r>
    <r>
      <rPr>
        <b/>
        <sz val="9"/>
        <color theme="1"/>
        <rFont val="Calibri"/>
        <family val="2"/>
        <scheme val="minor"/>
      </rPr>
      <t xml:space="preserve"> Inputs</t>
    </r>
    <r>
      <rPr>
        <sz val="9"/>
        <color theme="1"/>
        <rFont val="Calibri"/>
        <family val="2"/>
        <scheme val="minor"/>
      </rPr>
      <t>:
- Partie I</t>
    </r>
    <r>
      <rPr>
        <b/>
        <sz val="9"/>
        <color theme="1"/>
        <rFont val="Calibri"/>
        <family val="2"/>
        <scheme val="minor"/>
      </rPr>
      <t>nformations générales</t>
    </r>
    <r>
      <rPr>
        <sz val="9"/>
        <color theme="1"/>
        <rFont val="Calibri"/>
        <family val="2"/>
        <scheme val="minor"/>
      </rPr>
      <t xml:space="preserve">:
Remplir tous les champs: impératif !
- Partie </t>
    </r>
    <r>
      <rPr>
        <b/>
        <sz val="9"/>
        <color theme="1"/>
        <rFont val="Calibri"/>
        <family val="2"/>
        <scheme val="minor"/>
      </rPr>
      <t>Type de produit</t>
    </r>
    <r>
      <rPr>
        <sz val="9"/>
        <color theme="1"/>
        <rFont val="Calibri"/>
        <family val="2"/>
        <scheme val="minor"/>
      </rPr>
      <t xml:space="preserve">:
Remplir les champs associés au type de votre produit structuré
Griser les champs associés à l'autre type
Pour un Autocall:
Entrer le seuil en % de la barrière autocall
Si l'Autocall contient un effet rebond, saisir le seuil rebond correspondant au seuil de perte en % qui déclenche l'effet rebond du produit structuré
Pour un Phoenix:
Saisir le seuil en % de la barrière autocall
Saisir le seuil phoenix en % pour lequel l'investisseur recoit le coupon
- Partie </t>
    </r>
    <r>
      <rPr>
        <b/>
        <sz val="9"/>
        <color theme="1"/>
        <rFont val="Calibri"/>
        <family val="2"/>
        <scheme val="minor"/>
      </rPr>
      <t>Barrière de Remboursement Anticipé</t>
    </r>
    <r>
      <rPr>
        <sz val="9"/>
        <color theme="1"/>
        <rFont val="Calibri"/>
        <family val="2"/>
        <scheme val="minor"/>
      </rPr>
      <t xml:space="preserve">:
</t>
    </r>
    <r>
      <rPr>
        <b/>
        <sz val="9"/>
        <color rgb="FFFF0000"/>
        <rFont val="Calibri"/>
        <family val="2"/>
        <scheme val="minor"/>
      </rPr>
      <t>CETTE PARTIE NE CONCERNE QUE LES PRODUITS AYANT UNE CONDITION SUR LA BARRIERE DE REMBOURSEMENT ANTICIPE</t>
    </r>
    <r>
      <rPr>
        <sz val="9"/>
        <color theme="1"/>
        <rFont val="Calibri"/>
        <family val="2"/>
        <scheme val="minor"/>
      </rPr>
      <t xml:space="preserve">
Si la barrière est dégressive, entrez dans le champ "</t>
    </r>
    <r>
      <rPr>
        <b/>
        <sz val="9"/>
        <color theme="1"/>
        <rFont val="Calibri"/>
        <family val="2"/>
        <scheme val="minor"/>
      </rPr>
      <t>Décroissance</t>
    </r>
    <r>
      <rPr>
        <sz val="9"/>
        <color theme="1"/>
        <rFont val="Calibri"/>
        <family val="2"/>
        <scheme val="minor"/>
      </rPr>
      <t>" la constante de dégression  de la barrière en %
Si elle est croissante, entrez dans le champ "</t>
    </r>
    <r>
      <rPr>
        <b/>
        <sz val="9"/>
        <color theme="1"/>
        <rFont val="Calibri"/>
        <family val="2"/>
        <scheme val="minor"/>
      </rPr>
      <t>Croissance</t>
    </r>
    <r>
      <rPr>
        <sz val="9"/>
        <color theme="1"/>
        <rFont val="Calibri"/>
        <family val="2"/>
        <scheme val="minor"/>
      </rPr>
      <t xml:space="preserve">" la constante de croissance de la barrière en %
- Partie </t>
    </r>
    <r>
      <rPr>
        <b/>
        <sz val="9"/>
        <color theme="1"/>
        <rFont val="Calibri"/>
        <family val="2"/>
        <scheme val="minor"/>
      </rPr>
      <t xml:space="preserve">Sous-jacent:
</t>
    </r>
    <r>
      <rPr>
        <sz val="9"/>
        <color theme="1"/>
        <rFont val="Calibri"/>
        <family val="2"/>
        <scheme val="minor"/>
      </rPr>
      <t>Dans un premier temps entrer le nombre de sous-jacent du produit, puis appuyer sur le bouton "</t>
    </r>
    <r>
      <rPr>
        <b/>
        <sz val="9"/>
        <color theme="1"/>
        <rFont val="Calibri"/>
        <family val="2"/>
        <scheme val="minor"/>
      </rPr>
      <t xml:space="preserve">Ok". 
</t>
    </r>
    <r>
      <rPr>
        <sz val="9"/>
        <color theme="1"/>
        <rFont val="Calibri"/>
        <family val="2"/>
        <scheme val="minor"/>
      </rPr>
      <t>Une liste apparaît. A droite chaque nom de la liste, si le sous-jacent est une action remplir le champ "</t>
    </r>
    <r>
      <rPr>
        <b/>
        <sz val="9"/>
        <color theme="1"/>
        <rFont val="Calibri"/>
        <family val="2"/>
        <scheme val="minor"/>
      </rPr>
      <t>Action</t>
    </r>
    <r>
      <rPr>
        <sz val="9"/>
        <color theme="1"/>
        <rFont val="Calibri"/>
        <family val="2"/>
        <scheme val="minor"/>
      </rPr>
      <t>" sinon remplir le champ "</t>
    </r>
    <r>
      <rPr>
        <b/>
        <sz val="9"/>
        <color theme="1"/>
        <rFont val="Calibri"/>
        <family val="2"/>
        <scheme val="minor"/>
      </rPr>
      <t>Indice</t>
    </r>
    <r>
      <rPr>
        <sz val="9"/>
        <color theme="1"/>
        <rFont val="Calibri"/>
        <family val="2"/>
        <scheme val="minor"/>
      </rPr>
      <t xml:space="preserve">". 
Griser le champ non rempli pour une meilleure visibilité.
Dans un deuxième temps choisir l'observation faite sur le sous-jacent. Une liste des observations possibles et leur signification est disponible dans l'onglet </t>
    </r>
    <r>
      <rPr>
        <b/>
        <sz val="9"/>
        <color theme="1"/>
        <rFont val="Calibri"/>
        <family val="2"/>
        <scheme val="minor"/>
      </rPr>
      <t>Observations</t>
    </r>
    <r>
      <rPr>
        <sz val="9"/>
        <color theme="1"/>
        <rFont val="Calibri"/>
        <family val="2"/>
        <scheme val="minor"/>
      </rPr>
      <t xml:space="preserve">.  
Dans l'onglet </t>
    </r>
    <r>
      <rPr>
        <b/>
        <sz val="9"/>
        <color theme="1"/>
        <rFont val="Calibri"/>
        <family val="2"/>
        <scheme val="minor"/>
      </rPr>
      <t xml:space="preserve">Observations:
</t>
    </r>
    <r>
      <rPr>
        <b/>
        <sz val="9"/>
        <color rgb="FFFF0000"/>
        <rFont val="Calibri"/>
        <family val="2"/>
        <scheme val="minor"/>
      </rPr>
      <t>NE RIEN CHANGER</t>
    </r>
    <r>
      <rPr>
        <sz val="9"/>
        <color theme="1"/>
        <rFont val="Calibri"/>
        <family val="2"/>
        <scheme val="minor"/>
      </rPr>
      <t xml:space="preserve">
</t>
    </r>
  </si>
  <si>
    <t>PERIODICITE DES OBSERVATIONS</t>
  </si>
  <si>
    <t>COMMISSIONS</t>
  </si>
  <si>
    <t>Le niveau du sous-jacent</t>
  </si>
  <si>
    <t>BARRIERE DE PROTECTION</t>
  </si>
  <si>
    <t>Indice synthétique</t>
  </si>
  <si>
    <t>Cours de clotûre du sous-jacent le moins performant</t>
  </si>
  <si>
    <t>Phoenix 20 Mars 2023</t>
  </si>
  <si>
    <t>Instrument financier de type Titre de Créance</t>
  </si>
  <si>
    <t>XS1732571127</t>
  </si>
  <si>
    <t>BNP PARIBAS ISSUANCE B.V.</t>
  </si>
  <si>
    <t>BNP PARIBAS ARBITRAGE S.N.C.</t>
  </si>
  <si>
    <t>BNP Paribas</t>
  </si>
  <si>
    <t>Aa3</t>
  </si>
  <si>
    <t>A</t>
  </si>
  <si>
    <t>A+</t>
  </si>
  <si>
    <t>Cardif Assurance Vie</t>
  </si>
  <si>
    <t>EUR</t>
  </si>
  <si>
    <t>Luxembourg</t>
  </si>
  <si>
    <t>Anglais</t>
  </si>
  <si>
    <t>Autorité des marchés financiers</t>
  </si>
  <si>
    <t>17-264</t>
  </si>
  <si>
    <t>DATE DE STRIKE</t>
  </si>
  <si>
    <t>Seuil Phoenix</t>
  </si>
  <si>
    <t>Frais de gestion</t>
  </si>
  <si>
    <t>Flux bruts</t>
  </si>
  <si>
    <t>Flux nets</t>
  </si>
  <si>
    <t>TRI brut</t>
  </si>
  <si>
    <t>TRI net</t>
  </si>
  <si>
    <t>Scénario favorable</t>
  </si>
  <si>
    <t>Plafonnement des gains</t>
  </si>
  <si>
    <t>Cloture</t>
  </si>
  <si>
    <t>Base 100</t>
  </si>
  <si>
    <t>Minimum</t>
  </si>
  <si>
    <t>AMZN US Equity</t>
  </si>
  <si>
    <t>Cas favorable</t>
  </si>
  <si>
    <t>Cas défavorable</t>
  </si>
  <si>
    <t>Cas intermédiaire</t>
  </si>
  <si>
    <t>Min</t>
  </si>
  <si>
    <t>Max</t>
  </si>
  <si>
    <t>Scénario intermédiaire</t>
  </si>
  <si>
    <t>TYPE PAIEMENT</t>
  </si>
  <si>
    <t>Distribuant</t>
  </si>
  <si>
    <t>Capitalisant</t>
  </si>
  <si>
    <t>NOMBRE DE SOUS-JACENT</t>
  </si>
  <si>
    <t>Worst of</t>
  </si>
  <si>
    <t>FAMILLE</t>
  </si>
  <si>
    <t>MATURITE</t>
  </si>
  <si>
    <t>COUPON (EN %)</t>
  </si>
  <si>
    <t>Barrière de Rappel (en % du Strike)</t>
  </si>
  <si>
    <t>SITE WEB</t>
  </si>
  <si>
    <t>CODE ISIN</t>
  </si>
  <si>
    <t>PRIX EMISSION (EN %)</t>
  </si>
  <si>
    <t>VISA APPROUVE PAR</t>
  </si>
  <si>
    <t>VALEUR NOMINALE 
D'UN TITRE EN EUR</t>
  </si>
  <si>
    <t>MONTANT MINIMUM D'INVESTISSEMENT EN EUR</t>
  </si>
  <si>
    <t>MONTANT NOMINAL 
DE L'EMISSION EN EUR</t>
  </si>
  <si>
    <t>Echéance</t>
  </si>
  <si>
    <t>TSLA US Equity</t>
  </si>
  <si>
    <t>DATE ECHEANCE</t>
  </si>
  <si>
    <t>Défavorable - Intermédiaire</t>
  </si>
  <si>
    <t>Favorable - Défavorable</t>
  </si>
  <si>
    <t>Favorable - Défavorable - Intermédiaire</t>
  </si>
  <si>
    <t>SCENARIO À MATURITE</t>
  </si>
  <si>
    <t>Favorable - Intermédiaire</t>
  </si>
  <si>
    <t>Ex: défavorable</t>
  </si>
  <si>
    <t>INDICE DE REFERENCE (CODE BLOOMBERG)</t>
  </si>
  <si>
    <t>INDICE(S)</t>
  </si>
  <si>
    <t>SX5E</t>
  </si>
  <si>
    <t>Eurostoxx</t>
  </si>
  <si>
    <t>blabla</t>
  </si>
  <si>
    <t>blabla.fr</t>
  </si>
  <si>
    <t>Barrière de Coupon</t>
  </si>
  <si>
    <t>DESCRIPTION(Si indice)</t>
  </si>
  <si>
    <t>EFFET REBOND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</si>
</sst>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-* #,##0.00\ _€_-;\-* #,##0.00\ _€_-;_-* &quot;-&quot;??\ _€_-;_-@_-"/>
    <numFmt numFmtId="165" formatCode="[$-F800]dddd\,\ mmmm\ dd\,\ yyyy"/>
    <numFmt numFmtId="166" formatCode="0.0000%"/>
    <numFmt numFmtId="167" formatCode="0.0000"/>
    <numFmt numFmtId="168" formatCode="0.000%"/>
    <numFmt numFmtId="169" formatCode="#,##0_ ;\-#,##0\ "/>
  </numFmts>
  <fonts count="1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sz val="9"/>
      <color theme="0" tint="-0.14996795556505021"/>
      <name val="Arial"/>
      <family val="2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  <font>
      <b/>
      <sz val="9"/>
      <color rgb="FF000000"/>
      <name val="Calibri"/>
      <family val="2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5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164" fontId="6" fillId="0" borderId="0" applyFont="0" applyFill="0" applyBorder="0" applyAlignment="0" applyProtection="0"/>
  </cellStyleXfs>
  <cellXfs count="148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2" fillId="0" borderId="0" xfId="0" applyFont="1"/>
    <xf numFmtId="0" fontId="3" fillId="0" borderId="1" xfId="0" applyFont="1" applyBorder="1"/>
    <xf numFmtId="0" fontId="3" fillId="0" borderId="0" xfId="0" applyFont="1" applyFill="1"/>
    <xf numFmtId="0" fontId="2" fillId="0" borderId="1" xfId="0" applyFont="1" applyBorder="1" applyAlignment="1">
      <alignment vertical="center" wrapText="1"/>
    </xf>
    <xf numFmtId="10" fontId="3" fillId="0" borderId="0" xfId="0" applyNumberFormat="1" applyFont="1"/>
    <xf numFmtId="9" fontId="3" fillId="0" borderId="0" xfId="1" applyNumberFormat="1" applyFont="1"/>
    <xf numFmtId="0" fontId="2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center"/>
    </xf>
    <xf numFmtId="10" fontId="10" fillId="2" borderId="0" xfId="3" applyNumberFormat="1" applyFont="1" applyFill="1" applyBorder="1"/>
    <xf numFmtId="0" fontId="3" fillId="3" borderId="0" xfId="0" applyFont="1" applyFill="1" applyBorder="1"/>
    <xf numFmtId="0" fontId="3" fillId="3" borderId="0" xfId="0" applyFont="1" applyFill="1" applyBorder="1" applyAlignment="1">
      <alignment horizontal="center"/>
    </xf>
    <xf numFmtId="10" fontId="3" fillId="4" borderId="1" xfId="0" applyNumberFormat="1" applyFont="1" applyFill="1" applyBorder="1"/>
    <xf numFmtId="14" fontId="10" fillId="2" borderId="7" xfId="3" applyNumberFormat="1" applyFont="1" applyFill="1" applyBorder="1"/>
    <xf numFmtId="14" fontId="10" fillId="2" borderId="0" xfId="3" applyNumberFormat="1" applyFont="1" applyFill="1" applyBorder="1"/>
    <xf numFmtId="9" fontId="5" fillId="4" borderId="2" xfId="3" applyNumberFormat="1" applyFont="1" applyFill="1" applyBorder="1"/>
    <xf numFmtId="14" fontId="10" fillId="2" borderId="8" xfId="3" applyNumberFormat="1" applyFont="1" applyFill="1" applyBorder="1"/>
    <xf numFmtId="14" fontId="10" fillId="2" borderId="3" xfId="3" applyNumberFormat="1" applyFont="1" applyFill="1" applyBorder="1"/>
    <xf numFmtId="14" fontId="5" fillId="4" borderId="1" xfId="3" applyNumberFormat="1" applyFont="1" applyFill="1" applyBorder="1" applyAlignment="1">
      <alignment horizontal="right"/>
    </xf>
    <xf numFmtId="167" fontId="11" fillId="3" borderId="1" xfId="0" applyNumberFormat="1" applyFont="1" applyFill="1" applyBorder="1"/>
    <xf numFmtId="10" fontId="11" fillId="3" borderId="1" xfId="1" applyNumberFormat="1" applyFont="1" applyFill="1" applyBorder="1"/>
    <xf numFmtId="168" fontId="3" fillId="0" borderId="0" xfId="0" applyNumberFormat="1" applyFont="1"/>
    <xf numFmtId="10" fontId="3" fillId="5" borderId="1" xfId="0" applyNumberFormat="1" applyFont="1" applyFill="1" applyBorder="1"/>
    <xf numFmtId="0" fontId="3" fillId="5" borderId="0" xfId="0" applyFont="1" applyFill="1" applyBorder="1"/>
    <xf numFmtId="167" fontId="11" fillId="5" borderId="1" xfId="0" applyNumberFormat="1" applyFont="1" applyFill="1" applyBorder="1"/>
    <xf numFmtId="10" fontId="11" fillId="5" borderId="1" xfId="1" applyNumberFormat="1" applyFont="1" applyFill="1" applyBorder="1"/>
    <xf numFmtId="0" fontId="3" fillId="3" borderId="0" xfId="0" applyFont="1" applyFill="1"/>
    <xf numFmtId="0" fontId="3" fillId="5" borderId="1" xfId="0" applyFont="1" applyFill="1" applyBorder="1"/>
    <xf numFmtId="0" fontId="2" fillId="0" borderId="0" xfId="0" applyFont="1" applyBorder="1" applyAlignment="1">
      <alignment vertical="center" wrapText="1"/>
    </xf>
    <xf numFmtId="165" fontId="3" fillId="0" borderId="0" xfId="0" applyNumberFormat="1" applyFon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49" fontId="3" fillId="0" borderId="1" xfId="0" applyNumberFormat="1" applyFont="1" applyBorder="1"/>
    <xf numFmtId="14" fontId="3" fillId="0" borderId="1" xfId="0" applyNumberFormat="1" applyFont="1" applyBorder="1"/>
    <xf numFmtId="14" fontId="3" fillId="0" borderId="0" xfId="0" applyNumberFormat="1" applyFont="1" applyAlignment="1">
      <alignment horizontal="center" vertical="center"/>
    </xf>
    <xf numFmtId="15" fontId="3" fillId="0" borderId="0" xfId="0" applyNumberFormat="1" applyFont="1"/>
    <xf numFmtId="165" fontId="3" fillId="0" borderId="0" xfId="0" applyNumberFormat="1" applyFont="1" applyAlignment="1">
      <alignment horizontal="right"/>
    </xf>
    <xf numFmtId="165" fontId="3" fillId="0" borderId="0" xfId="0" applyNumberFormat="1" applyFont="1" applyFill="1" applyAlignment="1"/>
    <xf numFmtId="10" fontId="3" fillId="7" borderId="1" xfId="0" applyNumberFormat="1" applyFont="1" applyFill="1" applyBorder="1"/>
    <xf numFmtId="14" fontId="3" fillId="7" borderId="1" xfId="3" applyNumberFormat="1" applyFont="1" applyFill="1" applyBorder="1" applyAlignment="1">
      <alignment horizontal="right"/>
    </xf>
    <xf numFmtId="14" fontId="3" fillId="7" borderId="2" xfId="3" applyNumberFormat="1" applyFont="1" applyFill="1" applyBorder="1"/>
    <xf numFmtId="10" fontId="3" fillId="7" borderId="2" xfId="3" applyNumberFormat="1" applyFont="1" applyFill="1" applyBorder="1"/>
    <xf numFmtId="0" fontId="12" fillId="9" borderId="14" xfId="0" applyFont="1" applyFill="1" applyBorder="1" applyAlignment="1">
      <alignment horizontal="center" vertical="center"/>
    </xf>
    <xf numFmtId="2" fontId="0" fillId="0" borderId="0" xfId="0" applyNumberFormat="1"/>
    <xf numFmtId="0" fontId="3" fillId="0" borderId="0" xfId="0" applyFont="1" applyProtection="1">
      <protection locked="0"/>
    </xf>
    <xf numFmtId="2" fontId="3" fillId="0" borderId="0" xfId="0" applyNumberFormat="1" applyFont="1" applyProtection="1"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9" fontId="3" fillId="0" borderId="0" xfId="1" applyFont="1" applyAlignment="1" applyProtection="1">
      <alignment horizontal="center" vertical="center"/>
      <protection locked="0"/>
    </xf>
    <xf numFmtId="0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Protection="1">
      <protection locked="0"/>
    </xf>
    <xf numFmtId="9" fontId="3" fillId="0" borderId="0" xfId="0" applyNumberFormat="1" applyFont="1" applyProtection="1"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9" fontId="3" fillId="0" borderId="0" xfId="1" applyFont="1" applyProtection="1">
      <protection locked="0"/>
    </xf>
    <xf numFmtId="20" fontId="3" fillId="0" borderId="0" xfId="0" applyNumberFormat="1" applyFont="1" applyAlignment="1" applyProtection="1">
      <alignment horizontal="center"/>
      <protection locked="0"/>
    </xf>
    <xf numFmtId="0" fontId="9" fillId="0" borderId="0" xfId="2" applyFont="1" applyProtection="1">
      <protection locked="0"/>
    </xf>
    <xf numFmtId="10" fontId="3" fillId="0" borderId="0" xfId="1" applyNumberFormat="1" applyFont="1" applyProtection="1">
      <protection locked="0"/>
    </xf>
    <xf numFmtId="10" fontId="3" fillId="0" borderId="0" xfId="0" applyNumberFormat="1" applyFont="1" applyProtection="1">
      <protection locked="0"/>
    </xf>
    <xf numFmtId="0" fontId="3" fillId="0" borderId="0" xfId="0" applyFont="1" applyBorder="1" applyProtection="1">
      <protection locked="0"/>
    </xf>
    <xf numFmtId="10" fontId="5" fillId="2" borderId="0" xfId="3" applyNumberFormat="1" applyFont="1" applyFill="1" applyBorder="1"/>
    <xf numFmtId="0" fontId="0" fillId="0" borderId="0" xfId="0" applyBorder="1" applyAlignment="1">
      <alignment horizontal="center"/>
    </xf>
    <xf numFmtId="14" fontId="0" fillId="0" borderId="0" xfId="0" applyNumberFormat="1"/>
    <xf numFmtId="0" fontId="0" fillId="0" borderId="0" xfId="0" applyFill="1" applyBorder="1" applyAlignment="1">
      <alignment horizontal="center"/>
    </xf>
    <xf numFmtId="14" fontId="0" fillId="0" borderId="0" xfId="0" applyNumberFormat="1" applyFill="1"/>
    <xf numFmtId="9" fontId="0" fillId="0" borderId="0" xfId="1" applyFont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10" fontId="0" fillId="0" borderId="0" xfId="1" applyNumberFormat="1" applyFont="1" applyBorder="1"/>
    <xf numFmtId="0" fontId="0" fillId="0" borderId="0" xfId="0" applyBorder="1" applyAlignment="1"/>
    <xf numFmtId="10" fontId="0" fillId="0" borderId="0" xfId="0" applyNumberFormat="1" applyFill="1" applyBorder="1"/>
    <xf numFmtId="10" fontId="0" fillId="0" borderId="1" xfId="1" applyNumberFormat="1" applyFont="1" applyBorder="1"/>
    <xf numFmtId="10" fontId="0" fillId="0" borderId="0" xfId="1" applyNumberFormat="1" applyFont="1"/>
    <xf numFmtId="166" fontId="0" fillId="0" borderId="1" xfId="1" applyNumberFormat="1" applyFont="1" applyBorder="1"/>
    <xf numFmtId="0" fontId="3" fillId="0" borderId="0" xfId="0" applyFont="1" applyBorder="1" applyAlignment="1" applyProtection="1">
      <alignment vertical="center"/>
    </xf>
    <xf numFmtId="0" fontId="3" fillId="5" borderId="0" xfId="0" applyFont="1" applyFill="1" applyBorder="1" applyAlignment="1" applyProtection="1">
      <alignment vertical="center"/>
    </xf>
    <xf numFmtId="14" fontId="3" fillId="5" borderId="0" xfId="0" applyNumberFormat="1" applyFont="1" applyFill="1" applyProtection="1">
      <protection locked="0"/>
    </xf>
    <xf numFmtId="14" fontId="3" fillId="0" borderId="0" xfId="0" applyNumberFormat="1" applyFont="1" applyBorder="1" applyAlignment="1" applyProtection="1">
      <alignment vertical="center"/>
    </xf>
    <xf numFmtId="9" fontId="3" fillId="8" borderId="14" xfId="1" applyFont="1" applyFill="1" applyBorder="1" applyAlignment="1">
      <alignment horizontal="center"/>
    </xf>
    <xf numFmtId="0" fontId="3" fillId="6" borderId="14" xfId="0" applyFont="1" applyFill="1" applyBorder="1"/>
    <xf numFmtId="0" fontId="2" fillId="6" borderId="14" xfId="0" applyFont="1" applyFill="1" applyBorder="1"/>
    <xf numFmtId="0" fontId="3" fillId="6" borderId="14" xfId="0" applyFont="1" applyFill="1" applyBorder="1" applyAlignment="1">
      <alignment horizontal="left"/>
    </xf>
    <xf numFmtId="10" fontId="3" fillId="6" borderId="14" xfId="1" applyNumberFormat="1" applyFont="1" applyFill="1" applyBorder="1"/>
    <xf numFmtId="0" fontId="3" fillId="8" borderId="14" xfId="0" applyFont="1" applyFill="1" applyBorder="1" applyAlignment="1">
      <alignment horizontal="center"/>
    </xf>
    <xf numFmtId="169" fontId="3" fillId="8" borderId="14" xfId="4" applyNumberFormat="1" applyFont="1" applyFill="1" applyBorder="1" applyAlignment="1">
      <alignment horizontal="center"/>
    </xf>
    <xf numFmtId="10" fontId="3" fillId="8" borderId="14" xfId="0" applyNumberFormat="1" applyFont="1" applyFill="1" applyBorder="1" applyAlignment="1">
      <alignment horizontal="center"/>
    </xf>
    <xf numFmtId="14" fontId="3" fillId="8" borderId="14" xfId="0" applyNumberFormat="1" applyFont="1" applyFill="1" applyBorder="1" applyAlignment="1">
      <alignment horizontal="center"/>
    </xf>
    <xf numFmtId="0" fontId="3" fillId="0" borderId="14" xfId="0" applyFont="1" applyBorder="1"/>
    <xf numFmtId="166" fontId="3" fillId="8" borderId="14" xfId="1" applyNumberFormat="1" applyFont="1" applyFill="1" applyBorder="1" applyAlignment="1">
      <alignment horizontal="center"/>
    </xf>
    <xf numFmtId="10" fontId="3" fillId="8" borderId="14" xfId="1" applyNumberFormat="1" applyFont="1" applyFill="1" applyBorder="1" applyAlignment="1">
      <alignment horizontal="center"/>
    </xf>
    <xf numFmtId="0" fontId="3" fillId="0" borderId="14" xfId="0" applyFont="1" applyBorder="1" applyAlignment="1">
      <alignment horizontal="left"/>
    </xf>
    <xf numFmtId="14" fontId="0" fillId="0" borderId="0" xfId="0" applyNumberFormat="1" applyFill="1" applyBorder="1"/>
    <xf numFmtId="0" fontId="3" fillId="6" borderId="15" xfId="0" applyFont="1" applyFill="1" applyBorder="1"/>
    <xf numFmtId="0" fontId="3" fillId="6" borderId="16" xfId="0" applyFont="1" applyFill="1" applyBorder="1" applyAlignment="1">
      <alignment horizontal="left"/>
    </xf>
    <xf numFmtId="0" fontId="3" fillId="0" borderId="17" xfId="0" applyFont="1" applyBorder="1"/>
    <xf numFmtId="0" fontId="3" fillId="6" borderId="17" xfId="0" applyFont="1" applyFill="1" applyBorder="1"/>
    <xf numFmtId="0" fontId="3" fillId="6" borderId="17" xfId="0" applyFont="1" applyFill="1" applyBorder="1" applyAlignment="1">
      <alignment horizontal="left"/>
    </xf>
    <xf numFmtId="0" fontId="3" fillId="0" borderId="18" xfId="0" applyFont="1" applyBorder="1"/>
    <xf numFmtId="0" fontId="2" fillId="6" borderId="18" xfId="0" applyFont="1" applyFill="1" applyBorder="1"/>
    <xf numFmtId="10" fontId="0" fillId="0" borderId="0" xfId="0" applyNumberFormat="1"/>
    <xf numFmtId="165" fontId="0" fillId="0" borderId="0" xfId="0" applyNumberFormat="1"/>
    <xf numFmtId="14" fontId="3" fillId="3" borderId="14" xfId="0" applyNumberFormat="1" applyFont="1" applyFill="1" applyBorder="1" applyAlignment="1">
      <alignment horizontal="center"/>
    </xf>
    <xf numFmtId="0" fontId="12" fillId="9" borderId="14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/>
    </xf>
    <xf numFmtId="0" fontId="7" fillId="8" borderId="1" xfId="2" applyFill="1" applyBorder="1" applyAlignment="1">
      <alignment horizontal="center"/>
    </xf>
    <xf numFmtId="165" fontId="0" fillId="0" borderId="0" xfId="0" applyNumberFormat="1" applyFill="1"/>
    <xf numFmtId="10" fontId="0" fillId="0" borderId="0" xfId="0" applyNumberFormat="1" applyFill="1"/>
    <xf numFmtId="0" fontId="2" fillId="0" borderId="0" xfId="0" applyFont="1" applyFill="1"/>
    <xf numFmtId="0" fontId="12" fillId="9" borderId="0" xfId="0" applyFont="1" applyFill="1" applyAlignment="1">
      <alignment horizontal="center"/>
    </xf>
    <xf numFmtId="0" fontId="3" fillId="8" borderId="1" xfId="2" applyFont="1" applyFill="1" applyBorder="1" applyAlignment="1">
      <alignment horizontal="center"/>
    </xf>
    <xf numFmtId="14" fontId="2" fillId="0" borderId="0" xfId="0" applyNumberFormat="1" applyFont="1"/>
    <xf numFmtId="0" fontId="3" fillId="8" borderId="14" xfId="1" applyNumberFormat="1" applyFont="1" applyFill="1" applyBorder="1" applyAlignment="1">
      <alignment horizontal="center"/>
    </xf>
    <xf numFmtId="14" fontId="5" fillId="2" borderId="3" xfId="3" applyNumberFormat="1" applyFont="1" applyFill="1" applyBorder="1"/>
    <xf numFmtId="0" fontId="3" fillId="6" borderId="0" xfId="0" applyFont="1" applyFill="1" applyAlignment="1">
      <alignment horizontal="left" vertical="top" wrapText="1"/>
    </xf>
    <xf numFmtId="0" fontId="3" fillId="3" borderId="9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right"/>
    </xf>
    <xf numFmtId="0" fontId="3" fillId="3" borderId="11" xfId="0" applyFont="1" applyFill="1" applyBorder="1" applyAlignment="1">
      <alignment horizontal="right"/>
    </xf>
    <xf numFmtId="0" fontId="3" fillId="4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right"/>
    </xf>
    <xf numFmtId="0" fontId="3" fillId="3" borderId="5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right"/>
    </xf>
    <xf numFmtId="0" fontId="3" fillId="4" borderId="4" xfId="0" applyFont="1" applyFill="1" applyBorder="1" applyAlignment="1">
      <alignment horizontal="right"/>
    </xf>
    <xf numFmtId="0" fontId="3" fillId="4" borderId="5" xfId="0" applyFont="1" applyFill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0" fontId="3" fillId="4" borderId="9" xfId="0" applyFont="1" applyFill="1" applyBorder="1" applyAlignment="1">
      <alignment horizontal="right"/>
    </xf>
    <xf numFmtId="0" fontId="3" fillId="4" borderId="10" xfId="0" applyFont="1" applyFill="1" applyBorder="1" applyAlignment="1">
      <alignment horizontal="right"/>
    </xf>
    <xf numFmtId="0" fontId="3" fillId="4" borderId="11" xfId="0" applyFont="1" applyFill="1" applyBorder="1" applyAlignment="1">
      <alignment horizontal="right"/>
    </xf>
    <xf numFmtId="0" fontId="3" fillId="4" borderId="8" xfId="0" applyFont="1" applyFill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0" fontId="3" fillId="4" borderId="12" xfId="0" applyFont="1" applyFill="1" applyBorder="1" applyAlignment="1">
      <alignment horizontal="right"/>
    </xf>
    <xf numFmtId="0" fontId="3" fillId="4" borderId="9" xfId="0" applyFont="1" applyFill="1" applyBorder="1" applyAlignment="1">
      <alignment horizontal="left"/>
    </xf>
    <xf numFmtId="0" fontId="3" fillId="4" borderId="10" xfId="0" applyFont="1" applyFill="1" applyBorder="1" applyAlignment="1">
      <alignment horizontal="left"/>
    </xf>
    <xf numFmtId="0" fontId="3" fillId="4" borderId="11" xfId="0" applyFont="1" applyFill="1" applyBorder="1" applyAlignment="1">
      <alignment horizontal="left"/>
    </xf>
    <xf numFmtId="0" fontId="0" fillId="0" borderId="1" xfId="0" applyBorder="1" applyAlignment="1">
      <alignment horizontal="center"/>
    </xf>
  </cellXfs>
  <cellStyles count="5">
    <cellStyle name="Lien hypertexte" xfId="2" builtinId="8"/>
    <cellStyle name="Milliers" xfId="4" builtinId="3"/>
    <cellStyle name="Normal" xfId="0" builtinId="0"/>
    <cellStyle name="Normal 3" xfId="3"/>
    <cellStyle name="Pourcentage" xfId="1" builtinId="5"/>
  </cellStyles>
  <dxfs count="0"/>
  <tableStyles count="0" defaultTableStyle="TableStyleMedium2" defaultPivotStyle="PivotStyleLight16"/>
  <colors>
    <mruColors>
      <color rgb="FF5925DB"/>
      <color rgb="FF72A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260324320924138E-2"/>
          <c:y val="3.776966903527304E-2"/>
          <c:w val="0.82668766995308152"/>
          <c:h val="0.72253925359921722"/>
        </c:manualLayout>
      </c:layout>
      <c:scatterChart>
        <c:scatterStyle val="smoothMarker"/>
        <c:varyColors val="0"/>
        <c:ser>
          <c:idx val="0"/>
          <c:order val="0"/>
          <c:tx>
            <c:v>Cours de l'observation</c:v>
          </c:tx>
          <c:marker>
            <c:symbol val="none"/>
          </c:marker>
          <c:dPt>
            <c:idx val="10"/>
            <c:marker>
              <c:symbol val="circle"/>
              <c:size val="8"/>
              <c:spPr>
                <a:solidFill>
                  <a:srgbClr val="C6D9F1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9D2-4D29-948A-D5BF9D8C5B1A}"/>
              </c:ext>
            </c:extLst>
          </c:dPt>
          <c:dLbls>
            <c:dLbl>
              <c:idx val="1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E9D2-4D29-948A-D5BF9D8C5B1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Graphe!$F$68:$F$78</c:f>
              <c:numCache>
                <c:formatCode>General</c:formatCode>
                <c:ptCount val="11"/>
                <c:pt idx="0">
                  <c:v>1</c:v>
                </c:pt>
                <c:pt idx="1">
                  <c:v>0.93354562810509223</c:v>
                </c:pt>
                <c:pt idx="2">
                  <c:v>0.95615792123355436</c:v>
                </c:pt>
                <c:pt idx="3">
                  <c:v>0.80200068554145076</c:v>
                </c:pt>
                <c:pt idx="4">
                  <c:v>0.77287530077358035</c:v>
                </c:pt>
                <c:pt idx="5">
                  <c:v>0.86690296893655272</c:v>
                </c:pt>
                <c:pt idx="6">
                  <c:v>0.83965081987779766</c:v>
                </c:pt>
                <c:pt idx="7">
                  <c:v>0.77284829396692301</c:v>
                </c:pt>
                <c:pt idx="8">
                  <c:v>0.7705658946975239</c:v>
                </c:pt>
                <c:pt idx="9">
                  <c:v>0.7493425148986409</c:v>
                </c:pt>
                <c:pt idx="10">
                  <c:v>0.55000000000000004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D2-4D29-948A-D5BF9D8C5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2560"/>
        <c:axId val="45171072"/>
      </c:scatterChart>
      <c:scatterChart>
        <c:scatterStyle val="lineMarker"/>
        <c:varyColors val="0"/>
        <c:ser>
          <c:idx val="1"/>
          <c:order val="1"/>
          <c:tx>
            <c:v>Dates évaluation</c:v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Graphe!$D$68:$D$78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2-4D29-948A-D5BF9D8C5B1A}"/>
            </c:ext>
          </c:extLst>
        </c:ser>
        <c:ser>
          <c:idx val="2"/>
          <c:order val="2"/>
          <c:tx>
            <c:v>Seuil de remboursement</c:v>
          </c:tx>
          <c:spPr>
            <a:ln w="28575">
              <a:noFill/>
            </a:ln>
          </c:spPr>
          <c:marker>
            <c:symbol val="x"/>
            <c:size val="10"/>
          </c:marker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Graphe!$C$68:$C$78</c:f>
              <c:numCache>
                <c:formatCode>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2-4D29-948A-D5BF9D8C5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2560"/>
        <c:axId val="45171072"/>
      </c:scatterChart>
      <c:valAx>
        <c:axId val="47442560"/>
        <c:scaling>
          <c:orientation val="minMax"/>
          <c:max val="47301"/>
          <c:min val="43448"/>
        </c:scaling>
        <c:delete val="0"/>
        <c:axPos val="b"/>
        <c:numFmt formatCode="[$-40C]mmm\-yy;@" sourceLinked="0"/>
        <c:majorTickMark val="none"/>
        <c:minorTickMark val="none"/>
        <c:tickLblPos val="low"/>
        <c:spPr>
          <a:ln>
            <a:tailEnd type="arrow"/>
          </a:ln>
        </c:spPr>
        <c:txPr>
          <a:bodyPr rot="0"/>
          <a:lstStyle/>
          <a:p>
            <a:pPr>
              <a:defRPr/>
            </a:pPr>
            <a:endParaRPr lang="fr-FR"/>
          </a:p>
        </c:txPr>
        <c:crossAx val="45171072"/>
        <c:crossesAt val="1"/>
        <c:crossBetween val="midCat"/>
        <c:majorUnit val="367"/>
      </c:valAx>
      <c:valAx>
        <c:axId val="45171072"/>
        <c:scaling>
          <c:orientation val="minMax"/>
          <c:max val="1.2"/>
          <c:min val="0.30000000000000004"/>
        </c:scaling>
        <c:delete val="0"/>
        <c:axPos val="l"/>
        <c:numFmt formatCode="0%" sourceLinked="0"/>
        <c:majorTickMark val="none"/>
        <c:minorTickMark val="none"/>
        <c:tickLblPos val="nextTo"/>
        <c:spPr>
          <a:ln>
            <a:tailEnd type="arrow"/>
          </a:ln>
        </c:spPr>
        <c:crossAx val="47442560"/>
        <c:crossesAt val="43448"/>
        <c:crossBetween val="midCat"/>
        <c:majorUnit val="0.1"/>
      </c:valAx>
    </c:plotArea>
    <c:legend>
      <c:legendPos val="b"/>
      <c:layout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63903332838112E-2"/>
          <c:y val="3.4275932899691879E-2"/>
          <c:w val="0.82433516565146325"/>
          <c:h val="0.73564547206165698"/>
        </c:manualLayout>
      </c:layout>
      <c:scatterChart>
        <c:scatterStyle val="smoothMarker"/>
        <c:varyColors val="0"/>
        <c:ser>
          <c:idx val="0"/>
          <c:order val="0"/>
          <c:tx>
            <c:v>Cours de l'observation</c:v>
          </c:tx>
          <c:marker>
            <c:symbol val="none"/>
          </c:marker>
          <c:dPt>
            <c:idx val="10"/>
            <c:marker>
              <c:symbol val="circle"/>
              <c:size val="8"/>
              <c:spPr>
                <a:solidFill>
                  <a:srgbClr val="C6D9F1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EE8-45ED-87F2-E42BF55853E1}"/>
              </c:ext>
            </c:extLst>
          </c:dPt>
          <c:dLbls>
            <c:dLbl>
              <c:idx val="1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1EE8-45ED-87F2-E42BF55853E1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Graphe!$F$181:$F$191</c:f>
              <c:numCache>
                <c:formatCode>General</c:formatCode>
                <c:ptCount val="11"/>
                <c:pt idx="0">
                  <c:v>1</c:v>
                </c:pt>
                <c:pt idx="1">
                  <c:v>0.83065748510135906</c:v>
                </c:pt>
                <c:pt idx="2">
                  <c:v>0.96842710823655676</c:v>
                </c:pt>
                <c:pt idx="3">
                  <c:v>0.85761220911962788</c:v>
                </c:pt>
                <c:pt idx="4">
                  <c:v>0.95297617467155493</c:v>
                </c:pt>
                <c:pt idx="5">
                  <c:v>0.85810694991272307</c:v>
                </c:pt>
                <c:pt idx="6">
                  <c:v>0.87058830742213511</c:v>
                </c:pt>
                <c:pt idx="7">
                  <c:v>0.88950859532359328</c:v>
                </c:pt>
                <c:pt idx="8">
                  <c:v>0.83065748510135906</c:v>
                </c:pt>
                <c:pt idx="9">
                  <c:v>0.85447985118900183</c:v>
                </c:pt>
                <c:pt idx="10">
                  <c:v>0.92455482593827343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8-45ED-87F2-E42BF5585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11648"/>
        <c:axId val="45213184"/>
      </c:scatterChart>
      <c:scatterChart>
        <c:scatterStyle val="lineMarker"/>
        <c:varyColors val="0"/>
        <c:ser>
          <c:idx val="1"/>
          <c:order val="1"/>
          <c:tx>
            <c:v>Dates évaluation</c:v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Graphe!$D$68:$D$78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E8-45ED-87F2-E42BF55853E1}"/>
            </c:ext>
          </c:extLst>
        </c:ser>
        <c:ser>
          <c:idx val="2"/>
          <c:order val="2"/>
          <c:tx>
            <c:v>Seuil de remboursement</c:v>
          </c:tx>
          <c:spPr>
            <a:ln w="28575">
              <a:noFill/>
            </a:ln>
          </c:spPr>
          <c:marker>
            <c:symbol val="x"/>
            <c:size val="10"/>
          </c:marker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Graphe!$C$68:$C$78</c:f>
              <c:numCache>
                <c:formatCode>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E8-45ED-87F2-E42BF5585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11648"/>
        <c:axId val="45213184"/>
      </c:scatterChart>
      <c:valAx>
        <c:axId val="45211648"/>
        <c:scaling>
          <c:orientation val="minMax"/>
          <c:max val="47301"/>
          <c:min val="43448"/>
        </c:scaling>
        <c:delete val="0"/>
        <c:axPos val="b"/>
        <c:numFmt formatCode="[$-40C]mmm\-yy;@" sourceLinked="0"/>
        <c:majorTickMark val="none"/>
        <c:minorTickMark val="none"/>
        <c:tickLblPos val="low"/>
        <c:spPr>
          <a:ln>
            <a:tailEnd type="arrow"/>
          </a:ln>
        </c:spPr>
        <c:crossAx val="45213184"/>
        <c:crossesAt val="1"/>
        <c:crossBetween val="midCat"/>
        <c:majorUnit val="367"/>
      </c:valAx>
      <c:valAx>
        <c:axId val="45213184"/>
        <c:scaling>
          <c:orientation val="minMax"/>
          <c:max val="1.2"/>
          <c:min val="0.30000000000000004"/>
        </c:scaling>
        <c:delete val="0"/>
        <c:axPos val="l"/>
        <c:numFmt formatCode="0%" sourceLinked="0"/>
        <c:majorTickMark val="none"/>
        <c:minorTickMark val="none"/>
        <c:tickLblPos val="nextTo"/>
        <c:spPr>
          <a:ln>
            <a:tailEnd type="arrow"/>
          </a:ln>
        </c:spPr>
        <c:crossAx val="45211648"/>
        <c:crossesAt val="43448"/>
        <c:crossBetween val="midCat"/>
        <c:majorUnit val="0.1"/>
      </c:valAx>
    </c:plotArea>
    <c:legend>
      <c:legendPos val="b"/>
      <c:layout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944494046570077E-2"/>
          <c:y val="3.9394034953053325E-2"/>
          <c:w val="0.84906788915367237"/>
          <c:h val="0.71143845933424066"/>
        </c:manualLayout>
      </c:layout>
      <c:scatterChart>
        <c:scatterStyle val="smoothMarker"/>
        <c:varyColors val="0"/>
        <c:ser>
          <c:idx val="0"/>
          <c:order val="0"/>
          <c:tx>
            <c:v>Cours de l'observation</c:v>
          </c:tx>
          <c:marker>
            <c:symbol val="none"/>
          </c:marker>
          <c:dPt>
            <c:idx val="10"/>
            <c:marker>
              <c:symbol val="circle"/>
              <c:size val="8"/>
              <c:spPr>
                <a:solidFill>
                  <a:srgbClr val="C6D9F1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242-4A98-8E5D-ED2AA4B0370E}"/>
              </c:ext>
            </c:extLst>
          </c:dPt>
          <c:dLbls>
            <c:dLbl>
              <c:idx val="1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B242-4A98-8E5D-ED2AA4B0370E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Graphe!$F$294:$F$304</c:f>
              <c:numCache>
                <c:formatCode>General</c:formatCode>
                <c:ptCount val="11"/>
                <c:pt idx="0">
                  <c:v>1</c:v>
                </c:pt>
                <c:pt idx="1">
                  <c:v>0.96842710823655676</c:v>
                </c:pt>
                <c:pt idx="2">
                  <c:v>0.92455482593827343</c:v>
                </c:pt>
                <c:pt idx="3">
                  <c:v>0.93756010426003045</c:v>
                </c:pt>
                <c:pt idx="4">
                  <c:v>0.90464253281458407</c:v>
                </c:pt>
                <c:pt idx="5">
                  <c:v>0.88950859532359328</c:v>
                </c:pt>
                <c:pt idx="6">
                  <c:v>0.90526057843232666</c:v>
                </c:pt>
                <c:pt idx="7">
                  <c:v>0.83074492273636324</c:v>
                </c:pt>
                <c:pt idx="8">
                  <c:v>0.83434000162576827</c:v>
                </c:pt>
                <c:pt idx="9">
                  <c:v>0.83455734611327226</c:v>
                </c:pt>
                <c:pt idx="10">
                  <c:v>1.1000000000000001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42-4A98-8E5D-ED2AA4B03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0768"/>
        <c:axId val="47602304"/>
      </c:scatterChart>
      <c:scatterChart>
        <c:scatterStyle val="lineMarker"/>
        <c:varyColors val="0"/>
        <c:ser>
          <c:idx val="1"/>
          <c:order val="1"/>
          <c:tx>
            <c:v>Dates évaluation</c:v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Graphe!$D$68:$D$78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42-4A98-8E5D-ED2AA4B0370E}"/>
            </c:ext>
          </c:extLst>
        </c:ser>
        <c:ser>
          <c:idx val="2"/>
          <c:order val="2"/>
          <c:tx>
            <c:v>Seuil de remboursement</c:v>
          </c:tx>
          <c:spPr>
            <a:ln w="28575">
              <a:noFill/>
            </a:ln>
          </c:spPr>
          <c:marker>
            <c:symbol val="x"/>
            <c:size val="10"/>
          </c:marker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Graphe!$C$68:$C$78</c:f>
              <c:numCache>
                <c:formatCode>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42-4A98-8E5D-ED2AA4B03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0768"/>
        <c:axId val="47602304"/>
      </c:scatterChart>
      <c:valAx>
        <c:axId val="47600768"/>
        <c:scaling>
          <c:orientation val="minMax"/>
          <c:max val="47301"/>
          <c:min val="43448"/>
        </c:scaling>
        <c:delete val="0"/>
        <c:axPos val="b"/>
        <c:numFmt formatCode="[$-40C]mmm\-yy;@" sourceLinked="0"/>
        <c:majorTickMark val="none"/>
        <c:minorTickMark val="none"/>
        <c:tickLblPos val="low"/>
        <c:spPr>
          <a:ln>
            <a:tailEnd type="arrow"/>
          </a:ln>
        </c:spPr>
        <c:crossAx val="47602304"/>
        <c:crossesAt val="1"/>
        <c:crossBetween val="midCat"/>
        <c:majorUnit val="367"/>
      </c:valAx>
      <c:valAx>
        <c:axId val="47602304"/>
        <c:scaling>
          <c:orientation val="minMax"/>
          <c:max val="1.2"/>
          <c:min val="0.30000000000000004"/>
        </c:scaling>
        <c:delete val="0"/>
        <c:axPos val="l"/>
        <c:numFmt formatCode="0%" sourceLinked="0"/>
        <c:majorTickMark val="none"/>
        <c:minorTickMark val="none"/>
        <c:tickLblPos val="nextTo"/>
        <c:spPr>
          <a:ln>
            <a:headEnd type="none"/>
            <a:tailEnd type="arrow"/>
          </a:ln>
        </c:spPr>
        <c:crossAx val="47600768"/>
        <c:crossesAt val="43448"/>
        <c:crossBetween val="midCat"/>
        <c:majorUnit val="0.1"/>
      </c:valAx>
    </c:plotArea>
    <c:legend>
      <c:legendPos val="b"/>
      <c:layout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944494046570077E-2"/>
          <c:y val="3.9394034953053325E-2"/>
          <c:w val="0.84525836591550563"/>
          <c:h val="0.71477528512017352"/>
        </c:manualLayout>
      </c:layout>
      <c:scatterChart>
        <c:scatterStyle val="smoothMarker"/>
        <c:varyColors val="0"/>
        <c:ser>
          <c:idx val="0"/>
          <c:order val="0"/>
          <c:tx>
            <c:v>Cours de l'observation</c:v>
          </c:tx>
          <c:marker>
            <c:symbol val="none"/>
          </c:marker>
          <c:dPt>
            <c:idx val="1"/>
            <c:marker>
              <c:symbol val="circle"/>
              <c:size val="8"/>
              <c:spPr>
                <a:solidFill>
                  <a:srgbClr val="C6D9F1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B96-4766-8397-F730A92F0505}"/>
              </c:ext>
            </c:extLst>
          </c:dPt>
          <c:dLbls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8B96-4766-8397-F730A92F050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Graphe!$F$407:$F$417</c:f>
              <c:numCache>
                <c:formatCode>m/d/yyyy</c:formatCode>
                <c:ptCount val="11"/>
                <c:pt idx="0">
                  <c:v>1</c:v>
                </c:pt>
                <c:pt idx="1">
                  <c:v>1.1499999999999999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96-4766-8397-F730A92F0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584"/>
        <c:axId val="47941120"/>
      </c:scatterChart>
      <c:scatterChart>
        <c:scatterStyle val="lineMarker"/>
        <c:varyColors val="0"/>
        <c:ser>
          <c:idx val="1"/>
          <c:order val="1"/>
          <c:tx>
            <c:v>Dates évaluation</c:v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Graphe!$D$68:$D$78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96-4766-8397-F730A92F0505}"/>
            </c:ext>
          </c:extLst>
        </c:ser>
        <c:ser>
          <c:idx val="2"/>
          <c:order val="2"/>
          <c:tx>
            <c:v>Seuil de remboursement</c:v>
          </c:tx>
          <c:spPr>
            <a:ln w="28575">
              <a:noFill/>
            </a:ln>
          </c:spPr>
          <c:marker>
            <c:symbol val="x"/>
            <c:size val="10"/>
          </c:marker>
          <c:xVal>
            <c:numRef>
              <c:f>Graphe!$B$68:$B$78</c:f>
              <c:numCache>
                <c:formatCode>m/d/yyyy</c:formatCode>
                <c:ptCount val="11"/>
                <c:pt idx="0">
                  <c:v>43448</c:v>
                </c:pt>
                <c:pt idx="1">
                  <c:v>43815</c:v>
                </c:pt>
                <c:pt idx="2">
                  <c:v>44179</c:v>
                </c:pt>
                <c:pt idx="3">
                  <c:v>44544</c:v>
                </c:pt>
                <c:pt idx="4">
                  <c:v>44909</c:v>
                </c:pt>
                <c:pt idx="5">
                  <c:v>45274</c:v>
                </c:pt>
                <c:pt idx="6">
                  <c:v>45642</c:v>
                </c:pt>
                <c:pt idx="7">
                  <c:v>46006</c:v>
                </c:pt>
                <c:pt idx="8">
                  <c:v>46370</c:v>
                </c:pt>
                <c:pt idx="9">
                  <c:v>46735</c:v>
                </c:pt>
                <c:pt idx="10">
                  <c:v>47101</c:v>
                </c:pt>
              </c:numCache>
            </c:numRef>
          </c:xVal>
          <c:yVal>
            <c:numRef>
              <c:f>Graphe!$C$68:$C$78</c:f>
              <c:numCache>
                <c:formatCode>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96-4766-8397-F730A92F0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584"/>
        <c:axId val="47941120"/>
      </c:scatterChart>
      <c:valAx>
        <c:axId val="47939584"/>
        <c:scaling>
          <c:orientation val="minMax"/>
          <c:max val="47301"/>
          <c:min val="43448"/>
        </c:scaling>
        <c:delete val="0"/>
        <c:axPos val="b"/>
        <c:numFmt formatCode="[$-40C]mmm\-yy;@" sourceLinked="0"/>
        <c:majorTickMark val="none"/>
        <c:minorTickMark val="none"/>
        <c:tickLblPos val="low"/>
        <c:spPr>
          <a:ln>
            <a:tailEnd type="arrow"/>
          </a:ln>
        </c:spPr>
        <c:crossAx val="47941120"/>
        <c:crossesAt val="1"/>
        <c:crossBetween val="midCat"/>
        <c:majorUnit val="367"/>
      </c:valAx>
      <c:valAx>
        <c:axId val="47941120"/>
        <c:scaling>
          <c:orientation val="minMax"/>
          <c:max val="1.2"/>
          <c:min val="0.30000000000000004"/>
        </c:scaling>
        <c:delete val="0"/>
        <c:axPos val="l"/>
        <c:numFmt formatCode="0%" sourceLinked="0"/>
        <c:majorTickMark val="none"/>
        <c:minorTickMark val="none"/>
        <c:tickLblPos val="nextTo"/>
        <c:spPr>
          <a:ln>
            <a:tailEnd type="arrow"/>
          </a:ln>
        </c:spPr>
        <c:crossAx val="47939584"/>
        <c:crossesAt val="43448"/>
        <c:crossBetween val="midCat"/>
        <c:majorUnit val="0.1"/>
      </c:valAx>
    </c:plotArea>
    <c:legend>
      <c:legendPos val="b"/>
      <c:layout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Tesla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'Perf Historique'!$C$33:$C$2172</c:f>
              <c:numCache>
                <c:formatCode>m/d/yyyy</c:formatCode>
                <c:ptCount val="2140"/>
                <c:pt idx="0">
                  <c:v>40385</c:v>
                </c:pt>
                <c:pt idx="1">
                  <c:v>40386</c:v>
                </c:pt>
                <c:pt idx="2">
                  <c:v>40387</c:v>
                </c:pt>
                <c:pt idx="3">
                  <c:v>40388</c:v>
                </c:pt>
                <c:pt idx="4">
                  <c:v>40389</c:v>
                </c:pt>
                <c:pt idx="5">
                  <c:v>40392</c:v>
                </c:pt>
                <c:pt idx="6">
                  <c:v>40393</c:v>
                </c:pt>
                <c:pt idx="7">
                  <c:v>40394</c:v>
                </c:pt>
                <c:pt idx="8">
                  <c:v>40395</c:v>
                </c:pt>
                <c:pt idx="9">
                  <c:v>40396</c:v>
                </c:pt>
                <c:pt idx="10">
                  <c:v>40399</c:v>
                </c:pt>
                <c:pt idx="11">
                  <c:v>40400</c:v>
                </c:pt>
                <c:pt idx="12">
                  <c:v>40401</c:v>
                </c:pt>
                <c:pt idx="13">
                  <c:v>40402</c:v>
                </c:pt>
                <c:pt idx="14">
                  <c:v>40403</c:v>
                </c:pt>
                <c:pt idx="15">
                  <c:v>40406</c:v>
                </c:pt>
                <c:pt idx="16">
                  <c:v>40407</c:v>
                </c:pt>
                <c:pt idx="17">
                  <c:v>40408</c:v>
                </c:pt>
                <c:pt idx="18">
                  <c:v>40409</c:v>
                </c:pt>
                <c:pt idx="19">
                  <c:v>40410</c:v>
                </c:pt>
                <c:pt idx="20">
                  <c:v>40413</c:v>
                </c:pt>
                <c:pt idx="21">
                  <c:v>40414</c:v>
                </c:pt>
                <c:pt idx="22">
                  <c:v>40415</c:v>
                </c:pt>
                <c:pt idx="23">
                  <c:v>40416</c:v>
                </c:pt>
                <c:pt idx="24">
                  <c:v>40417</c:v>
                </c:pt>
                <c:pt idx="25">
                  <c:v>40420</c:v>
                </c:pt>
                <c:pt idx="26">
                  <c:v>40421</c:v>
                </c:pt>
                <c:pt idx="27">
                  <c:v>40422</c:v>
                </c:pt>
                <c:pt idx="28">
                  <c:v>40423</c:v>
                </c:pt>
                <c:pt idx="29">
                  <c:v>40424</c:v>
                </c:pt>
                <c:pt idx="30">
                  <c:v>40428</c:v>
                </c:pt>
                <c:pt idx="31">
                  <c:v>40429</c:v>
                </c:pt>
                <c:pt idx="32">
                  <c:v>40430</c:v>
                </c:pt>
                <c:pt idx="33">
                  <c:v>40431</c:v>
                </c:pt>
                <c:pt idx="34">
                  <c:v>40434</c:v>
                </c:pt>
                <c:pt idx="35">
                  <c:v>40435</c:v>
                </c:pt>
                <c:pt idx="36">
                  <c:v>40436</c:v>
                </c:pt>
                <c:pt idx="37">
                  <c:v>40437</c:v>
                </c:pt>
                <c:pt idx="38">
                  <c:v>40438</c:v>
                </c:pt>
                <c:pt idx="39">
                  <c:v>40441</c:v>
                </c:pt>
                <c:pt idx="40">
                  <c:v>40442</c:v>
                </c:pt>
                <c:pt idx="41">
                  <c:v>40443</c:v>
                </c:pt>
                <c:pt idx="42">
                  <c:v>40444</c:v>
                </c:pt>
                <c:pt idx="43">
                  <c:v>40445</c:v>
                </c:pt>
                <c:pt idx="44">
                  <c:v>40448</c:v>
                </c:pt>
                <c:pt idx="45">
                  <c:v>40449</c:v>
                </c:pt>
                <c:pt idx="46">
                  <c:v>40450</c:v>
                </c:pt>
                <c:pt idx="47">
                  <c:v>40451</c:v>
                </c:pt>
                <c:pt idx="48">
                  <c:v>40452</c:v>
                </c:pt>
                <c:pt idx="49">
                  <c:v>40455</c:v>
                </c:pt>
                <c:pt idx="50">
                  <c:v>40456</c:v>
                </c:pt>
                <c:pt idx="51">
                  <c:v>40457</c:v>
                </c:pt>
                <c:pt idx="52">
                  <c:v>40458</c:v>
                </c:pt>
                <c:pt idx="53">
                  <c:v>40459</c:v>
                </c:pt>
                <c:pt idx="54">
                  <c:v>40462</c:v>
                </c:pt>
                <c:pt idx="55">
                  <c:v>40463</c:v>
                </c:pt>
                <c:pt idx="56">
                  <c:v>40464</c:v>
                </c:pt>
                <c:pt idx="57">
                  <c:v>40465</c:v>
                </c:pt>
                <c:pt idx="58">
                  <c:v>40466</c:v>
                </c:pt>
                <c:pt idx="59">
                  <c:v>40469</c:v>
                </c:pt>
                <c:pt idx="60">
                  <c:v>40470</c:v>
                </c:pt>
                <c:pt idx="61">
                  <c:v>40471</c:v>
                </c:pt>
                <c:pt idx="62">
                  <c:v>40472</c:v>
                </c:pt>
                <c:pt idx="63">
                  <c:v>40473</c:v>
                </c:pt>
                <c:pt idx="64">
                  <c:v>40476</c:v>
                </c:pt>
                <c:pt idx="65">
                  <c:v>40477</c:v>
                </c:pt>
                <c:pt idx="66">
                  <c:v>40478</c:v>
                </c:pt>
                <c:pt idx="67">
                  <c:v>40479</c:v>
                </c:pt>
                <c:pt idx="68">
                  <c:v>40480</c:v>
                </c:pt>
                <c:pt idx="69">
                  <c:v>40483</c:v>
                </c:pt>
                <c:pt idx="70">
                  <c:v>40484</c:v>
                </c:pt>
                <c:pt idx="71">
                  <c:v>40485</c:v>
                </c:pt>
                <c:pt idx="72">
                  <c:v>40486</c:v>
                </c:pt>
                <c:pt idx="73">
                  <c:v>40487</c:v>
                </c:pt>
                <c:pt idx="74">
                  <c:v>40490</c:v>
                </c:pt>
                <c:pt idx="75">
                  <c:v>40491</c:v>
                </c:pt>
                <c:pt idx="76">
                  <c:v>40492</c:v>
                </c:pt>
                <c:pt idx="77">
                  <c:v>40493</c:v>
                </c:pt>
                <c:pt idx="78">
                  <c:v>40494</c:v>
                </c:pt>
                <c:pt idx="79">
                  <c:v>40497</c:v>
                </c:pt>
                <c:pt idx="80">
                  <c:v>40498</c:v>
                </c:pt>
                <c:pt idx="81">
                  <c:v>40499</c:v>
                </c:pt>
                <c:pt idx="82">
                  <c:v>40500</c:v>
                </c:pt>
                <c:pt idx="83">
                  <c:v>40501</c:v>
                </c:pt>
                <c:pt idx="84">
                  <c:v>40504</c:v>
                </c:pt>
                <c:pt idx="85">
                  <c:v>40505</c:v>
                </c:pt>
                <c:pt idx="86">
                  <c:v>40506</c:v>
                </c:pt>
                <c:pt idx="87">
                  <c:v>40508</c:v>
                </c:pt>
                <c:pt idx="88">
                  <c:v>40511</c:v>
                </c:pt>
                <c:pt idx="89">
                  <c:v>40512</c:v>
                </c:pt>
                <c:pt idx="90">
                  <c:v>40513</c:v>
                </c:pt>
                <c:pt idx="91">
                  <c:v>40514</c:v>
                </c:pt>
                <c:pt idx="92">
                  <c:v>40515</c:v>
                </c:pt>
                <c:pt idx="93">
                  <c:v>40518</c:v>
                </c:pt>
                <c:pt idx="94">
                  <c:v>40519</c:v>
                </c:pt>
                <c:pt idx="95">
                  <c:v>40520</c:v>
                </c:pt>
                <c:pt idx="96">
                  <c:v>40521</c:v>
                </c:pt>
                <c:pt idx="97">
                  <c:v>40522</c:v>
                </c:pt>
                <c:pt idx="98">
                  <c:v>40525</c:v>
                </c:pt>
                <c:pt idx="99">
                  <c:v>40526</c:v>
                </c:pt>
                <c:pt idx="100">
                  <c:v>40527</c:v>
                </c:pt>
                <c:pt idx="101">
                  <c:v>40528</c:v>
                </c:pt>
                <c:pt idx="102">
                  <c:v>40529</c:v>
                </c:pt>
                <c:pt idx="103">
                  <c:v>40532</c:v>
                </c:pt>
                <c:pt idx="104">
                  <c:v>40533</c:v>
                </c:pt>
                <c:pt idx="105">
                  <c:v>40534</c:v>
                </c:pt>
                <c:pt idx="106">
                  <c:v>40535</c:v>
                </c:pt>
                <c:pt idx="107">
                  <c:v>40539</c:v>
                </c:pt>
                <c:pt idx="108">
                  <c:v>40540</c:v>
                </c:pt>
                <c:pt idx="109">
                  <c:v>40541</c:v>
                </c:pt>
                <c:pt idx="110">
                  <c:v>40542</c:v>
                </c:pt>
                <c:pt idx="111">
                  <c:v>40543</c:v>
                </c:pt>
                <c:pt idx="112">
                  <c:v>40546</c:v>
                </c:pt>
                <c:pt idx="113">
                  <c:v>40547</c:v>
                </c:pt>
                <c:pt idx="114">
                  <c:v>40548</c:v>
                </c:pt>
                <c:pt idx="115">
                  <c:v>40549</c:v>
                </c:pt>
                <c:pt idx="116">
                  <c:v>40550</c:v>
                </c:pt>
                <c:pt idx="117">
                  <c:v>40553</c:v>
                </c:pt>
                <c:pt idx="118">
                  <c:v>40554</c:v>
                </c:pt>
                <c:pt idx="119">
                  <c:v>40555</c:v>
                </c:pt>
                <c:pt idx="120">
                  <c:v>40556</c:v>
                </c:pt>
                <c:pt idx="121">
                  <c:v>40557</c:v>
                </c:pt>
                <c:pt idx="122">
                  <c:v>40561</c:v>
                </c:pt>
                <c:pt idx="123">
                  <c:v>40562</c:v>
                </c:pt>
                <c:pt idx="124">
                  <c:v>40563</c:v>
                </c:pt>
                <c:pt idx="125">
                  <c:v>40564</c:v>
                </c:pt>
                <c:pt idx="126">
                  <c:v>40567</c:v>
                </c:pt>
                <c:pt idx="127">
                  <c:v>40568</c:v>
                </c:pt>
                <c:pt idx="128">
                  <c:v>40569</c:v>
                </c:pt>
                <c:pt idx="129">
                  <c:v>40570</c:v>
                </c:pt>
                <c:pt idx="130">
                  <c:v>40571</c:v>
                </c:pt>
                <c:pt idx="131">
                  <c:v>40574</c:v>
                </c:pt>
                <c:pt idx="132">
                  <c:v>40575</c:v>
                </c:pt>
                <c:pt idx="133">
                  <c:v>40576</c:v>
                </c:pt>
                <c:pt idx="134">
                  <c:v>40577</c:v>
                </c:pt>
                <c:pt idx="135">
                  <c:v>40578</c:v>
                </c:pt>
                <c:pt idx="136">
                  <c:v>40581</c:v>
                </c:pt>
                <c:pt idx="137">
                  <c:v>40582</c:v>
                </c:pt>
                <c:pt idx="138">
                  <c:v>40583</c:v>
                </c:pt>
                <c:pt idx="139">
                  <c:v>40584</c:v>
                </c:pt>
                <c:pt idx="140">
                  <c:v>40585</c:v>
                </c:pt>
                <c:pt idx="141">
                  <c:v>40588</c:v>
                </c:pt>
                <c:pt idx="142">
                  <c:v>40589</c:v>
                </c:pt>
                <c:pt idx="143">
                  <c:v>40590</c:v>
                </c:pt>
                <c:pt idx="144">
                  <c:v>40591</c:v>
                </c:pt>
                <c:pt idx="145">
                  <c:v>40592</c:v>
                </c:pt>
                <c:pt idx="146">
                  <c:v>40596</c:v>
                </c:pt>
                <c:pt idx="147">
                  <c:v>40597</c:v>
                </c:pt>
                <c:pt idx="148">
                  <c:v>40598</c:v>
                </c:pt>
                <c:pt idx="149">
                  <c:v>40599</c:v>
                </c:pt>
                <c:pt idx="150">
                  <c:v>40602</c:v>
                </c:pt>
                <c:pt idx="151">
                  <c:v>40603</c:v>
                </c:pt>
                <c:pt idx="152">
                  <c:v>40604</c:v>
                </c:pt>
                <c:pt idx="153">
                  <c:v>40605</c:v>
                </c:pt>
                <c:pt idx="154">
                  <c:v>40606</c:v>
                </c:pt>
                <c:pt idx="155">
                  <c:v>40609</c:v>
                </c:pt>
                <c:pt idx="156">
                  <c:v>40610</c:v>
                </c:pt>
                <c:pt idx="157">
                  <c:v>40611</c:v>
                </c:pt>
                <c:pt idx="158">
                  <c:v>40612</c:v>
                </c:pt>
                <c:pt idx="159">
                  <c:v>40613</c:v>
                </c:pt>
                <c:pt idx="160">
                  <c:v>40616</c:v>
                </c:pt>
                <c:pt idx="161">
                  <c:v>40617</c:v>
                </c:pt>
                <c:pt idx="162">
                  <c:v>40618</c:v>
                </c:pt>
                <c:pt idx="163">
                  <c:v>40619</c:v>
                </c:pt>
                <c:pt idx="164">
                  <c:v>40620</c:v>
                </c:pt>
                <c:pt idx="165">
                  <c:v>40623</c:v>
                </c:pt>
                <c:pt idx="166">
                  <c:v>40624</c:v>
                </c:pt>
                <c:pt idx="167">
                  <c:v>40625</c:v>
                </c:pt>
                <c:pt idx="168">
                  <c:v>40626</c:v>
                </c:pt>
                <c:pt idx="169">
                  <c:v>40627</c:v>
                </c:pt>
                <c:pt idx="170">
                  <c:v>40630</c:v>
                </c:pt>
                <c:pt idx="171">
                  <c:v>40631</c:v>
                </c:pt>
                <c:pt idx="172">
                  <c:v>40632</c:v>
                </c:pt>
                <c:pt idx="173">
                  <c:v>40633</c:v>
                </c:pt>
                <c:pt idx="174">
                  <c:v>40634</c:v>
                </c:pt>
                <c:pt idx="175">
                  <c:v>40637</c:v>
                </c:pt>
                <c:pt idx="176">
                  <c:v>40638</c:v>
                </c:pt>
                <c:pt idx="177">
                  <c:v>40639</c:v>
                </c:pt>
                <c:pt idx="178">
                  <c:v>40640</c:v>
                </c:pt>
                <c:pt idx="179">
                  <c:v>40641</c:v>
                </c:pt>
                <c:pt idx="180">
                  <c:v>40644</c:v>
                </c:pt>
                <c:pt idx="181">
                  <c:v>40645</c:v>
                </c:pt>
                <c:pt idx="182">
                  <c:v>40646</c:v>
                </c:pt>
                <c:pt idx="183">
                  <c:v>40647</c:v>
                </c:pt>
                <c:pt idx="184">
                  <c:v>40648</c:v>
                </c:pt>
                <c:pt idx="185">
                  <c:v>40651</c:v>
                </c:pt>
                <c:pt idx="186">
                  <c:v>40652</c:v>
                </c:pt>
                <c:pt idx="187">
                  <c:v>40653</c:v>
                </c:pt>
                <c:pt idx="188">
                  <c:v>40654</c:v>
                </c:pt>
                <c:pt idx="189">
                  <c:v>40658</c:v>
                </c:pt>
                <c:pt idx="190">
                  <c:v>40659</c:v>
                </c:pt>
                <c:pt idx="191">
                  <c:v>40660</c:v>
                </c:pt>
                <c:pt idx="192">
                  <c:v>40661</c:v>
                </c:pt>
                <c:pt idx="193">
                  <c:v>40662</c:v>
                </c:pt>
                <c:pt idx="194">
                  <c:v>40665</c:v>
                </c:pt>
                <c:pt idx="195">
                  <c:v>40666</c:v>
                </c:pt>
                <c:pt idx="196">
                  <c:v>40667</c:v>
                </c:pt>
                <c:pt idx="197">
                  <c:v>40668</c:v>
                </c:pt>
                <c:pt idx="198">
                  <c:v>40669</c:v>
                </c:pt>
                <c:pt idx="199">
                  <c:v>40672</c:v>
                </c:pt>
                <c:pt idx="200">
                  <c:v>40673</c:v>
                </c:pt>
                <c:pt idx="201">
                  <c:v>40674</c:v>
                </c:pt>
                <c:pt idx="202">
                  <c:v>40675</c:v>
                </c:pt>
                <c:pt idx="203">
                  <c:v>40676</c:v>
                </c:pt>
                <c:pt idx="204">
                  <c:v>40679</c:v>
                </c:pt>
                <c:pt idx="205">
                  <c:v>40680</c:v>
                </c:pt>
                <c:pt idx="206">
                  <c:v>40681</c:v>
                </c:pt>
                <c:pt idx="207">
                  <c:v>40682</c:v>
                </c:pt>
                <c:pt idx="208">
                  <c:v>40683</c:v>
                </c:pt>
                <c:pt idx="209">
                  <c:v>40686</c:v>
                </c:pt>
                <c:pt idx="210">
                  <c:v>40687</c:v>
                </c:pt>
                <c:pt idx="211">
                  <c:v>40688</c:v>
                </c:pt>
                <c:pt idx="212">
                  <c:v>40689</c:v>
                </c:pt>
                <c:pt idx="213">
                  <c:v>40690</c:v>
                </c:pt>
                <c:pt idx="214">
                  <c:v>40694</c:v>
                </c:pt>
                <c:pt idx="215">
                  <c:v>40695</c:v>
                </c:pt>
                <c:pt idx="216">
                  <c:v>40696</c:v>
                </c:pt>
                <c:pt idx="217">
                  <c:v>40697</c:v>
                </c:pt>
                <c:pt idx="218">
                  <c:v>40700</c:v>
                </c:pt>
                <c:pt idx="219">
                  <c:v>40701</c:v>
                </c:pt>
                <c:pt idx="220">
                  <c:v>40702</c:v>
                </c:pt>
                <c:pt idx="221">
                  <c:v>40703</c:v>
                </c:pt>
                <c:pt idx="222">
                  <c:v>40704</c:v>
                </c:pt>
                <c:pt idx="223">
                  <c:v>40707</c:v>
                </c:pt>
                <c:pt idx="224">
                  <c:v>40708</c:v>
                </c:pt>
                <c:pt idx="225">
                  <c:v>40709</c:v>
                </c:pt>
                <c:pt idx="226">
                  <c:v>40710</c:v>
                </c:pt>
                <c:pt idx="227">
                  <c:v>40711</c:v>
                </c:pt>
                <c:pt idx="228">
                  <c:v>40714</c:v>
                </c:pt>
                <c:pt idx="229">
                  <c:v>40715</c:v>
                </c:pt>
                <c:pt idx="230">
                  <c:v>40716</c:v>
                </c:pt>
                <c:pt idx="231">
                  <c:v>40717</c:v>
                </c:pt>
                <c:pt idx="232">
                  <c:v>40718</c:v>
                </c:pt>
                <c:pt idx="233">
                  <c:v>40721</c:v>
                </c:pt>
                <c:pt idx="234">
                  <c:v>40722</c:v>
                </c:pt>
                <c:pt idx="235">
                  <c:v>40723</c:v>
                </c:pt>
                <c:pt idx="236">
                  <c:v>40724</c:v>
                </c:pt>
                <c:pt idx="237">
                  <c:v>40725</c:v>
                </c:pt>
                <c:pt idx="238">
                  <c:v>40729</c:v>
                </c:pt>
                <c:pt idx="239">
                  <c:v>40730</c:v>
                </c:pt>
                <c:pt idx="240">
                  <c:v>40731</c:v>
                </c:pt>
                <c:pt idx="241">
                  <c:v>40732</c:v>
                </c:pt>
                <c:pt idx="242">
                  <c:v>40735</c:v>
                </c:pt>
                <c:pt idx="243">
                  <c:v>40736</c:v>
                </c:pt>
                <c:pt idx="244">
                  <c:v>40737</c:v>
                </c:pt>
                <c:pt idx="245">
                  <c:v>40738</c:v>
                </c:pt>
                <c:pt idx="246">
                  <c:v>40739</c:v>
                </c:pt>
                <c:pt idx="247">
                  <c:v>40742</c:v>
                </c:pt>
                <c:pt idx="248">
                  <c:v>40743</c:v>
                </c:pt>
                <c:pt idx="249">
                  <c:v>40744</c:v>
                </c:pt>
                <c:pt idx="250">
                  <c:v>40745</c:v>
                </c:pt>
                <c:pt idx="251">
                  <c:v>40746</c:v>
                </c:pt>
                <c:pt idx="252">
                  <c:v>40749</c:v>
                </c:pt>
                <c:pt idx="253">
                  <c:v>40750</c:v>
                </c:pt>
                <c:pt idx="254">
                  <c:v>40751</c:v>
                </c:pt>
                <c:pt idx="255">
                  <c:v>40752</c:v>
                </c:pt>
                <c:pt idx="256">
                  <c:v>40753</c:v>
                </c:pt>
                <c:pt idx="257">
                  <c:v>40756</c:v>
                </c:pt>
                <c:pt idx="258">
                  <c:v>40757</c:v>
                </c:pt>
                <c:pt idx="259">
                  <c:v>40758</c:v>
                </c:pt>
                <c:pt idx="260">
                  <c:v>40759</c:v>
                </c:pt>
                <c:pt idx="261">
                  <c:v>40760</c:v>
                </c:pt>
                <c:pt idx="262">
                  <c:v>40763</c:v>
                </c:pt>
                <c:pt idx="263">
                  <c:v>40764</c:v>
                </c:pt>
                <c:pt idx="264">
                  <c:v>40765</c:v>
                </c:pt>
                <c:pt idx="265">
                  <c:v>40766</c:v>
                </c:pt>
                <c:pt idx="266">
                  <c:v>40767</c:v>
                </c:pt>
                <c:pt idx="267">
                  <c:v>40770</c:v>
                </c:pt>
                <c:pt idx="268">
                  <c:v>40771</c:v>
                </c:pt>
                <c:pt idx="269">
                  <c:v>40772</c:v>
                </c:pt>
                <c:pt idx="270">
                  <c:v>40773</c:v>
                </c:pt>
                <c:pt idx="271">
                  <c:v>40774</c:v>
                </c:pt>
                <c:pt idx="272">
                  <c:v>40777</c:v>
                </c:pt>
                <c:pt idx="273">
                  <c:v>40778</c:v>
                </c:pt>
                <c:pt idx="274">
                  <c:v>40779</c:v>
                </c:pt>
                <c:pt idx="275">
                  <c:v>40780</c:v>
                </c:pt>
                <c:pt idx="276">
                  <c:v>40781</c:v>
                </c:pt>
                <c:pt idx="277">
                  <c:v>40784</c:v>
                </c:pt>
                <c:pt idx="278">
                  <c:v>40785</c:v>
                </c:pt>
                <c:pt idx="279">
                  <c:v>40786</c:v>
                </c:pt>
                <c:pt idx="280">
                  <c:v>40787</c:v>
                </c:pt>
                <c:pt idx="281">
                  <c:v>40788</c:v>
                </c:pt>
                <c:pt idx="282">
                  <c:v>40792</c:v>
                </c:pt>
                <c:pt idx="283">
                  <c:v>40793</c:v>
                </c:pt>
                <c:pt idx="284">
                  <c:v>40794</c:v>
                </c:pt>
                <c:pt idx="285">
                  <c:v>40795</c:v>
                </c:pt>
                <c:pt idx="286">
                  <c:v>40798</c:v>
                </c:pt>
                <c:pt idx="287">
                  <c:v>40799</c:v>
                </c:pt>
                <c:pt idx="288">
                  <c:v>40800</c:v>
                </c:pt>
                <c:pt idx="289">
                  <c:v>40801</c:v>
                </c:pt>
                <c:pt idx="290">
                  <c:v>40802</c:v>
                </c:pt>
                <c:pt idx="291">
                  <c:v>40805</c:v>
                </c:pt>
                <c:pt idx="292">
                  <c:v>40806</c:v>
                </c:pt>
                <c:pt idx="293">
                  <c:v>40807</c:v>
                </c:pt>
                <c:pt idx="294">
                  <c:v>40808</c:v>
                </c:pt>
                <c:pt idx="295">
                  <c:v>40809</c:v>
                </c:pt>
                <c:pt idx="296">
                  <c:v>40812</c:v>
                </c:pt>
                <c:pt idx="297">
                  <c:v>40813</c:v>
                </c:pt>
                <c:pt idx="298">
                  <c:v>40814</c:v>
                </c:pt>
                <c:pt idx="299">
                  <c:v>40815</c:v>
                </c:pt>
                <c:pt idx="300">
                  <c:v>40816</c:v>
                </c:pt>
                <c:pt idx="301">
                  <c:v>40819</c:v>
                </c:pt>
                <c:pt idx="302">
                  <c:v>40820</c:v>
                </c:pt>
                <c:pt idx="303">
                  <c:v>40821</c:v>
                </c:pt>
                <c:pt idx="304">
                  <c:v>40822</c:v>
                </c:pt>
                <c:pt idx="305">
                  <c:v>40823</c:v>
                </c:pt>
                <c:pt idx="306">
                  <c:v>40826</c:v>
                </c:pt>
                <c:pt idx="307">
                  <c:v>40827</c:v>
                </c:pt>
                <c:pt idx="308">
                  <c:v>40828</c:v>
                </c:pt>
                <c:pt idx="309">
                  <c:v>40829</c:v>
                </c:pt>
                <c:pt idx="310">
                  <c:v>40830</c:v>
                </c:pt>
                <c:pt idx="311">
                  <c:v>40833</c:v>
                </c:pt>
                <c:pt idx="312">
                  <c:v>40834</c:v>
                </c:pt>
                <c:pt idx="313">
                  <c:v>40835</c:v>
                </c:pt>
                <c:pt idx="314">
                  <c:v>40836</c:v>
                </c:pt>
                <c:pt idx="315">
                  <c:v>40837</c:v>
                </c:pt>
                <c:pt idx="316">
                  <c:v>40840</c:v>
                </c:pt>
                <c:pt idx="317">
                  <c:v>40841</c:v>
                </c:pt>
                <c:pt idx="318">
                  <c:v>40842</c:v>
                </c:pt>
                <c:pt idx="319">
                  <c:v>40843</c:v>
                </c:pt>
                <c:pt idx="320">
                  <c:v>40844</c:v>
                </c:pt>
                <c:pt idx="321">
                  <c:v>40847</c:v>
                </c:pt>
                <c:pt idx="322">
                  <c:v>40848</c:v>
                </c:pt>
                <c:pt idx="323">
                  <c:v>40849</c:v>
                </c:pt>
                <c:pt idx="324">
                  <c:v>40850</c:v>
                </c:pt>
                <c:pt idx="325">
                  <c:v>40851</c:v>
                </c:pt>
                <c:pt idx="326">
                  <c:v>40854</c:v>
                </c:pt>
                <c:pt idx="327">
                  <c:v>40855</c:v>
                </c:pt>
                <c:pt idx="328">
                  <c:v>40856</c:v>
                </c:pt>
                <c:pt idx="329">
                  <c:v>40857</c:v>
                </c:pt>
                <c:pt idx="330">
                  <c:v>40858</c:v>
                </c:pt>
                <c:pt idx="331">
                  <c:v>40861</c:v>
                </c:pt>
                <c:pt idx="332">
                  <c:v>40862</c:v>
                </c:pt>
                <c:pt idx="333">
                  <c:v>40863</c:v>
                </c:pt>
                <c:pt idx="334">
                  <c:v>40864</c:v>
                </c:pt>
                <c:pt idx="335">
                  <c:v>40865</c:v>
                </c:pt>
                <c:pt idx="336">
                  <c:v>40868</c:v>
                </c:pt>
                <c:pt idx="337">
                  <c:v>40869</c:v>
                </c:pt>
                <c:pt idx="338">
                  <c:v>40870</c:v>
                </c:pt>
                <c:pt idx="339">
                  <c:v>40872</c:v>
                </c:pt>
                <c:pt idx="340">
                  <c:v>40875</c:v>
                </c:pt>
                <c:pt idx="341">
                  <c:v>40876</c:v>
                </c:pt>
                <c:pt idx="342">
                  <c:v>40877</c:v>
                </c:pt>
                <c:pt idx="343">
                  <c:v>40878</c:v>
                </c:pt>
                <c:pt idx="344">
                  <c:v>40879</c:v>
                </c:pt>
                <c:pt idx="345">
                  <c:v>40882</c:v>
                </c:pt>
                <c:pt idx="346">
                  <c:v>40883</c:v>
                </c:pt>
                <c:pt idx="347">
                  <c:v>40884</c:v>
                </c:pt>
                <c:pt idx="348">
                  <c:v>40885</c:v>
                </c:pt>
                <c:pt idx="349">
                  <c:v>40886</c:v>
                </c:pt>
                <c:pt idx="350">
                  <c:v>40889</c:v>
                </c:pt>
                <c:pt idx="351">
                  <c:v>40890</c:v>
                </c:pt>
                <c:pt idx="352">
                  <c:v>40891</c:v>
                </c:pt>
                <c:pt idx="353">
                  <c:v>40892</c:v>
                </c:pt>
                <c:pt idx="354">
                  <c:v>40893</c:v>
                </c:pt>
                <c:pt idx="355">
                  <c:v>40896</c:v>
                </c:pt>
                <c:pt idx="356">
                  <c:v>40897</c:v>
                </c:pt>
                <c:pt idx="357">
                  <c:v>40898</c:v>
                </c:pt>
                <c:pt idx="358">
                  <c:v>40899</c:v>
                </c:pt>
                <c:pt idx="359">
                  <c:v>40900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40911</c:v>
                </c:pt>
                <c:pt idx="365">
                  <c:v>40912</c:v>
                </c:pt>
                <c:pt idx="366">
                  <c:v>40913</c:v>
                </c:pt>
                <c:pt idx="367">
                  <c:v>40914</c:v>
                </c:pt>
                <c:pt idx="368">
                  <c:v>40917</c:v>
                </c:pt>
                <c:pt idx="369">
                  <c:v>40918</c:v>
                </c:pt>
                <c:pt idx="370">
                  <c:v>40919</c:v>
                </c:pt>
                <c:pt idx="371">
                  <c:v>40920</c:v>
                </c:pt>
                <c:pt idx="372">
                  <c:v>40921</c:v>
                </c:pt>
                <c:pt idx="373">
                  <c:v>40925</c:v>
                </c:pt>
                <c:pt idx="374">
                  <c:v>40926</c:v>
                </c:pt>
                <c:pt idx="375">
                  <c:v>40927</c:v>
                </c:pt>
                <c:pt idx="376">
                  <c:v>40928</c:v>
                </c:pt>
                <c:pt idx="377">
                  <c:v>40931</c:v>
                </c:pt>
                <c:pt idx="378">
                  <c:v>40932</c:v>
                </c:pt>
                <c:pt idx="379">
                  <c:v>40933</c:v>
                </c:pt>
                <c:pt idx="380">
                  <c:v>40934</c:v>
                </c:pt>
                <c:pt idx="381">
                  <c:v>40935</c:v>
                </c:pt>
                <c:pt idx="382">
                  <c:v>40938</c:v>
                </c:pt>
                <c:pt idx="383">
                  <c:v>40939</c:v>
                </c:pt>
                <c:pt idx="384">
                  <c:v>40940</c:v>
                </c:pt>
                <c:pt idx="385">
                  <c:v>40941</c:v>
                </c:pt>
                <c:pt idx="386">
                  <c:v>40942</c:v>
                </c:pt>
                <c:pt idx="387">
                  <c:v>40945</c:v>
                </c:pt>
                <c:pt idx="388">
                  <c:v>40946</c:v>
                </c:pt>
                <c:pt idx="389">
                  <c:v>40947</c:v>
                </c:pt>
                <c:pt idx="390">
                  <c:v>40948</c:v>
                </c:pt>
                <c:pt idx="391">
                  <c:v>40949</c:v>
                </c:pt>
                <c:pt idx="392">
                  <c:v>40952</c:v>
                </c:pt>
                <c:pt idx="393">
                  <c:v>40953</c:v>
                </c:pt>
                <c:pt idx="394">
                  <c:v>40954</c:v>
                </c:pt>
                <c:pt idx="395">
                  <c:v>40955</c:v>
                </c:pt>
                <c:pt idx="396">
                  <c:v>40956</c:v>
                </c:pt>
                <c:pt idx="397">
                  <c:v>40960</c:v>
                </c:pt>
                <c:pt idx="398">
                  <c:v>40961</c:v>
                </c:pt>
                <c:pt idx="399">
                  <c:v>40962</c:v>
                </c:pt>
                <c:pt idx="400">
                  <c:v>40963</c:v>
                </c:pt>
                <c:pt idx="401">
                  <c:v>40966</c:v>
                </c:pt>
                <c:pt idx="402">
                  <c:v>40967</c:v>
                </c:pt>
                <c:pt idx="403">
                  <c:v>40968</c:v>
                </c:pt>
                <c:pt idx="404">
                  <c:v>40969</c:v>
                </c:pt>
                <c:pt idx="405">
                  <c:v>40970</c:v>
                </c:pt>
                <c:pt idx="406">
                  <c:v>40973</c:v>
                </c:pt>
                <c:pt idx="407">
                  <c:v>40974</c:v>
                </c:pt>
                <c:pt idx="408">
                  <c:v>40975</c:v>
                </c:pt>
                <c:pt idx="409">
                  <c:v>40976</c:v>
                </c:pt>
                <c:pt idx="410">
                  <c:v>40977</c:v>
                </c:pt>
                <c:pt idx="411">
                  <c:v>40980</c:v>
                </c:pt>
                <c:pt idx="412">
                  <c:v>40981</c:v>
                </c:pt>
                <c:pt idx="413">
                  <c:v>40982</c:v>
                </c:pt>
                <c:pt idx="414">
                  <c:v>40983</c:v>
                </c:pt>
                <c:pt idx="415">
                  <c:v>40984</c:v>
                </c:pt>
                <c:pt idx="416">
                  <c:v>40987</c:v>
                </c:pt>
                <c:pt idx="417">
                  <c:v>40988</c:v>
                </c:pt>
                <c:pt idx="418">
                  <c:v>40989</c:v>
                </c:pt>
                <c:pt idx="419">
                  <c:v>40990</c:v>
                </c:pt>
                <c:pt idx="420">
                  <c:v>40991</c:v>
                </c:pt>
                <c:pt idx="421">
                  <c:v>40994</c:v>
                </c:pt>
                <c:pt idx="422">
                  <c:v>40995</c:v>
                </c:pt>
                <c:pt idx="423">
                  <c:v>40996</c:v>
                </c:pt>
                <c:pt idx="424">
                  <c:v>40997</c:v>
                </c:pt>
                <c:pt idx="425">
                  <c:v>40998</c:v>
                </c:pt>
                <c:pt idx="426">
                  <c:v>41001</c:v>
                </c:pt>
                <c:pt idx="427">
                  <c:v>41002</c:v>
                </c:pt>
                <c:pt idx="428">
                  <c:v>41003</c:v>
                </c:pt>
                <c:pt idx="429">
                  <c:v>41004</c:v>
                </c:pt>
                <c:pt idx="430">
                  <c:v>41008</c:v>
                </c:pt>
                <c:pt idx="431">
                  <c:v>41009</c:v>
                </c:pt>
                <c:pt idx="432">
                  <c:v>41010</c:v>
                </c:pt>
                <c:pt idx="433">
                  <c:v>41011</c:v>
                </c:pt>
                <c:pt idx="434">
                  <c:v>41012</c:v>
                </c:pt>
                <c:pt idx="435">
                  <c:v>41015</c:v>
                </c:pt>
                <c:pt idx="436">
                  <c:v>41016</c:v>
                </c:pt>
                <c:pt idx="437">
                  <c:v>41017</c:v>
                </c:pt>
                <c:pt idx="438">
                  <c:v>41018</c:v>
                </c:pt>
                <c:pt idx="439">
                  <c:v>41019</c:v>
                </c:pt>
                <c:pt idx="440">
                  <c:v>41022</c:v>
                </c:pt>
                <c:pt idx="441">
                  <c:v>41023</c:v>
                </c:pt>
                <c:pt idx="442">
                  <c:v>41024</c:v>
                </c:pt>
                <c:pt idx="443">
                  <c:v>41025</c:v>
                </c:pt>
                <c:pt idx="444">
                  <c:v>41026</c:v>
                </c:pt>
                <c:pt idx="445">
                  <c:v>41029</c:v>
                </c:pt>
                <c:pt idx="446">
                  <c:v>41030</c:v>
                </c:pt>
                <c:pt idx="447">
                  <c:v>41031</c:v>
                </c:pt>
                <c:pt idx="448">
                  <c:v>41032</c:v>
                </c:pt>
                <c:pt idx="449">
                  <c:v>41033</c:v>
                </c:pt>
                <c:pt idx="450">
                  <c:v>41036</c:v>
                </c:pt>
                <c:pt idx="451">
                  <c:v>41037</c:v>
                </c:pt>
                <c:pt idx="452">
                  <c:v>41038</c:v>
                </c:pt>
                <c:pt idx="453">
                  <c:v>41039</c:v>
                </c:pt>
                <c:pt idx="454">
                  <c:v>41040</c:v>
                </c:pt>
                <c:pt idx="455">
                  <c:v>41043</c:v>
                </c:pt>
                <c:pt idx="456">
                  <c:v>41044</c:v>
                </c:pt>
                <c:pt idx="457">
                  <c:v>41045</c:v>
                </c:pt>
                <c:pt idx="458">
                  <c:v>41046</c:v>
                </c:pt>
                <c:pt idx="459">
                  <c:v>41047</c:v>
                </c:pt>
                <c:pt idx="460">
                  <c:v>41050</c:v>
                </c:pt>
                <c:pt idx="461">
                  <c:v>41051</c:v>
                </c:pt>
                <c:pt idx="462">
                  <c:v>41052</c:v>
                </c:pt>
                <c:pt idx="463">
                  <c:v>41053</c:v>
                </c:pt>
                <c:pt idx="464">
                  <c:v>41054</c:v>
                </c:pt>
                <c:pt idx="465">
                  <c:v>41058</c:v>
                </c:pt>
                <c:pt idx="466">
                  <c:v>41059</c:v>
                </c:pt>
                <c:pt idx="467">
                  <c:v>41060</c:v>
                </c:pt>
                <c:pt idx="468">
                  <c:v>41061</c:v>
                </c:pt>
                <c:pt idx="469">
                  <c:v>41064</c:v>
                </c:pt>
                <c:pt idx="470">
                  <c:v>41065</c:v>
                </c:pt>
                <c:pt idx="471">
                  <c:v>41066</c:v>
                </c:pt>
                <c:pt idx="472">
                  <c:v>41067</c:v>
                </c:pt>
                <c:pt idx="473">
                  <c:v>41068</c:v>
                </c:pt>
                <c:pt idx="474">
                  <c:v>41071</c:v>
                </c:pt>
                <c:pt idx="475">
                  <c:v>41072</c:v>
                </c:pt>
                <c:pt idx="476">
                  <c:v>41073</c:v>
                </c:pt>
                <c:pt idx="477">
                  <c:v>41074</c:v>
                </c:pt>
                <c:pt idx="478">
                  <c:v>41075</c:v>
                </c:pt>
                <c:pt idx="479">
                  <c:v>41078</c:v>
                </c:pt>
                <c:pt idx="480">
                  <c:v>41079</c:v>
                </c:pt>
                <c:pt idx="481">
                  <c:v>41080</c:v>
                </c:pt>
                <c:pt idx="482">
                  <c:v>41081</c:v>
                </c:pt>
                <c:pt idx="483">
                  <c:v>41082</c:v>
                </c:pt>
                <c:pt idx="484">
                  <c:v>41085</c:v>
                </c:pt>
                <c:pt idx="485">
                  <c:v>41086</c:v>
                </c:pt>
                <c:pt idx="486">
                  <c:v>41087</c:v>
                </c:pt>
                <c:pt idx="487">
                  <c:v>41088</c:v>
                </c:pt>
                <c:pt idx="488">
                  <c:v>41089</c:v>
                </c:pt>
                <c:pt idx="489">
                  <c:v>41092</c:v>
                </c:pt>
                <c:pt idx="490">
                  <c:v>41093</c:v>
                </c:pt>
                <c:pt idx="491">
                  <c:v>41095</c:v>
                </c:pt>
                <c:pt idx="492">
                  <c:v>41096</c:v>
                </c:pt>
                <c:pt idx="493">
                  <c:v>41099</c:v>
                </c:pt>
                <c:pt idx="494">
                  <c:v>41100</c:v>
                </c:pt>
                <c:pt idx="495">
                  <c:v>41101</c:v>
                </c:pt>
                <c:pt idx="496">
                  <c:v>41102</c:v>
                </c:pt>
                <c:pt idx="497">
                  <c:v>41103</c:v>
                </c:pt>
                <c:pt idx="498">
                  <c:v>41106</c:v>
                </c:pt>
                <c:pt idx="499">
                  <c:v>41107</c:v>
                </c:pt>
                <c:pt idx="500">
                  <c:v>41108</c:v>
                </c:pt>
                <c:pt idx="501">
                  <c:v>41109</c:v>
                </c:pt>
                <c:pt idx="502">
                  <c:v>41110</c:v>
                </c:pt>
                <c:pt idx="503">
                  <c:v>41113</c:v>
                </c:pt>
                <c:pt idx="504">
                  <c:v>41114</c:v>
                </c:pt>
                <c:pt idx="505">
                  <c:v>41115</c:v>
                </c:pt>
                <c:pt idx="506">
                  <c:v>41116</c:v>
                </c:pt>
                <c:pt idx="507">
                  <c:v>41117</c:v>
                </c:pt>
                <c:pt idx="508">
                  <c:v>41120</c:v>
                </c:pt>
                <c:pt idx="509">
                  <c:v>41121</c:v>
                </c:pt>
                <c:pt idx="510">
                  <c:v>41122</c:v>
                </c:pt>
                <c:pt idx="511">
                  <c:v>41123</c:v>
                </c:pt>
                <c:pt idx="512">
                  <c:v>41124</c:v>
                </c:pt>
                <c:pt idx="513">
                  <c:v>41127</c:v>
                </c:pt>
                <c:pt idx="514">
                  <c:v>41128</c:v>
                </c:pt>
                <c:pt idx="515">
                  <c:v>41129</c:v>
                </c:pt>
                <c:pt idx="516">
                  <c:v>41130</c:v>
                </c:pt>
                <c:pt idx="517">
                  <c:v>41131</c:v>
                </c:pt>
                <c:pt idx="518">
                  <c:v>41134</c:v>
                </c:pt>
                <c:pt idx="519">
                  <c:v>41135</c:v>
                </c:pt>
                <c:pt idx="520">
                  <c:v>41136</c:v>
                </c:pt>
                <c:pt idx="521">
                  <c:v>41137</c:v>
                </c:pt>
                <c:pt idx="522">
                  <c:v>41138</c:v>
                </c:pt>
                <c:pt idx="523">
                  <c:v>41141</c:v>
                </c:pt>
                <c:pt idx="524">
                  <c:v>41142</c:v>
                </c:pt>
                <c:pt idx="525">
                  <c:v>41143</c:v>
                </c:pt>
                <c:pt idx="526">
                  <c:v>41144</c:v>
                </c:pt>
                <c:pt idx="527">
                  <c:v>41145</c:v>
                </c:pt>
                <c:pt idx="528">
                  <c:v>41148</c:v>
                </c:pt>
                <c:pt idx="529">
                  <c:v>41149</c:v>
                </c:pt>
                <c:pt idx="530">
                  <c:v>41150</c:v>
                </c:pt>
                <c:pt idx="531">
                  <c:v>41151</c:v>
                </c:pt>
                <c:pt idx="532">
                  <c:v>41152</c:v>
                </c:pt>
                <c:pt idx="533">
                  <c:v>41156</c:v>
                </c:pt>
                <c:pt idx="534">
                  <c:v>41157</c:v>
                </c:pt>
                <c:pt idx="535">
                  <c:v>41158</c:v>
                </c:pt>
                <c:pt idx="536">
                  <c:v>41159</c:v>
                </c:pt>
                <c:pt idx="537">
                  <c:v>41162</c:v>
                </c:pt>
                <c:pt idx="538">
                  <c:v>41163</c:v>
                </c:pt>
                <c:pt idx="539">
                  <c:v>41164</c:v>
                </c:pt>
                <c:pt idx="540">
                  <c:v>41165</c:v>
                </c:pt>
                <c:pt idx="541">
                  <c:v>41166</c:v>
                </c:pt>
                <c:pt idx="542">
                  <c:v>41169</c:v>
                </c:pt>
                <c:pt idx="543">
                  <c:v>41170</c:v>
                </c:pt>
                <c:pt idx="544">
                  <c:v>41171</c:v>
                </c:pt>
                <c:pt idx="545">
                  <c:v>41172</c:v>
                </c:pt>
                <c:pt idx="546">
                  <c:v>41173</c:v>
                </c:pt>
                <c:pt idx="547">
                  <c:v>41176</c:v>
                </c:pt>
                <c:pt idx="548">
                  <c:v>41177</c:v>
                </c:pt>
                <c:pt idx="549">
                  <c:v>41178</c:v>
                </c:pt>
                <c:pt idx="550">
                  <c:v>41179</c:v>
                </c:pt>
                <c:pt idx="551">
                  <c:v>41180</c:v>
                </c:pt>
                <c:pt idx="552">
                  <c:v>41183</c:v>
                </c:pt>
                <c:pt idx="553">
                  <c:v>41184</c:v>
                </c:pt>
                <c:pt idx="554">
                  <c:v>41185</c:v>
                </c:pt>
                <c:pt idx="555">
                  <c:v>41186</c:v>
                </c:pt>
                <c:pt idx="556">
                  <c:v>41187</c:v>
                </c:pt>
                <c:pt idx="557">
                  <c:v>41190</c:v>
                </c:pt>
                <c:pt idx="558">
                  <c:v>41191</c:v>
                </c:pt>
                <c:pt idx="559">
                  <c:v>41192</c:v>
                </c:pt>
                <c:pt idx="560">
                  <c:v>41193</c:v>
                </c:pt>
                <c:pt idx="561">
                  <c:v>41194</c:v>
                </c:pt>
                <c:pt idx="562">
                  <c:v>41197</c:v>
                </c:pt>
                <c:pt idx="563">
                  <c:v>41198</c:v>
                </c:pt>
                <c:pt idx="564">
                  <c:v>41199</c:v>
                </c:pt>
                <c:pt idx="565">
                  <c:v>41200</c:v>
                </c:pt>
                <c:pt idx="566">
                  <c:v>41201</c:v>
                </c:pt>
                <c:pt idx="567">
                  <c:v>41204</c:v>
                </c:pt>
                <c:pt idx="568">
                  <c:v>41205</c:v>
                </c:pt>
                <c:pt idx="569">
                  <c:v>41206</c:v>
                </c:pt>
                <c:pt idx="570">
                  <c:v>41207</c:v>
                </c:pt>
                <c:pt idx="571">
                  <c:v>41208</c:v>
                </c:pt>
                <c:pt idx="572">
                  <c:v>41213</c:v>
                </c:pt>
                <c:pt idx="573">
                  <c:v>41214</c:v>
                </c:pt>
                <c:pt idx="574">
                  <c:v>41215</c:v>
                </c:pt>
                <c:pt idx="575">
                  <c:v>41218</c:v>
                </c:pt>
                <c:pt idx="576">
                  <c:v>41219</c:v>
                </c:pt>
                <c:pt idx="577">
                  <c:v>41220</c:v>
                </c:pt>
                <c:pt idx="578">
                  <c:v>41221</c:v>
                </c:pt>
                <c:pt idx="579">
                  <c:v>41222</c:v>
                </c:pt>
                <c:pt idx="580">
                  <c:v>41225</c:v>
                </c:pt>
                <c:pt idx="581">
                  <c:v>41226</c:v>
                </c:pt>
                <c:pt idx="582">
                  <c:v>41227</c:v>
                </c:pt>
                <c:pt idx="583">
                  <c:v>41228</c:v>
                </c:pt>
                <c:pt idx="584">
                  <c:v>41229</c:v>
                </c:pt>
                <c:pt idx="585">
                  <c:v>41232</c:v>
                </c:pt>
                <c:pt idx="586">
                  <c:v>41233</c:v>
                </c:pt>
                <c:pt idx="587">
                  <c:v>41234</c:v>
                </c:pt>
                <c:pt idx="588">
                  <c:v>41236</c:v>
                </c:pt>
                <c:pt idx="589">
                  <c:v>41239</c:v>
                </c:pt>
                <c:pt idx="590">
                  <c:v>41240</c:v>
                </c:pt>
                <c:pt idx="591">
                  <c:v>41241</c:v>
                </c:pt>
                <c:pt idx="592">
                  <c:v>41242</c:v>
                </c:pt>
                <c:pt idx="593">
                  <c:v>41243</c:v>
                </c:pt>
                <c:pt idx="594">
                  <c:v>41246</c:v>
                </c:pt>
                <c:pt idx="595">
                  <c:v>41247</c:v>
                </c:pt>
                <c:pt idx="596">
                  <c:v>41248</c:v>
                </c:pt>
                <c:pt idx="597">
                  <c:v>41249</c:v>
                </c:pt>
                <c:pt idx="598">
                  <c:v>41250</c:v>
                </c:pt>
                <c:pt idx="599">
                  <c:v>41253</c:v>
                </c:pt>
                <c:pt idx="600">
                  <c:v>41254</c:v>
                </c:pt>
                <c:pt idx="601">
                  <c:v>41255</c:v>
                </c:pt>
                <c:pt idx="602">
                  <c:v>41256</c:v>
                </c:pt>
                <c:pt idx="603">
                  <c:v>41257</c:v>
                </c:pt>
                <c:pt idx="604">
                  <c:v>41260</c:v>
                </c:pt>
                <c:pt idx="605">
                  <c:v>41261</c:v>
                </c:pt>
                <c:pt idx="606">
                  <c:v>41262</c:v>
                </c:pt>
                <c:pt idx="607">
                  <c:v>41263</c:v>
                </c:pt>
                <c:pt idx="608">
                  <c:v>41264</c:v>
                </c:pt>
                <c:pt idx="609">
                  <c:v>41267</c:v>
                </c:pt>
                <c:pt idx="610">
                  <c:v>41269</c:v>
                </c:pt>
                <c:pt idx="611">
                  <c:v>41270</c:v>
                </c:pt>
                <c:pt idx="612">
                  <c:v>41271</c:v>
                </c:pt>
                <c:pt idx="613">
                  <c:v>41274</c:v>
                </c:pt>
                <c:pt idx="614">
                  <c:v>41276</c:v>
                </c:pt>
                <c:pt idx="615">
                  <c:v>41277</c:v>
                </c:pt>
                <c:pt idx="616">
                  <c:v>41278</c:v>
                </c:pt>
                <c:pt idx="617">
                  <c:v>41281</c:v>
                </c:pt>
                <c:pt idx="618">
                  <c:v>41282</c:v>
                </c:pt>
                <c:pt idx="619">
                  <c:v>41283</c:v>
                </c:pt>
                <c:pt idx="620">
                  <c:v>41284</c:v>
                </c:pt>
                <c:pt idx="621">
                  <c:v>41285</c:v>
                </c:pt>
                <c:pt idx="622">
                  <c:v>41288</c:v>
                </c:pt>
                <c:pt idx="623">
                  <c:v>41289</c:v>
                </c:pt>
                <c:pt idx="624">
                  <c:v>41290</c:v>
                </c:pt>
                <c:pt idx="625">
                  <c:v>41291</c:v>
                </c:pt>
                <c:pt idx="626">
                  <c:v>41292</c:v>
                </c:pt>
                <c:pt idx="627">
                  <c:v>41296</c:v>
                </c:pt>
                <c:pt idx="628">
                  <c:v>41297</c:v>
                </c:pt>
                <c:pt idx="629">
                  <c:v>41298</c:v>
                </c:pt>
                <c:pt idx="630">
                  <c:v>41299</c:v>
                </c:pt>
                <c:pt idx="631">
                  <c:v>41302</c:v>
                </c:pt>
                <c:pt idx="632">
                  <c:v>41303</c:v>
                </c:pt>
                <c:pt idx="633">
                  <c:v>41304</c:v>
                </c:pt>
                <c:pt idx="634">
                  <c:v>41305</c:v>
                </c:pt>
                <c:pt idx="635">
                  <c:v>41306</c:v>
                </c:pt>
                <c:pt idx="636">
                  <c:v>41309</c:v>
                </c:pt>
                <c:pt idx="637">
                  <c:v>41310</c:v>
                </c:pt>
                <c:pt idx="638">
                  <c:v>41311</c:v>
                </c:pt>
                <c:pt idx="639">
                  <c:v>41312</c:v>
                </c:pt>
                <c:pt idx="640">
                  <c:v>41313</c:v>
                </c:pt>
                <c:pt idx="641">
                  <c:v>41316</c:v>
                </c:pt>
                <c:pt idx="642">
                  <c:v>41317</c:v>
                </c:pt>
                <c:pt idx="643">
                  <c:v>41318</c:v>
                </c:pt>
                <c:pt idx="644">
                  <c:v>41319</c:v>
                </c:pt>
                <c:pt idx="645">
                  <c:v>41320</c:v>
                </c:pt>
                <c:pt idx="646">
                  <c:v>41324</c:v>
                </c:pt>
                <c:pt idx="647">
                  <c:v>41325</c:v>
                </c:pt>
                <c:pt idx="648">
                  <c:v>41326</c:v>
                </c:pt>
                <c:pt idx="649">
                  <c:v>41327</c:v>
                </c:pt>
                <c:pt idx="650">
                  <c:v>41330</c:v>
                </c:pt>
                <c:pt idx="651">
                  <c:v>41331</c:v>
                </c:pt>
                <c:pt idx="652">
                  <c:v>41332</c:v>
                </c:pt>
                <c:pt idx="653">
                  <c:v>41333</c:v>
                </c:pt>
                <c:pt idx="654">
                  <c:v>41334</c:v>
                </c:pt>
                <c:pt idx="655">
                  <c:v>41337</c:v>
                </c:pt>
                <c:pt idx="656">
                  <c:v>41338</c:v>
                </c:pt>
                <c:pt idx="657">
                  <c:v>41339</c:v>
                </c:pt>
                <c:pt idx="658">
                  <c:v>41340</c:v>
                </c:pt>
                <c:pt idx="659">
                  <c:v>41341</c:v>
                </c:pt>
                <c:pt idx="660">
                  <c:v>41344</c:v>
                </c:pt>
                <c:pt idx="661">
                  <c:v>41345</c:v>
                </c:pt>
                <c:pt idx="662">
                  <c:v>41346</c:v>
                </c:pt>
                <c:pt idx="663">
                  <c:v>41347</c:v>
                </c:pt>
                <c:pt idx="664">
                  <c:v>41348</c:v>
                </c:pt>
                <c:pt idx="665">
                  <c:v>41351</c:v>
                </c:pt>
                <c:pt idx="666">
                  <c:v>41352</c:v>
                </c:pt>
                <c:pt idx="667">
                  <c:v>41353</c:v>
                </c:pt>
                <c:pt idx="668">
                  <c:v>41354</c:v>
                </c:pt>
                <c:pt idx="669">
                  <c:v>41355</c:v>
                </c:pt>
                <c:pt idx="670">
                  <c:v>41358</c:v>
                </c:pt>
                <c:pt idx="671">
                  <c:v>41359</c:v>
                </c:pt>
                <c:pt idx="672">
                  <c:v>41360</c:v>
                </c:pt>
                <c:pt idx="673">
                  <c:v>41361</c:v>
                </c:pt>
                <c:pt idx="674">
                  <c:v>41365</c:v>
                </c:pt>
                <c:pt idx="675">
                  <c:v>41366</c:v>
                </c:pt>
                <c:pt idx="676">
                  <c:v>41367</c:v>
                </c:pt>
                <c:pt idx="677">
                  <c:v>41368</c:v>
                </c:pt>
                <c:pt idx="678">
                  <c:v>41369</c:v>
                </c:pt>
                <c:pt idx="679">
                  <c:v>41372</c:v>
                </c:pt>
                <c:pt idx="680">
                  <c:v>41373</c:v>
                </c:pt>
                <c:pt idx="681">
                  <c:v>41374</c:v>
                </c:pt>
                <c:pt idx="682">
                  <c:v>41375</c:v>
                </c:pt>
                <c:pt idx="683">
                  <c:v>41376</c:v>
                </c:pt>
                <c:pt idx="684">
                  <c:v>41379</c:v>
                </c:pt>
                <c:pt idx="685">
                  <c:v>41380</c:v>
                </c:pt>
                <c:pt idx="686">
                  <c:v>41381</c:v>
                </c:pt>
                <c:pt idx="687">
                  <c:v>41382</c:v>
                </c:pt>
                <c:pt idx="688">
                  <c:v>41383</c:v>
                </c:pt>
                <c:pt idx="689">
                  <c:v>41386</c:v>
                </c:pt>
                <c:pt idx="690">
                  <c:v>41387</c:v>
                </c:pt>
                <c:pt idx="691">
                  <c:v>41388</c:v>
                </c:pt>
                <c:pt idx="692">
                  <c:v>41389</c:v>
                </c:pt>
                <c:pt idx="693">
                  <c:v>41390</c:v>
                </c:pt>
                <c:pt idx="694">
                  <c:v>41393</c:v>
                </c:pt>
                <c:pt idx="695">
                  <c:v>41394</c:v>
                </c:pt>
                <c:pt idx="696">
                  <c:v>41395</c:v>
                </c:pt>
                <c:pt idx="697">
                  <c:v>41396</c:v>
                </c:pt>
                <c:pt idx="698">
                  <c:v>41397</c:v>
                </c:pt>
                <c:pt idx="699">
                  <c:v>41400</c:v>
                </c:pt>
                <c:pt idx="700">
                  <c:v>41401</c:v>
                </c:pt>
                <c:pt idx="701">
                  <c:v>41402</c:v>
                </c:pt>
                <c:pt idx="702">
                  <c:v>41403</c:v>
                </c:pt>
                <c:pt idx="703">
                  <c:v>41404</c:v>
                </c:pt>
                <c:pt idx="704">
                  <c:v>41407</c:v>
                </c:pt>
                <c:pt idx="705">
                  <c:v>41408</c:v>
                </c:pt>
                <c:pt idx="706">
                  <c:v>41409</c:v>
                </c:pt>
                <c:pt idx="707">
                  <c:v>41410</c:v>
                </c:pt>
                <c:pt idx="708">
                  <c:v>41411</c:v>
                </c:pt>
                <c:pt idx="709">
                  <c:v>41414</c:v>
                </c:pt>
                <c:pt idx="710">
                  <c:v>41415</c:v>
                </c:pt>
                <c:pt idx="711">
                  <c:v>41416</c:v>
                </c:pt>
                <c:pt idx="712">
                  <c:v>41417</c:v>
                </c:pt>
                <c:pt idx="713">
                  <c:v>41418</c:v>
                </c:pt>
                <c:pt idx="714">
                  <c:v>41422</c:v>
                </c:pt>
                <c:pt idx="715">
                  <c:v>41423</c:v>
                </c:pt>
                <c:pt idx="716">
                  <c:v>41424</c:v>
                </c:pt>
                <c:pt idx="717">
                  <c:v>41425</c:v>
                </c:pt>
                <c:pt idx="718">
                  <c:v>41428</c:v>
                </c:pt>
                <c:pt idx="719">
                  <c:v>41429</c:v>
                </c:pt>
                <c:pt idx="720">
                  <c:v>41430</c:v>
                </c:pt>
                <c:pt idx="721">
                  <c:v>41431</c:v>
                </c:pt>
                <c:pt idx="722">
                  <c:v>41432</c:v>
                </c:pt>
                <c:pt idx="723">
                  <c:v>41435</c:v>
                </c:pt>
                <c:pt idx="724">
                  <c:v>41436</c:v>
                </c:pt>
                <c:pt idx="725">
                  <c:v>41437</c:v>
                </c:pt>
                <c:pt idx="726">
                  <c:v>41438</c:v>
                </c:pt>
                <c:pt idx="727">
                  <c:v>41439</c:v>
                </c:pt>
                <c:pt idx="728">
                  <c:v>41442</c:v>
                </c:pt>
                <c:pt idx="729">
                  <c:v>41443</c:v>
                </c:pt>
                <c:pt idx="730">
                  <c:v>41444</c:v>
                </c:pt>
                <c:pt idx="731">
                  <c:v>41445</c:v>
                </c:pt>
                <c:pt idx="732">
                  <c:v>41446</c:v>
                </c:pt>
                <c:pt idx="733">
                  <c:v>41449</c:v>
                </c:pt>
                <c:pt idx="734">
                  <c:v>41450</c:v>
                </c:pt>
                <c:pt idx="735">
                  <c:v>41451</c:v>
                </c:pt>
                <c:pt idx="736">
                  <c:v>41452</c:v>
                </c:pt>
                <c:pt idx="737">
                  <c:v>41453</c:v>
                </c:pt>
                <c:pt idx="738">
                  <c:v>41456</c:v>
                </c:pt>
                <c:pt idx="739">
                  <c:v>41457</c:v>
                </c:pt>
                <c:pt idx="740">
                  <c:v>41458</c:v>
                </c:pt>
                <c:pt idx="741">
                  <c:v>41460</c:v>
                </c:pt>
                <c:pt idx="742">
                  <c:v>41463</c:v>
                </c:pt>
                <c:pt idx="743">
                  <c:v>41464</c:v>
                </c:pt>
                <c:pt idx="744">
                  <c:v>41465</c:v>
                </c:pt>
                <c:pt idx="745">
                  <c:v>41466</c:v>
                </c:pt>
                <c:pt idx="746">
                  <c:v>41467</c:v>
                </c:pt>
                <c:pt idx="747">
                  <c:v>41470</c:v>
                </c:pt>
                <c:pt idx="748">
                  <c:v>41471</c:v>
                </c:pt>
                <c:pt idx="749">
                  <c:v>41472</c:v>
                </c:pt>
                <c:pt idx="750">
                  <c:v>41473</c:v>
                </c:pt>
                <c:pt idx="751">
                  <c:v>41474</c:v>
                </c:pt>
                <c:pt idx="752">
                  <c:v>41477</c:v>
                </c:pt>
                <c:pt idx="753">
                  <c:v>41478</c:v>
                </c:pt>
                <c:pt idx="754">
                  <c:v>41479</c:v>
                </c:pt>
                <c:pt idx="755">
                  <c:v>41480</c:v>
                </c:pt>
                <c:pt idx="756">
                  <c:v>41481</c:v>
                </c:pt>
                <c:pt idx="757">
                  <c:v>41484</c:v>
                </c:pt>
                <c:pt idx="758">
                  <c:v>41485</c:v>
                </c:pt>
                <c:pt idx="759">
                  <c:v>41486</c:v>
                </c:pt>
                <c:pt idx="760">
                  <c:v>41487</c:v>
                </c:pt>
                <c:pt idx="761">
                  <c:v>41488</c:v>
                </c:pt>
                <c:pt idx="762">
                  <c:v>41491</c:v>
                </c:pt>
                <c:pt idx="763">
                  <c:v>41492</c:v>
                </c:pt>
                <c:pt idx="764">
                  <c:v>41493</c:v>
                </c:pt>
                <c:pt idx="765">
                  <c:v>41494</c:v>
                </c:pt>
                <c:pt idx="766">
                  <c:v>41495</c:v>
                </c:pt>
                <c:pt idx="767">
                  <c:v>41498</c:v>
                </c:pt>
                <c:pt idx="768">
                  <c:v>41499</c:v>
                </c:pt>
                <c:pt idx="769">
                  <c:v>41500</c:v>
                </c:pt>
                <c:pt idx="770">
                  <c:v>41501</c:v>
                </c:pt>
                <c:pt idx="771">
                  <c:v>41502</c:v>
                </c:pt>
                <c:pt idx="772">
                  <c:v>41505</c:v>
                </c:pt>
                <c:pt idx="773">
                  <c:v>41506</c:v>
                </c:pt>
                <c:pt idx="774">
                  <c:v>41507</c:v>
                </c:pt>
                <c:pt idx="775">
                  <c:v>41508</c:v>
                </c:pt>
                <c:pt idx="776">
                  <c:v>41509</c:v>
                </c:pt>
                <c:pt idx="777">
                  <c:v>41512</c:v>
                </c:pt>
                <c:pt idx="778">
                  <c:v>41513</c:v>
                </c:pt>
                <c:pt idx="779">
                  <c:v>41514</c:v>
                </c:pt>
                <c:pt idx="780">
                  <c:v>41515</c:v>
                </c:pt>
                <c:pt idx="781">
                  <c:v>41516</c:v>
                </c:pt>
                <c:pt idx="782">
                  <c:v>41520</c:v>
                </c:pt>
                <c:pt idx="783">
                  <c:v>41521</c:v>
                </c:pt>
                <c:pt idx="784">
                  <c:v>41522</c:v>
                </c:pt>
                <c:pt idx="785">
                  <c:v>41523</c:v>
                </c:pt>
                <c:pt idx="786">
                  <c:v>41526</c:v>
                </c:pt>
                <c:pt idx="787">
                  <c:v>41527</c:v>
                </c:pt>
                <c:pt idx="788">
                  <c:v>41528</c:v>
                </c:pt>
                <c:pt idx="789">
                  <c:v>41529</c:v>
                </c:pt>
                <c:pt idx="790">
                  <c:v>41530</c:v>
                </c:pt>
                <c:pt idx="791">
                  <c:v>41533</c:v>
                </c:pt>
                <c:pt idx="792">
                  <c:v>41534</c:v>
                </c:pt>
                <c:pt idx="793">
                  <c:v>41535</c:v>
                </c:pt>
                <c:pt idx="794">
                  <c:v>41536</c:v>
                </c:pt>
                <c:pt idx="795">
                  <c:v>41537</c:v>
                </c:pt>
                <c:pt idx="796">
                  <c:v>41540</c:v>
                </c:pt>
                <c:pt idx="797">
                  <c:v>41541</c:v>
                </c:pt>
                <c:pt idx="798">
                  <c:v>41542</c:v>
                </c:pt>
                <c:pt idx="799">
                  <c:v>41543</c:v>
                </c:pt>
                <c:pt idx="800">
                  <c:v>41544</c:v>
                </c:pt>
                <c:pt idx="801">
                  <c:v>41547</c:v>
                </c:pt>
                <c:pt idx="802">
                  <c:v>41548</c:v>
                </c:pt>
                <c:pt idx="803">
                  <c:v>41549</c:v>
                </c:pt>
                <c:pt idx="804">
                  <c:v>41550</c:v>
                </c:pt>
                <c:pt idx="805">
                  <c:v>41551</c:v>
                </c:pt>
                <c:pt idx="806">
                  <c:v>41554</c:v>
                </c:pt>
                <c:pt idx="807">
                  <c:v>41555</c:v>
                </c:pt>
                <c:pt idx="808">
                  <c:v>41556</c:v>
                </c:pt>
                <c:pt idx="809">
                  <c:v>41557</c:v>
                </c:pt>
                <c:pt idx="810">
                  <c:v>41558</c:v>
                </c:pt>
                <c:pt idx="811">
                  <c:v>41561</c:v>
                </c:pt>
                <c:pt idx="812">
                  <c:v>41562</c:v>
                </c:pt>
                <c:pt idx="813">
                  <c:v>41563</c:v>
                </c:pt>
                <c:pt idx="814">
                  <c:v>41564</c:v>
                </c:pt>
                <c:pt idx="815">
                  <c:v>41565</c:v>
                </c:pt>
                <c:pt idx="816">
                  <c:v>41568</c:v>
                </c:pt>
                <c:pt idx="817">
                  <c:v>41569</c:v>
                </c:pt>
                <c:pt idx="818">
                  <c:v>41570</c:v>
                </c:pt>
                <c:pt idx="819">
                  <c:v>41571</c:v>
                </c:pt>
                <c:pt idx="820">
                  <c:v>41572</c:v>
                </c:pt>
                <c:pt idx="821">
                  <c:v>41575</c:v>
                </c:pt>
                <c:pt idx="822">
                  <c:v>41576</c:v>
                </c:pt>
                <c:pt idx="823">
                  <c:v>41577</c:v>
                </c:pt>
                <c:pt idx="824">
                  <c:v>41578</c:v>
                </c:pt>
                <c:pt idx="825">
                  <c:v>41579</c:v>
                </c:pt>
                <c:pt idx="826">
                  <c:v>41582</c:v>
                </c:pt>
                <c:pt idx="827">
                  <c:v>41583</c:v>
                </c:pt>
                <c:pt idx="828">
                  <c:v>41584</c:v>
                </c:pt>
                <c:pt idx="829">
                  <c:v>41585</c:v>
                </c:pt>
                <c:pt idx="830">
                  <c:v>41586</c:v>
                </c:pt>
                <c:pt idx="831">
                  <c:v>41589</c:v>
                </c:pt>
                <c:pt idx="832">
                  <c:v>41590</c:v>
                </c:pt>
                <c:pt idx="833">
                  <c:v>41591</c:v>
                </c:pt>
                <c:pt idx="834">
                  <c:v>41592</c:v>
                </c:pt>
                <c:pt idx="835">
                  <c:v>41593</c:v>
                </c:pt>
                <c:pt idx="836">
                  <c:v>41596</c:v>
                </c:pt>
                <c:pt idx="837">
                  <c:v>41597</c:v>
                </c:pt>
                <c:pt idx="838">
                  <c:v>41598</c:v>
                </c:pt>
                <c:pt idx="839">
                  <c:v>41599</c:v>
                </c:pt>
                <c:pt idx="840">
                  <c:v>41600</c:v>
                </c:pt>
                <c:pt idx="841">
                  <c:v>41603</c:v>
                </c:pt>
                <c:pt idx="842">
                  <c:v>41604</c:v>
                </c:pt>
                <c:pt idx="843">
                  <c:v>41605</c:v>
                </c:pt>
                <c:pt idx="844">
                  <c:v>41607</c:v>
                </c:pt>
                <c:pt idx="845">
                  <c:v>41610</c:v>
                </c:pt>
                <c:pt idx="846">
                  <c:v>41611</c:v>
                </c:pt>
                <c:pt idx="847">
                  <c:v>41612</c:v>
                </c:pt>
                <c:pt idx="848">
                  <c:v>41613</c:v>
                </c:pt>
                <c:pt idx="849">
                  <c:v>41614</c:v>
                </c:pt>
                <c:pt idx="850">
                  <c:v>41617</c:v>
                </c:pt>
                <c:pt idx="851">
                  <c:v>41618</c:v>
                </c:pt>
                <c:pt idx="852">
                  <c:v>41619</c:v>
                </c:pt>
                <c:pt idx="853">
                  <c:v>41620</c:v>
                </c:pt>
                <c:pt idx="854">
                  <c:v>41621</c:v>
                </c:pt>
                <c:pt idx="855">
                  <c:v>41624</c:v>
                </c:pt>
                <c:pt idx="856">
                  <c:v>41625</c:v>
                </c:pt>
                <c:pt idx="857">
                  <c:v>41626</c:v>
                </c:pt>
                <c:pt idx="858">
                  <c:v>41627</c:v>
                </c:pt>
                <c:pt idx="859">
                  <c:v>41628</c:v>
                </c:pt>
                <c:pt idx="860">
                  <c:v>41631</c:v>
                </c:pt>
                <c:pt idx="861">
                  <c:v>41632</c:v>
                </c:pt>
                <c:pt idx="862">
                  <c:v>41634</c:v>
                </c:pt>
                <c:pt idx="863">
                  <c:v>41635</c:v>
                </c:pt>
                <c:pt idx="864">
                  <c:v>41638</c:v>
                </c:pt>
                <c:pt idx="865">
                  <c:v>41639</c:v>
                </c:pt>
                <c:pt idx="866">
                  <c:v>41641</c:v>
                </c:pt>
                <c:pt idx="867">
                  <c:v>41642</c:v>
                </c:pt>
                <c:pt idx="868">
                  <c:v>41645</c:v>
                </c:pt>
                <c:pt idx="869">
                  <c:v>41646</c:v>
                </c:pt>
                <c:pt idx="870">
                  <c:v>41647</c:v>
                </c:pt>
                <c:pt idx="871">
                  <c:v>41648</c:v>
                </c:pt>
                <c:pt idx="872">
                  <c:v>41649</c:v>
                </c:pt>
                <c:pt idx="873">
                  <c:v>41652</c:v>
                </c:pt>
                <c:pt idx="874">
                  <c:v>41653</c:v>
                </c:pt>
                <c:pt idx="875">
                  <c:v>41654</c:v>
                </c:pt>
                <c:pt idx="876">
                  <c:v>41655</c:v>
                </c:pt>
                <c:pt idx="877">
                  <c:v>41656</c:v>
                </c:pt>
                <c:pt idx="878">
                  <c:v>41660</c:v>
                </c:pt>
                <c:pt idx="879">
                  <c:v>41661</c:v>
                </c:pt>
                <c:pt idx="880">
                  <c:v>41662</c:v>
                </c:pt>
                <c:pt idx="881">
                  <c:v>41663</c:v>
                </c:pt>
                <c:pt idx="882">
                  <c:v>41666</c:v>
                </c:pt>
                <c:pt idx="883">
                  <c:v>41667</c:v>
                </c:pt>
                <c:pt idx="884">
                  <c:v>41668</c:v>
                </c:pt>
                <c:pt idx="885">
                  <c:v>41669</c:v>
                </c:pt>
                <c:pt idx="886">
                  <c:v>41670</c:v>
                </c:pt>
                <c:pt idx="887">
                  <c:v>41673</c:v>
                </c:pt>
                <c:pt idx="888">
                  <c:v>41674</c:v>
                </c:pt>
                <c:pt idx="889">
                  <c:v>41675</c:v>
                </c:pt>
                <c:pt idx="890">
                  <c:v>41676</c:v>
                </c:pt>
                <c:pt idx="891">
                  <c:v>41677</c:v>
                </c:pt>
                <c:pt idx="892">
                  <c:v>41680</c:v>
                </c:pt>
                <c:pt idx="893">
                  <c:v>41681</c:v>
                </c:pt>
                <c:pt idx="894">
                  <c:v>41682</c:v>
                </c:pt>
                <c:pt idx="895">
                  <c:v>41683</c:v>
                </c:pt>
                <c:pt idx="896">
                  <c:v>41684</c:v>
                </c:pt>
                <c:pt idx="897">
                  <c:v>41688</c:v>
                </c:pt>
                <c:pt idx="898">
                  <c:v>41689</c:v>
                </c:pt>
                <c:pt idx="899">
                  <c:v>41690</c:v>
                </c:pt>
                <c:pt idx="900">
                  <c:v>41691</c:v>
                </c:pt>
                <c:pt idx="901">
                  <c:v>41694</c:v>
                </c:pt>
                <c:pt idx="902">
                  <c:v>41695</c:v>
                </c:pt>
                <c:pt idx="903">
                  <c:v>41696</c:v>
                </c:pt>
                <c:pt idx="904">
                  <c:v>41697</c:v>
                </c:pt>
                <c:pt idx="905">
                  <c:v>41698</c:v>
                </c:pt>
                <c:pt idx="906">
                  <c:v>41701</c:v>
                </c:pt>
                <c:pt idx="907">
                  <c:v>41702</c:v>
                </c:pt>
                <c:pt idx="908">
                  <c:v>41703</c:v>
                </c:pt>
                <c:pt idx="909">
                  <c:v>41704</c:v>
                </c:pt>
                <c:pt idx="910">
                  <c:v>41705</c:v>
                </c:pt>
                <c:pt idx="911">
                  <c:v>41708</c:v>
                </c:pt>
                <c:pt idx="912">
                  <c:v>41709</c:v>
                </c:pt>
                <c:pt idx="913">
                  <c:v>41710</c:v>
                </c:pt>
                <c:pt idx="914">
                  <c:v>41711</c:v>
                </c:pt>
                <c:pt idx="915">
                  <c:v>41712</c:v>
                </c:pt>
                <c:pt idx="916">
                  <c:v>41715</c:v>
                </c:pt>
                <c:pt idx="917">
                  <c:v>41716</c:v>
                </c:pt>
                <c:pt idx="918">
                  <c:v>41717</c:v>
                </c:pt>
                <c:pt idx="919">
                  <c:v>41718</c:v>
                </c:pt>
                <c:pt idx="920">
                  <c:v>41719</c:v>
                </c:pt>
                <c:pt idx="921">
                  <c:v>41722</c:v>
                </c:pt>
                <c:pt idx="922">
                  <c:v>41723</c:v>
                </c:pt>
                <c:pt idx="923">
                  <c:v>41724</c:v>
                </c:pt>
                <c:pt idx="924">
                  <c:v>41725</c:v>
                </c:pt>
                <c:pt idx="925">
                  <c:v>41726</c:v>
                </c:pt>
                <c:pt idx="926">
                  <c:v>41729</c:v>
                </c:pt>
                <c:pt idx="927">
                  <c:v>41730</c:v>
                </c:pt>
                <c:pt idx="928">
                  <c:v>41731</c:v>
                </c:pt>
                <c:pt idx="929">
                  <c:v>41732</c:v>
                </c:pt>
                <c:pt idx="930">
                  <c:v>41733</c:v>
                </c:pt>
                <c:pt idx="931">
                  <c:v>41736</c:v>
                </c:pt>
                <c:pt idx="932">
                  <c:v>41737</c:v>
                </c:pt>
                <c:pt idx="933">
                  <c:v>41738</c:v>
                </c:pt>
                <c:pt idx="934">
                  <c:v>41739</c:v>
                </c:pt>
                <c:pt idx="935">
                  <c:v>41740</c:v>
                </c:pt>
                <c:pt idx="936">
                  <c:v>41743</c:v>
                </c:pt>
                <c:pt idx="937">
                  <c:v>41744</c:v>
                </c:pt>
                <c:pt idx="938">
                  <c:v>41745</c:v>
                </c:pt>
                <c:pt idx="939">
                  <c:v>41746</c:v>
                </c:pt>
                <c:pt idx="940">
                  <c:v>41750</c:v>
                </c:pt>
                <c:pt idx="941">
                  <c:v>41751</c:v>
                </c:pt>
                <c:pt idx="942">
                  <c:v>41752</c:v>
                </c:pt>
                <c:pt idx="943">
                  <c:v>41753</c:v>
                </c:pt>
                <c:pt idx="944">
                  <c:v>41754</c:v>
                </c:pt>
                <c:pt idx="945">
                  <c:v>41757</c:v>
                </c:pt>
                <c:pt idx="946">
                  <c:v>41758</c:v>
                </c:pt>
                <c:pt idx="947">
                  <c:v>41759</c:v>
                </c:pt>
                <c:pt idx="948">
                  <c:v>41760</c:v>
                </c:pt>
                <c:pt idx="949">
                  <c:v>41761</c:v>
                </c:pt>
                <c:pt idx="950">
                  <c:v>41764</c:v>
                </c:pt>
                <c:pt idx="951">
                  <c:v>41765</c:v>
                </c:pt>
                <c:pt idx="952">
                  <c:v>41766</c:v>
                </c:pt>
                <c:pt idx="953">
                  <c:v>41767</c:v>
                </c:pt>
                <c:pt idx="954">
                  <c:v>41768</c:v>
                </c:pt>
                <c:pt idx="955">
                  <c:v>41771</c:v>
                </c:pt>
                <c:pt idx="956">
                  <c:v>41772</c:v>
                </c:pt>
                <c:pt idx="957">
                  <c:v>41773</c:v>
                </c:pt>
                <c:pt idx="958">
                  <c:v>41774</c:v>
                </c:pt>
                <c:pt idx="959">
                  <c:v>41775</c:v>
                </c:pt>
                <c:pt idx="960">
                  <c:v>41778</c:v>
                </c:pt>
                <c:pt idx="961">
                  <c:v>41779</c:v>
                </c:pt>
                <c:pt idx="962">
                  <c:v>41780</c:v>
                </c:pt>
                <c:pt idx="963">
                  <c:v>41781</c:v>
                </c:pt>
                <c:pt idx="964">
                  <c:v>41782</c:v>
                </c:pt>
                <c:pt idx="965">
                  <c:v>41786</c:v>
                </c:pt>
                <c:pt idx="966">
                  <c:v>41787</c:v>
                </c:pt>
                <c:pt idx="967">
                  <c:v>41788</c:v>
                </c:pt>
                <c:pt idx="968">
                  <c:v>41789</c:v>
                </c:pt>
                <c:pt idx="969">
                  <c:v>41792</c:v>
                </c:pt>
                <c:pt idx="970">
                  <c:v>41793</c:v>
                </c:pt>
                <c:pt idx="971">
                  <c:v>41794</c:v>
                </c:pt>
                <c:pt idx="972">
                  <c:v>41795</c:v>
                </c:pt>
                <c:pt idx="973">
                  <c:v>41796</c:v>
                </c:pt>
                <c:pt idx="974">
                  <c:v>41799</c:v>
                </c:pt>
                <c:pt idx="975">
                  <c:v>41800</c:v>
                </c:pt>
                <c:pt idx="976">
                  <c:v>41801</c:v>
                </c:pt>
                <c:pt idx="977">
                  <c:v>41802</c:v>
                </c:pt>
                <c:pt idx="978">
                  <c:v>41803</c:v>
                </c:pt>
                <c:pt idx="979">
                  <c:v>41806</c:v>
                </c:pt>
                <c:pt idx="980">
                  <c:v>41807</c:v>
                </c:pt>
                <c:pt idx="981">
                  <c:v>41808</c:v>
                </c:pt>
                <c:pt idx="982">
                  <c:v>41809</c:v>
                </c:pt>
                <c:pt idx="983">
                  <c:v>41810</c:v>
                </c:pt>
                <c:pt idx="984">
                  <c:v>41813</c:v>
                </c:pt>
                <c:pt idx="985">
                  <c:v>41814</c:v>
                </c:pt>
                <c:pt idx="986">
                  <c:v>41815</c:v>
                </c:pt>
                <c:pt idx="987">
                  <c:v>41816</c:v>
                </c:pt>
                <c:pt idx="988">
                  <c:v>41817</c:v>
                </c:pt>
                <c:pt idx="989">
                  <c:v>41820</c:v>
                </c:pt>
                <c:pt idx="990">
                  <c:v>41821</c:v>
                </c:pt>
                <c:pt idx="991">
                  <c:v>41822</c:v>
                </c:pt>
                <c:pt idx="992">
                  <c:v>41823</c:v>
                </c:pt>
                <c:pt idx="993">
                  <c:v>41827</c:v>
                </c:pt>
                <c:pt idx="994">
                  <c:v>41828</c:v>
                </c:pt>
                <c:pt idx="995">
                  <c:v>41829</c:v>
                </c:pt>
                <c:pt idx="996">
                  <c:v>41830</c:v>
                </c:pt>
                <c:pt idx="997">
                  <c:v>41831</c:v>
                </c:pt>
                <c:pt idx="998">
                  <c:v>41834</c:v>
                </c:pt>
                <c:pt idx="999">
                  <c:v>41835</c:v>
                </c:pt>
                <c:pt idx="1000">
                  <c:v>41836</c:v>
                </c:pt>
                <c:pt idx="1001">
                  <c:v>41837</c:v>
                </c:pt>
                <c:pt idx="1002">
                  <c:v>41838</c:v>
                </c:pt>
                <c:pt idx="1003">
                  <c:v>41841</c:v>
                </c:pt>
                <c:pt idx="1004">
                  <c:v>41842</c:v>
                </c:pt>
                <c:pt idx="1005">
                  <c:v>41843</c:v>
                </c:pt>
                <c:pt idx="1006">
                  <c:v>41844</c:v>
                </c:pt>
                <c:pt idx="1007">
                  <c:v>41845</c:v>
                </c:pt>
                <c:pt idx="1008">
                  <c:v>41848</c:v>
                </c:pt>
                <c:pt idx="1009">
                  <c:v>41849</c:v>
                </c:pt>
                <c:pt idx="1010">
                  <c:v>41850</c:v>
                </c:pt>
                <c:pt idx="1011">
                  <c:v>41851</c:v>
                </c:pt>
                <c:pt idx="1012">
                  <c:v>41852</c:v>
                </c:pt>
                <c:pt idx="1013">
                  <c:v>41855</c:v>
                </c:pt>
                <c:pt idx="1014">
                  <c:v>41856</c:v>
                </c:pt>
                <c:pt idx="1015">
                  <c:v>41857</c:v>
                </c:pt>
                <c:pt idx="1016">
                  <c:v>41858</c:v>
                </c:pt>
                <c:pt idx="1017">
                  <c:v>41859</c:v>
                </c:pt>
                <c:pt idx="1018">
                  <c:v>41862</c:v>
                </c:pt>
                <c:pt idx="1019">
                  <c:v>41863</c:v>
                </c:pt>
                <c:pt idx="1020">
                  <c:v>41864</c:v>
                </c:pt>
                <c:pt idx="1021">
                  <c:v>41865</c:v>
                </c:pt>
                <c:pt idx="1022">
                  <c:v>41866</c:v>
                </c:pt>
                <c:pt idx="1023">
                  <c:v>41869</c:v>
                </c:pt>
                <c:pt idx="1024">
                  <c:v>41870</c:v>
                </c:pt>
                <c:pt idx="1025">
                  <c:v>41871</c:v>
                </c:pt>
                <c:pt idx="1026">
                  <c:v>41872</c:v>
                </c:pt>
                <c:pt idx="1027">
                  <c:v>41873</c:v>
                </c:pt>
                <c:pt idx="1028">
                  <c:v>41876</c:v>
                </c:pt>
                <c:pt idx="1029">
                  <c:v>41877</c:v>
                </c:pt>
                <c:pt idx="1030">
                  <c:v>41878</c:v>
                </c:pt>
                <c:pt idx="1031">
                  <c:v>41879</c:v>
                </c:pt>
                <c:pt idx="1032">
                  <c:v>41880</c:v>
                </c:pt>
                <c:pt idx="1033">
                  <c:v>41884</c:v>
                </c:pt>
                <c:pt idx="1034">
                  <c:v>41885</c:v>
                </c:pt>
                <c:pt idx="1035">
                  <c:v>41886</c:v>
                </c:pt>
                <c:pt idx="1036">
                  <c:v>41887</c:v>
                </c:pt>
                <c:pt idx="1037">
                  <c:v>41890</c:v>
                </c:pt>
                <c:pt idx="1038">
                  <c:v>41891</c:v>
                </c:pt>
                <c:pt idx="1039">
                  <c:v>41892</c:v>
                </c:pt>
                <c:pt idx="1040">
                  <c:v>41893</c:v>
                </c:pt>
                <c:pt idx="1041">
                  <c:v>41894</c:v>
                </c:pt>
                <c:pt idx="1042">
                  <c:v>41897</c:v>
                </c:pt>
                <c:pt idx="1043">
                  <c:v>41898</c:v>
                </c:pt>
                <c:pt idx="1044">
                  <c:v>41899</c:v>
                </c:pt>
                <c:pt idx="1045">
                  <c:v>41900</c:v>
                </c:pt>
                <c:pt idx="1046">
                  <c:v>41901</c:v>
                </c:pt>
                <c:pt idx="1047">
                  <c:v>41904</c:v>
                </c:pt>
                <c:pt idx="1048">
                  <c:v>41905</c:v>
                </c:pt>
                <c:pt idx="1049">
                  <c:v>41906</c:v>
                </c:pt>
                <c:pt idx="1050">
                  <c:v>41907</c:v>
                </c:pt>
                <c:pt idx="1051">
                  <c:v>41908</c:v>
                </c:pt>
                <c:pt idx="1052">
                  <c:v>41911</c:v>
                </c:pt>
                <c:pt idx="1053">
                  <c:v>41912</c:v>
                </c:pt>
                <c:pt idx="1054">
                  <c:v>41913</c:v>
                </c:pt>
                <c:pt idx="1055">
                  <c:v>41914</c:v>
                </c:pt>
                <c:pt idx="1056">
                  <c:v>41915</c:v>
                </c:pt>
                <c:pt idx="1057">
                  <c:v>41918</c:v>
                </c:pt>
                <c:pt idx="1058">
                  <c:v>41919</c:v>
                </c:pt>
                <c:pt idx="1059">
                  <c:v>41920</c:v>
                </c:pt>
                <c:pt idx="1060">
                  <c:v>41921</c:v>
                </c:pt>
                <c:pt idx="1061">
                  <c:v>41922</c:v>
                </c:pt>
                <c:pt idx="1062">
                  <c:v>41925</c:v>
                </c:pt>
                <c:pt idx="1063">
                  <c:v>41926</c:v>
                </c:pt>
                <c:pt idx="1064">
                  <c:v>41927</c:v>
                </c:pt>
                <c:pt idx="1065">
                  <c:v>41928</c:v>
                </c:pt>
                <c:pt idx="1066">
                  <c:v>41929</c:v>
                </c:pt>
                <c:pt idx="1067">
                  <c:v>41932</c:v>
                </c:pt>
                <c:pt idx="1068">
                  <c:v>41933</c:v>
                </c:pt>
                <c:pt idx="1069">
                  <c:v>41934</c:v>
                </c:pt>
                <c:pt idx="1070">
                  <c:v>41935</c:v>
                </c:pt>
                <c:pt idx="1071">
                  <c:v>41936</c:v>
                </c:pt>
                <c:pt idx="1072">
                  <c:v>41939</c:v>
                </c:pt>
                <c:pt idx="1073">
                  <c:v>41940</c:v>
                </c:pt>
                <c:pt idx="1074">
                  <c:v>41941</c:v>
                </c:pt>
                <c:pt idx="1075">
                  <c:v>41942</c:v>
                </c:pt>
                <c:pt idx="1076">
                  <c:v>41943</c:v>
                </c:pt>
                <c:pt idx="1077">
                  <c:v>41946</c:v>
                </c:pt>
                <c:pt idx="1078">
                  <c:v>41947</c:v>
                </c:pt>
                <c:pt idx="1079">
                  <c:v>41948</c:v>
                </c:pt>
                <c:pt idx="1080">
                  <c:v>41949</c:v>
                </c:pt>
                <c:pt idx="1081">
                  <c:v>41950</c:v>
                </c:pt>
                <c:pt idx="1082">
                  <c:v>41953</c:v>
                </c:pt>
                <c:pt idx="1083">
                  <c:v>41954</c:v>
                </c:pt>
                <c:pt idx="1084">
                  <c:v>41955</c:v>
                </c:pt>
                <c:pt idx="1085">
                  <c:v>41956</c:v>
                </c:pt>
                <c:pt idx="1086">
                  <c:v>41957</c:v>
                </c:pt>
                <c:pt idx="1087">
                  <c:v>41960</c:v>
                </c:pt>
                <c:pt idx="1088">
                  <c:v>41961</c:v>
                </c:pt>
                <c:pt idx="1089">
                  <c:v>41962</c:v>
                </c:pt>
                <c:pt idx="1090">
                  <c:v>41963</c:v>
                </c:pt>
                <c:pt idx="1091">
                  <c:v>41964</c:v>
                </c:pt>
                <c:pt idx="1092">
                  <c:v>41967</c:v>
                </c:pt>
                <c:pt idx="1093">
                  <c:v>41968</c:v>
                </c:pt>
                <c:pt idx="1094">
                  <c:v>41969</c:v>
                </c:pt>
                <c:pt idx="1095">
                  <c:v>41971</c:v>
                </c:pt>
                <c:pt idx="1096">
                  <c:v>41974</c:v>
                </c:pt>
                <c:pt idx="1097">
                  <c:v>41975</c:v>
                </c:pt>
                <c:pt idx="1098">
                  <c:v>41976</c:v>
                </c:pt>
                <c:pt idx="1099">
                  <c:v>41977</c:v>
                </c:pt>
                <c:pt idx="1100">
                  <c:v>41978</c:v>
                </c:pt>
                <c:pt idx="1101">
                  <c:v>41981</c:v>
                </c:pt>
                <c:pt idx="1102">
                  <c:v>41982</c:v>
                </c:pt>
                <c:pt idx="1103">
                  <c:v>41983</c:v>
                </c:pt>
                <c:pt idx="1104">
                  <c:v>41984</c:v>
                </c:pt>
                <c:pt idx="1105">
                  <c:v>41985</c:v>
                </c:pt>
                <c:pt idx="1106">
                  <c:v>41988</c:v>
                </c:pt>
                <c:pt idx="1107">
                  <c:v>41989</c:v>
                </c:pt>
                <c:pt idx="1108">
                  <c:v>41990</c:v>
                </c:pt>
                <c:pt idx="1109">
                  <c:v>41991</c:v>
                </c:pt>
                <c:pt idx="1110">
                  <c:v>41992</c:v>
                </c:pt>
                <c:pt idx="1111">
                  <c:v>41995</c:v>
                </c:pt>
                <c:pt idx="1112">
                  <c:v>41996</c:v>
                </c:pt>
                <c:pt idx="1113">
                  <c:v>41997</c:v>
                </c:pt>
                <c:pt idx="1114">
                  <c:v>41999</c:v>
                </c:pt>
                <c:pt idx="1115">
                  <c:v>42002</c:v>
                </c:pt>
                <c:pt idx="1116">
                  <c:v>42003</c:v>
                </c:pt>
                <c:pt idx="1117">
                  <c:v>42004</c:v>
                </c:pt>
                <c:pt idx="1118">
                  <c:v>42006</c:v>
                </c:pt>
                <c:pt idx="1119">
                  <c:v>42009</c:v>
                </c:pt>
                <c:pt idx="1120">
                  <c:v>42010</c:v>
                </c:pt>
                <c:pt idx="1121">
                  <c:v>42011</c:v>
                </c:pt>
                <c:pt idx="1122">
                  <c:v>42012</c:v>
                </c:pt>
                <c:pt idx="1123">
                  <c:v>42013</c:v>
                </c:pt>
                <c:pt idx="1124">
                  <c:v>42016</c:v>
                </c:pt>
                <c:pt idx="1125">
                  <c:v>42017</c:v>
                </c:pt>
                <c:pt idx="1126">
                  <c:v>42018</c:v>
                </c:pt>
                <c:pt idx="1127">
                  <c:v>42019</c:v>
                </c:pt>
                <c:pt idx="1128">
                  <c:v>42020</c:v>
                </c:pt>
                <c:pt idx="1129">
                  <c:v>42024</c:v>
                </c:pt>
                <c:pt idx="1130">
                  <c:v>42025</c:v>
                </c:pt>
                <c:pt idx="1131">
                  <c:v>42026</c:v>
                </c:pt>
                <c:pt idx="1132">
                  <c:v>42027</c:v>
                </c:pt>
                <c:pt idx="1133">
                  <c:v>42030</c:v>
                </c:pt>
                <c:pt idx="1134">
                  <c:v>42031</c:v>
                </c:pt>
                <c:pt idx="1135">
                  <c:v>42032</c:v>
                </c:pt>
                <c:pt idx="1136">
                  <c:v>42033</c:v>
                </c:pt>
                <c:pt idx="1137">
                  <c:v>42034</c:v>
                </c:pt>
                <c:pt idx="1138">
                  <c:v>42037</c:v>
                </c:pt>
                <c:pt idx="1139">
                  <c:v>42038</c:v>
                </c:pt>
                <c:pt idx="1140">
                  <c:v>42039</c:v>
                </c:pt>
                <c:pt idx="1141">
                  <c:v>42040</c:v>
                </c:pt>
                <c:pt idx="1142">
                  <c:v>42041</c:v>
                </c:pt>
                <c:pt idx="1143">
                  <c:v>42044</c:v>
                </c:pt>
                <c:pt idx="1144">
                  <c:v>42045</c:v>
                </c:pt>
                <c:pt idx="1145">
                  <c:v>42046</c:v>
                </c:pt>
                <c:pt idx="1146">
                  <c:v>42047</c:v>
                </c:pt>
                <c:pt idx="1147">
                  <c:v>42048</c:v>
                </c:pt>
                <c:pt idx="1148">
                  <c:v>42052</c:v>
                </c:pt>
                <c:pt idx="1149">
                  <c:v>42053</c:v>
                </c:pt>
                <c:pt idx="1150">
                  <c:v>42054</c:v>
                </c:pt>
                <c:pt idx="1151">
                  <c:v>42055</c:v>
                </c:pt>
                <c:pt idx="1152">
                  <c:v>42058</c:v>
                </c:pt>
                <c:pt idx="1153">
                  <c:v>42059</c:v>
                </c:pt>
                <c:pt idx="1154">
                  <c:v>42060</c:v>
                </c:pt>
                <c:pt idx="1155">
                  <c:v>42061</c:v>
                </c:pt>
                <c:pt idx="1156">
                  <c:v>42062</c:v>
                </c:pt>
                <c:pt idx="1157">
                  <c:v>42065</c:v>
                </c:pt>
                <c:pt idx="1158">
                  <c:v>42066</c:v>
                </c:pt>
                <c:pt idx="1159">
                  <c:v>42067</c:v>
                </c:pt>
                <c:pt idx="1160">
                  <c:v>42068</c:v>
                </c:pt>
                <c:pt idx="1161">
                  <c:v>42069</c:v>
                </c:pt>
                <c:pt idx="1162">
                  <c:v>42072</c:v>
                </c:pt>
                <c:pt idx="1163">
                  <c:v>42073</c:v>
                </c:pt>
                <c:pt idx="1164">
                  <c:v>42074</c:v>
                </c:pt>
                <c:pt idx="1165">
                  <c:v>42075</c:v>
                </c:pt>
                <c:pt idx="1166">
                  <c:v>42076</c:v>
                </c:pt>
                <c:pt idx="1167">
                  <c:v>42079</c:v>
                </c:pt>
                <c:pt idx="1168">
                  <c:v>42080</c:v>
                </c:pt>
                <c:pt idx="1169">
                  <c:v>42081</c:v>
                </c:pt>
                <c:pt idx="1170">
                  <c:v>42082</c:v>
                </c:pt>
                <c:pt idx="1171">
                  <c:v>42083</c:v>
                </c:pt>
                <c:pt idx="1172">
                  <c:v>42086</c:v>
                </c:pt>
                <c:pt idx="1173">
                  <c:v>42087</c:v>
                </c:pt>
                <c:pt idx="1174">
                  <c:v>42088</c:v>
                </c:pt>
                <c:pt idx="1175">
                  <c:v>42089</c:v>
                </c:pt>
                <c:pt idx="1176">
                  <c:v>42090</c:v>
                </c:pt>
                <c:pt idx="1177">
                  <c:v>42093</c:v>
                </c:pt>
                <c:pt idx="1178">
                  <c:v>42094</c:v>
                </c:pt>
                <c:pt idx="1179">
                  <c:v>42095</c:v>
                </c:pt>
                <c:pt idx="1180">
                  <c:v>42096</c:v>
                </c:pt>
                <c:pt idx="1181">
                  <c:v>42100</c:v>
                </c:pt>
                <c:pt idx="1182">
                  <c:v>42101</c:v>
                </c:pt>
                <c:pt idx="1183">
                  <c:v>42102</c:v>
                </c:pt>
                <c:pt idx="1184">
                  <c:v>42103</c:v>
                </c:pt>
                <c:pt idx="1185">
                  <c:v>42104</c:v>
                </c:pt>
                <c:pt idx="1186">
                  <c:v>42107</c:v>
                </c:pt>
                <c:pt idx="1187">
                  <c:v>42108</c:v>
                </c:pt>
                <c:pt idx="1188">
                  <c:v>42109</c:v>
                </c:pt>
                <c:pt idx="1189">
                  <c:v>42110</c:v>
                </c:pt>
                <c:pt idx="1190">
                  <c:v>42111</c:v>
                </c:pt>
                <c:pt idx="1191">
                  <c:v>42114</c:v>
                </c:pt>
                <c:pt idx="1192">
                  <c:v>42115</c:v>
                </c:pt>
                <c:pt idx="1193">
                  <c:v>42116</c:v>
                </c:pt>
                <c:pt idx="1194">
                  <c:v>42117</c:v>
                </c:pt>
                <c:pt idx="1195">
                  <c:v>42118</c:v>
                </c:pt>
                <c:pt idx="1196">
                  <c:v>42121</c:v>
                </c:pt>
                <c:pt idx="1197">
                  <c:v>42122</c:v>
                </c:pt>
                <c:pt idx="1198">
                  <c:v>42123</c:v>
                </c:pt>
                <c:pt idx="1199">
                  <c:v>42124</c:v>
                </c:pt>
                <c:pt idx="1200">
                  <c:v>42125</c:v>
                </c:pt>
                <c:pt idx="1201">
                  <c:v>42128</c:v>
                </c:pt>
                <c:pt idx="1202">
                  <c:v>42129</c:v>
                </c:pt>
                <c:pt idx="1203">
                  <c:v>42130</c:v>
                </c:pt>
                <c:pt idx="1204">
                  <c:v>42131</c:v>
                </c:pt>
                <c:pt idx="1205">
                  <c:v>42132</c:v>
                </c:pt>
                <c:pt idx="1206">
                  <c:v>42135</c:v>
                </c:pt>
                <c:pt idx="1207">
                  <c:v>42136</c:v>
                </c:pt>
                <c:pt idx="1208">
                  <c:v>42137</c:v>
                </c:pt>
                <c:pt idx="1209">
                  <c:v>42138</c:v>
                </c:pt>
                <c:pt idx="1210">
                  <c:v>42139</c:v>
                </c:pt>
                <c:pt idx="1211">
                  <c:v>42142</c:v>
                </c:pt>
                <c:pt idx="1212">
                  <c:v>42143</c:v>
                </c:pt>
                <c:pt idx="1213">
                  <c:v>42144</c:v>
                </c:pt>
                <c:pt idx="1214">
                  <c:v>42145</c:v>
                </c:pt>
                <c:pt idx="1215">
                  <c:v>42146</c:v>
                </c:pt>
                <c:pt idx="1216">
                  <c:v>42150</c:v>
                </c:pt>
                <c:pt idx="1217">
                  <c:v>42151</c:v>
                </c:pt>
                <c:pt idx="1218">
                  <c:v>42152</c:v>
                </c:pt>
                <c:pt idx="1219">
                  <c:v>42153</c:v>
                </c:pt>
                <c:pt idx="1220">
                  <c:v>42156</c:v>
                </c:pt>
                <c:pt idx="1221">
                  <c:v>42157</c:v>
                </c:pt>
                <c:pt idx="1222">
                  <c:v>42158</c:v>
                </c:pt>
                <c:pt idx="1223">
                  <c:v>42159</c:v>
                </c:pt>
                <c:pt idx="1224">
                  <c:v>42160</c:v>
                </c:pt>
                <c:pt idx="1225">
                  <c:v>42163</c:v>
                </c:pt>
                <c:pt idx="1226">
                  <c:v>42164</c:v>
                </c:pt>
                <c:pt idx="1227">
                  <c:v>42165</c:v>
                </c:pt>
                <c:pt idx="1228">
                  <c:v>42166</c:v>
                </c:pt>
                <c:pt idx="1229">
                  <c:v>42167</c:v>
                </c:pt>
                <c:pt idx="1230">
                  <c:v>42170</c:v>
                </c:pt>
                <c:pt idx="1231">
                  <c:v>42171</c:v>
                </c:pt>
                <c:pt idx="1232">
                  <c:v>42172</c:v>
                </c:pt>
                <c:pt idx="1233">
                  <c:v>42173</c:v>
                </c:pt>
                <c:pt idx="1234">
                  <c:v>42174</c:v>
                </c:pt>
                <c:pt idx="1235">
                  <c:v>42177</c:v>
                </c:pt>
                <c:pt idx="1236">
                  <c:v>42178</c:v>
                </c:pt>
                <c:pt idx="1237">
                  <c:v>42179</c:v>
                </c:pt>
                <c:pt idx="1238">
                  <c:v>42180</c:v>
                </c:pt>
                <c:pt idx="1239">
                  <c:v>42181</c:v>
                </c:pt>
                <c:pt idx="1240">
                  <c:v>42184</c:v>
                </c:pt>
                <c:pt idx="1241">
                  <c:v>42185</c:v>
                </c:pt>
                <c:pt idx="1242">
                  <c:v>42186</c:v>
                </c:pt>
                <c:pt idx="1243">
                  <c:v>42187</c:v>
                </c:pt>
                <c:pt idx="1244">
                  <c:v>42191</c:v>
                </c:pt>
                <c:pt idx="1245">
                  <c:v>42192</c:v>
                </c:pt>
                <c:pt idx="1246">
                  <c:v>42193</c:v>
                </c:pt>
                <c:pt idx="1247">
                  <c:v>42194</c:v>
                </c:pt>
                <c:pt idx="1248">
                  <c:v>42195</c:v>
                </c:pt>
                <c:pt idx="1249">
                  <c:v>42198</c:v>
                </c:pt>
                <c:pt idx="1250">
                  <c:v>42199</c:v>
                </c:pt>
                <c:pt idx="1251">
                  <c:v>42200</c:v>
                </c:pt>
                <c:pt idx="1252">
                  <c:v>42201</c:v>
                </c:pt>
                <c:pt idx="1253">
                  <c:v>42202</c:v>
                </c:pt>
                <c:pt idx="1254">
                  <c:v>42205</c:v>
                </c:pt>
                <c:pt idx="1255">
                  <c:v>42206</c:v>
                </c:pt>
                <c:pt idx="1256">
                  <c:v>42207</c:v>
                </c:pt>
                <c:pt idx="1257">
                  <c:v>42208</c:v>
                </c:pt>
                <c:pt idx="1258">
                  <c:v>42209</c:v>
                </c:pt>
                <c:pt idx="1259">
                  <c:v>42212</c:v>
                </c:pt>
                <c:pt idx="1260">
                  <c:v>42213</c:v>
                </c:pt>
                <c:pt idx="1261">
                  <c:v>42214</c:v>
                </c:pt>
                <c:pt idx="1262">
                  <c:v>42215</c:v>
                </c:pt>
                <c:pt idx="1263">
                  <c:v>42216</c:v>
                </c:pt>
                <c:pt idx="1264">
                  <c:v>42219</c:v>
                </c:pt>
                <c:pt idx="1265">
                  <c:v>42220</c:v>
                </c:pt>
                <c:pt idx="1266">
                  <c:v>42221</c:v>
                </c:pt>
                <c:pt idx="1267">
                  <c:v>42222</c:v>
                </c:pt>
                <c:pt idx="1268">
                  <c:v>42223</c:v>
                </c:pt>
                <c:pt idx="1269">
                  <c:v>42226</c:v>
                </c:pt>
                <c:pt idx="1270">
                  <c:v>42227</c:v>
                </c:pt>
                <c:pt idx="1271">
                  <c:v>42228</c:v>
                </c:pt>
                <c:pt idx="1272">
                  <c:v>42229</c:v>
                </c:pt>
                <c:pt idx="1273">
                  <c:v>42230</c:v>
                </c:pt>
                <c:pt idx="1274">
                  <c:v>42233</c:v>
                </c:pt>
                <c:pt idx="1275">
                  <c:v>42234</c:v>
                </c:pt>
                <c:pt idx="1276">
                  <c:v>42235</c:v>
                </c:pt>
                <c:pt idx="1277">
                  <c:v>42236</c:v>
                </c:pt>
                <c:pt idx="1278">
                  <c:v>42237</c:v>
                </c:pt>
                <c:pt idx="1279">
                  <c:v>42240</c:v>
                </c:pt>
                <c:pt idx="1280">
                  <c:v>42241</c:v>
                </c:pt>
                <c:pt idx="1281">
                  <c:v>42242</c:v>
                </c:pt>
                <c:pt idx="1282">
                  <c:v>42243</c:v>
                </c:pt>
                <c:pt idx="1283">
                  <c:v>42244</c:v>
                </c:pt>
                <c:pt idx="1284">
                  <c:v>42247</c:v>
                </c:pt>
                <c:pt idx="1285">
                  <c:v>42248</c:v>
                </c:pt>
                <c:pt idx="1286">
                  <c:v>42249</c:v>
                </c:pt>
                <c:pt idx="1287">
                  <c:v>42250</c:v>
                </c:pt>
                <c:pt idx="1288">
                  <c:v>42251</c:v>
                </c:pt>
                <c:pt idx="1289">
                  <c:v>42255</c:v>
                </c:pt>
                <c:pt idx="1290">
                  <c:v>42256</c:v>
                </c:pt>
                <c:pt idx="1291">
                  <c:v>42257</c:v>
                </c:pt>
                <c:pt idx="1292">
                  <c:v>42258</c:v>
                </c:pt>
                <c:pt idx="1293">
                  <c:v>42261</c:v>
                </c:pt>
                <c:pt idx="1294">
                  <c:v>42262</c:v>
                </c:pt>
                <c:pt idx="1295">
                  <c:v>42263</c:v>
                </c:pt>
                <c:pt idx="1296">
                  <c:v>42264</c:v>
                </c:pt>
                <c:pt idx="1297">
                  <c:v>42265</c:v>
                </c:pt>
                <c:pt idx="1298">
                  <c:v>42268</c:v>
                </c:pt>
                <c:pt idx="1299">
                  <c:v>42269</c:v>
                </c:pt>
                <c:pt idx="1300">
                  <c:v>42270</c:v>
                </c:pt>
                <c:pt idx="1301">
                  <c:v>42271</c:v>
                </c:pt>
                <c:pt idx="1302">
                  <c:v>42272</c:v>
                </c:pt>
                <c:pt idx="1303">
                  <c:v>42275</c:v>
                </c:pt>
                <c:pt idx="1304">
                  <c:v>42276</c:v>
                </c:pt>
                <c:pt idx="1305">
                  <c:v>42277</c:v>
                </c:pt>
                <c:pt idx="1306">
                  <c:v>42278</c:v>
                </c:pt>
                <c:pt idx="1307">
                  <c:v>42279</c:v>
                </c:pt>
                <c:pt idx="1308">
                  <c:v>42282</c:v>
                </c:pt>
                <c:pt idx="1309">
                  <c:v>42283</c:v>
                </c:pt>
                <c:pt idx="1310">
                  <c:v>42284</c:v>
                </c:pt>
                <c:pt idx="1311">
                  <c:v>42285</c:v>
                </c:pt>
                <c:pt idx="1312">
                  <c:v>42286</c:v>
                </c:pt>
                <c:pt idx="1313">
                  <c:v>42289</c:v>
                </c:pt>
                <c:pt idx="1314">
                  <c:v>42290</c:v>
                </c:pt>
                <c:pt idx="1315">
                  <c:v>42291</c:v>
                </c:pt>
                <c:pt idx="1316">
                  <c:v>42292</c:v>
                </c:pt>
                <c:pt idx="1317">
                  <c:v>42293</c:v>
                </c:pt>
                <c:pt idx="1318">
                  <c:v>42296</c:v>
                </c:pt>
                <c:pt idx="1319">
                  <c:v>42297</c:v>
                </c:pt>
                <c:pt idx="1320">
                  <c:v>42298</c:v>
                </c:pt>
                <c:pt idx="1321">
                  <c:v>42299</c:v>
                </c:pt>
                <c:pt idx="1322">
                  <c:v>42300</c:v>
                </c:pt>
                <c:pt idx="1323">
                  <c:v>42303</c:v>
                </c:pt>
                <c:pt idx="1324">
                  <c:v>42304</c:v>
                </c:pt>
                <c:pt idx="1325">
                  <c:v>42305</c:v>
                </c:pt>
                <c:pt idx="1326">
                  <c:v>42306</c:v>
                </c:pt>
                <c:pt idx="1327">
                  <c:v>42307</c:v>
                </c:pt>
                <c:pt idx="1328">
                  <c:v>42310</c:v>
                </c:pt>
                <c:pt idx="1329">
                  <c:v>42311</c:v>
                </c:pt>
                <c:pt idx="1330">
                  <c:v>42312</c:v>
                </c:pt>
                <c:pt idx="1331">
                  <c:v>42313</c:v>
                </c:pt>
                <c:pt idx="1332">
                  <c:v>42314</c:v>
                </c:pt>
                <c:pt idx="1333">
                  <c:v>42317</c:v>
                </c:pt>
                <c:pt idx="1334">
                  <c:v>42318</c:v>
                </c:pt>
                <c:pt idx="1335">
                  <c:v>42319</c:v>
                </c:pt>
                <c:pt idx="1336">
                  <c:v>42320</c:v>
                </c:pt>
                <c:pt idx="1337">
                  <c:v>42321</c:v>
                </c:pt>
                <c:pt idx="1338">
                  <c:v>42324</c:v>
                </c:pt>
                <c:pt idx="1339">
                  <c:v>42325</c:v>
                </c:pt>
                <c:pt idx="1340">
                  <c:v>42326</c:v>
                </c:pt>
                <c:pt idx="1341">
                  <c:v>42327</c:v>
                </c:pt>
                <c:pt idx="1342">
                  <c:v>42328</c:v>
                </c:pt>
                <c:pt idx="1343">
                  <c:v>42331</c:v>
                </c:pt>
                <c:pt idx="1344">
                  <c:v>42332</c:v>
                </c:pt>
                <c:pt idx="1345">
                  <c:v>42333</c:v>
                </c:pt>
                <c:pt idx="1346">
                  <c:v>42335</c:v>
                </c:pt>
                <c:pt idx="1347">
                  <c:v>42338</c:v>
                </c:pt>
                <c:pt idx="1348">
                  <c:v>42339</c:v>
                </c:pt>
                <c:pt idx="1349">
                  <c:v>42340</c:v>
                </c:pt>
                <c:pt idx="1350">
                  <c:v>42341</c:v>
                </c:pt>
                <c:pt idx="1351">
                  <c:v>42342</c:v>
                </c:pt>
                <c:pt idx="1352">
                  <c:v>42345</c:v>
                </c:pt>
                <c:pt idx="1353">
                  <c:v>42346</c:v>
                </c:pt>
                <c:pt idx="1354">
                  <c:v>42347</c:v>
                </c:pt>
                <c:pt idx="1355">
                  <c:v>42348</c:v>
                </c:pt>
                <c:pt idx="1356">
                  <c:v>42349</c:v>
                </c:pt>
                <c:pt idx="1357">
                  <c:v>42352</c:v>
                </c:pt>
                <c:pt idx="1358">
                  <c:v>42353</c:v>
                </c:pt>
                <c:pt idx="1359">
                  <c:v>42354</c:v>
                </c:pt>
                <c:pt idx="1360">
                  <c:v>42355</c:v>
                </c:pt>
                <c:pt idx="1361">
                  <c:v>42356</c:v>
                </c:pt>
                <c:pt idx="1362">
                  <c:v>42359</c:v>
                </c:pt>
                <c:pt idx="1363">
                  <c:v>42360</c:v>
                </c:pt>
                <c:pt idx="1364">
                  <c:v>42361</c:v>
                </c:pt>
                <c:pt idx="1365">
                  <c:v>42362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42373</c:v>
                </c:pt>
                <c:pt idx="1371">
                  <c:v>42374</c:v>
                </c:pt>
                <c:pt idx="1372">
                  <c:v>42375</c:v>
                </c:pt>
                <c:pt idx="1373">
                  <c:v>42376</c:v>
                </c:pt>
                <c:pt idx="1374">
                  <c:v>42377</c:v>
                </c:pt>
                <c:pt idx="1375">
                  <c:v>42380</c:v>
                </c:pt>
                <c:pt idx="1376">
                  <c:v>42381</c:v>
                </c:pt>
                <c:pt idx="1377">
                  <c:v>42382</c:v>
                </c:pt>
                <c:pt idx="1378">
                  <c:v>42383</c:v>
                </c:pt>
                <c:pt idx="1379">
                  <c:v>42384</c:v>
                </c:pt>
                <c:pt idx="1380">
                  <c:v>42388</c:v>
                </c:pt>
                <c:pt idx="1381">
                  <c:v>42389</c:v>
                </c:pt>
                <c:pt idx="1382">
                  <c:v>42390</c:v>
                </c:pt>
                <c:pt idx="1383">
                  <c:v>42391</c:v>
                </c:pt>
                <c:pt idx="1384">
                  <c:v>42394</c:v>
                </c:pt>
                <c:pt idx="1385">
                  <c:v>42395</c:v>
                </c:pt>
                <c:pt idx="1386">
                  <c:v>42396</c:v>
                </c:pt>
                <c:pt idx="1387">
                  <c:v>42397</c:v>
                </c:pt>
                <c:pt idx="1388">
                  <c:v>42398</c:v>
                </c:pt>
                <c:pt idx="1389">
                  <c:v>42401</c:v>
                </c:pt>
                <c:pt idx="1390">
                  <c:v>42402</c:v>
                </c:pt>
                <c:pt idx="1391">
                  <c:v>42403</c:v>
                </c:pt>
                <c:pt idx="1392">
                  <c:v>42404</c:v>
                </c:pt>
                <c:pt idx="1393">
                  <c:v>42405</c:v>
                </c:pt>
                <c:pt idx="1394">
                  <c:v>42408</c:v>
                </c:pt>
                <c:pt idx="1395">
                  <c:v>42409</c:v>
                </c:pt>
                <c:pt idx="1396">
                  <c:v>42410</c:v>
                </c:pt>
                <c:pt idx="1397">
                  <c:v>42411</c:v>
                </c:pt>
                <c:pt idx="1398">
                  <c:v>42412</c:v>
                </c:pt>
                <c:pt idx="1399">
                  <c:v>42416</c:v>
                </c:pt>
                <c:pt idx="1400">
                  <c:v>42417</c:v>
                </c:pt>
                <c:pt idx="1401">
                  <c:v>42418</c:v>
                </c:pt>
                <c:pt idx="1402">
                  <c:v>42419</c:v>
                </c:pt>
                <c:pt idx="1403">
                  <c:v>42422</c:v>
                </c:pt>
                <c:pt idx="1404">
                  <c:v>42423</c:v>
                </c:pt>
                <c:pt idx="1405">
                  <c:v>42424</c:v>
                </c:pt>
                <c:pt idx="1406">
                  <c:v>42425</c:v>
                </c:pt>
                <c:pt idx="1407">
                  <c:v>42426</c:v>
                </c:pt>
                <c:pt idx="1408">
                  <c:v>42429</c:v>
                </c:pt>
                <c:pt idx="1409">
                  <c:v>42430</c:v>
                </c:pt>
                <c:pt idx="1410">
                  <c:v>42431</c:v>
                </c:pt>
                <c:pt idx="1411">
                  <c:v>42432</c:v>
                </c:pt>
                <c:pt idx="1412">
                  <c:v>42433</c:v>
                </c:pt>
                <c:pt idx="1413">
                  <c:v>42436</c:v>
                </c:pt>
                <c:pt idx="1414">
                  <c:v>42437</c:v>
                </c:pt>
                <c:pt idx="1415">
                  <c:v>42438</c:v>
                </c:pt>
                <c:pt idx="1416">
                  <c:v>42439</c:v>
                </c:pt>
                <c:pt idx="1417">
                  <c:v>42440</c:v>
                </c:pt>
                <c:pt idx="1418">
                  <c:v>42443</c:v>
                </c:pt>
                <c:pt idx="1419">
                  <c:v>42444</c:v>
                </c:pt>
                <c:pt idx="1420">
                  <c:v>42445</c:v>
                </c:pt>
                <c:pt idx="1421">
                  <c:v>42446</c:v>
                </c:pt>
                <c:pt idx="1422">
                  <c:v>42447</c:v>
                </c:pt>
                <c:pt idx="1423">
                  <c:v>42450</c:v>
                </c:pt>
                <c:pt idx="1424">
                  <c:v>42451</c:v>
                </c:pt>
                <c:pt idx="1425">
                  <c:v>42452</c:v>
                </c:pt>
                <c:pt idx="1426">
                  <c:v>42453</c:v>
                </c:pt>
                <c:pt idx="1427">
                  <c:v>42457</c:v>
                </c:pt>
                <c:pt idx="1428">
                  <c:v>42458</c:v>
                </c:pt>
                <c:pt idx="1429">
                  <c:v>42459</c:v>
                </c:pt>
                <c:pt idx="1430">
                  <c:v>42460</c:v>
                </c:pt>
                <c:pt idx="1431">
                  <c:v>42461</c:v>
                </c:pt>
                <c:pt idx="1432">
                  <c:v>42464</c:v>
                </c:pt>
                <c:pt idx="1433">
                  <c:v>42465</c:v>
                </c:pt>
                <c:pt idx="1434">
                  <c:v>42466</c:v>
                </c:pt>
                <c:pt idx="1435">
                  <c:v>42467</c:v>
                </c:pt>
                <c:pt idx="1436">
                  <c:v>42468</c:v>
                </c:pt>
                <c:pt idx="1437">
                  <c:v>42471</c:v>
                </c:pt>
                <c:pt idx="1438">
                  <c:v>42472</c:v>
                </c:pt>
                <c:pt idx="1439">
                  <c:v>42473</c:v>
                </c:pt>
                <c:pt idx="1440">
                  <c:v>42474</c:v>
                </c:pt>
                <c:pt idx="1441">
                  <c:v>42475</c:v>
                </c:pt>
                <c:pt idx="1442">
                  <c:v>42478</c:v>
                </c:pt>
                <c:pt idx="1443">
                  <c:v>42479</c:v>
                </c:pt>
                <c:pt idx="1444">
                  <c:v>42480</c:v>
                </c:pt>
                <c:pt idx="1445">
                  <c:v>42481</c:v>
                </c:pt>
                <c:pt idx="1446">
                  <c:v>42482</c:v>
                </c:pt>
                <c:pt idx="1447">
                  <c:v>42485</c:v>
                </c:pt>
                <c:pt idx="1448">
                  <c:v>42486</c:v>
                </c:pt>
                <c:pt idx="1449">
                  <c:v>42487</c:v>
                </c:pt>
                <c:pt idx="1450">
                  <c:v>42488</c:v>
                </c:pt>
                <c:pt idx="1451">
                  <c:v>42489</c:v>
                </c:pt>
                <c:pt idx="1452">
                  <c:v>42492</c:v>
                </c:pt>
                <c:pt idx="1453">
                  <c:v>42493</c:v>
                </c:pt>
                <c:pt idx="1454">
                  <c:v>42494</c:v>
                </c:pt>
                <c:pt idx="1455">
                  <c:v>42495</c:v>
                </c:pt>
                <c:pt idx="1456">
                  <c:v>42496</c:v>
                </c:pt>
                <c:pt idx="1457">
                  <c:v>42499</c:v>
                </c:pt>
                <c:pt idx="1458">
                  <c:v>42500</c:v>
                </c:pt>
                <c:pt idx="1459">
                  <c:v>42501</c:v>
                </c:pt>
                <c:pt idx="1460">
                  <c:v>42502</c:v>
                </c:pt>
                <c:pt idx="1461">
                  <c:v>42503</c:v>
                </c:pt>
                <c:pt idx="1462">
                  <c:v>42506</c:v>
                </c:pt>
                <c:pt idx="1463">
                  <c:v>42507</c:v>
                </c:pt>
                <c:pt idx="1464">
                  <c:v>42508</c:v>
                </c:pt>
                <c:pt idx="1465">
                  <c:v>42509</c:v>
                </c:pt>
                <c:pt idx="1466">
                  <c:v>42510</c:v>
                </c:pt>
                <c:pt idx="1467">
                  <c:v>42513</c:v>
                </c:pt>
                <c:pt idx="1468">
                  <c:v>42514</c:v>
                </c:pt>
                <c:pt idx="1469">
                  <c:v>42515</c:v>
                </c:pt>
                <c:pt idx="1470">
                  <c:v>42516</c:v>
                </c:pt>
                <c:pt idx="1471">
                  <c:v>42517</c:v>
                </c:pt>
                <c:pt idx="1472">
                  <c:v>42521</c:v>
                </c:pt>
                <c:pt idx="1473">
                  <c:v>42522</c:v>
                </c:pt>
                <c:pt idx="1474">
                  <c:v>42523</c:v>
                </c:pt>
                <c:pt idx="1475">
                  <c:v>42524</c:v>
                </c:pt>
                <c:pt idx="1476">
                  <c:v>42527</c:v>
                </c:pt>
                <c:pt idx="1477">
                  <c:v>42528</c:v>
                </c:pt>
                <c:pt idx="1478">
                  <c:v>42529</c:v>
                </c:pt>
                <c:pt idx="1479">
                  <c:v>42530</c:v>
                </c:pt>
                <c:pt idx="1480">
                  <c:v>42531</c:v>
                </c:pt>
                <c:pt idx="1481">
                  <c:v>42534</c:v>
                </c:pt>
                <c:pt idx="1482">
                  <c:v>42535</c:v>
                </c:pt>
                <c:pt idx="1483">
                  <c:v>42536</c:v>
                </c:pt>
                <c:pt idx="1484">
                  <c:v>42537</c:v>
                </c:pt>
                <c:pt idx="1485">
                  <c:v>42538</c:v>
                </c:pt>
                <c:pt idx="1486">
                  <c:v>42541</c:v>
                </c:pt>
                <c:pt idx="1487">
                  <c:v>42542</c:v>
                </c:pt>
                <c:pt idx="1488">
                  <c:v>42543</c:v>
                </c:pt>
                <c:pt idx="1489">
                  <c:v>42544</c:v>
                </c:pt>
                <c:pt idx="1490">
                  <c:v>42545</c:v>
                </c:pt>
                <c:pt idx="1491">
                  <c:v>42548</c:v>
                </c:pt>
                <c:pt idx="1492">
                  <c:v>42549</c:v>
                </c:pt>
                <c:pt idx="1493">
                  <c:v>42550</c:v>
                </c:pt>
                <c:pt idx="1494">
                  <c:v>42551</c:v>
                </c:pt>
                <c:pt idx="1495">
                  <c:v>42552</c:v>
                </c:pt>
                <c:pt idx="1496">
                  <c:v>42556</c:v>
                </c:pt>
                <c:pt idx="1497">
                  <c:v>42557</c:v>
                </c:pt>
                <c:pt idx="1498">
                  <c:v>42558</c:v>
                </c:pt>
                <c:pt idx="1499">
                  <c:v>42559</c:v>
                </c:pt>
                <c:pt idx="1500">
                  <c:v>42562</c:v>
                </c:pt>
                <c:pt idx="1501">
                  <c:v>42563</c:v>
                </c:pt>
                <c:pt idx="1502">
                  <c:v>42564</c:v>
                </c:pt>
                <c:pt idx="1503">
                  <c:v>42565</c:v>
                </c:pt>
                <c:pt idx="1504">
                  <c:v>42566</c:v>
                </c:pt>
                <c:pt idx="1505">
                  <c:v>42569</c:v>
                </c:pt>
                <c:pt idx="1506">
                  <c:v>42570</c:v>
                </c:pt>
                <c:pt idx="1507">
                  <c:v>42571</c:v>
                </c:pt>
                <c:pt idx="1508">
                  <c:v>42572</c:v>
                </c:pt>
                <c:pt idx="1509">
                  <c:v>42573</c:v>
                </c:pt>
                <c:pt idx="1510">
                  <c:v>42576</c:v>
                </c:pt>
                <c:pt idx="1511">
                  <c:v>42577</c:v>
                </c:pt>
                <c:pt idx="1512">
                  <c:v>42578</c:v>
                </c:pt>
                <c:pt idx="1513">
                  <c:v>42579</c:v>
                </c:pt>
                <c:pt idx="1514">
                  <c:v>42580</c:v>
                </c:pt>
                <c:pt idx="1515">
                  <c:v>42583</c:v>
                </c:pt>
                <c:pt idx="1516">
                  <c:v>42584</c:v>
                </c:pt>
                <c:pt idx="1517">
                  <c:v>42585</c:v>
                </c:pt>
                <c:pt idx="1518">
                  <c:v>42586</c:v>
                </c:pt>
                <c:pt idx="1519">
                  <c:v>42587</c:v>
                </c:pt>
                <c:pt idx="1520">
                  <c:v>42590</c:v>
                </c:pt>
                <c:pt idx="1521">
                  <c:v>42591</c:v>
                </c:pt>
                <c:pt idx="1522">
                  <c:v>42592</c:v>
                </c:pt>
                <c:pt idx="1523">
                  <c:v>42593</c:v>
                </c:pt>
                <c:pt idx="1524">
                  <c:v>42594</c:v>
                </c:pt>
                <c:pt idx="1525">
                  <c:v>42597</c:v>
                </c:pt>
                <c:pt idx="1526">
                  <c:v>42598</c:v>
                </c:pt>
                <c:pt idx="1527">
                  <c:v>42599</c:v>
                </c:pt>
                <c:pt idx="1528">
                  <c:v>42600</c:v>
                </c:pt>
                <c:pt idx="1529">
                  <c:v>42601</c:v>
                </c:pt>
                <c:pt idx="1530">
                  <c:v>42604</c:v>
                </c:pt>
                <c:pt idx="1531">
                  <c:v>42605</c:v>
                </c:pt>
                <c:pt idx="1532">
                  <c:v>42606</c:v>
                </c:pt>
                <c:pt idx="1533">
                  <c:v>42607</c:v>
                </c:pt>
                <c:pt idx="1534">
                  <c:v>42608</c:v>
                </c:pt>
                <c:pt idx="1535">
                  <c:v>42611</c:v>
                </c:pt>
                <c:pt idx="1536">
                  <c:v>42612</c:v>
                </c:pt>
                <c:pt idx="1537">
                  <c:v>42613</c:v>
                </c:pt>
                <c:pt idx="1538">
                  <c:v>42614</c:v>
                </c:pt>
                <c:pt idx="1539">
                  <c:v>42615</c:v>
                </c:pt>
                <c:pt idx="1540">
                  <c:v>42619</c:v>
                </c:pt>
                <c:pt idx="1541">
                  <c:v>42620</c:v>
                </c:pt>
                <c:pt idx="1542">
                  <c:v>42621</c:v>
                </c:pt>
                <c:pt idx="1543">
                  <c:v>42622</c:v>
                </c:pt>
                <c:pt idx="1544">
                  <c:v>42625</c:v>
                </c:pt>
                <c:pt idx="1545">
                  <c:v>42626</c:v>
                </c:pt>
                <c:pt idx="1546">
                  <c:v>42627</c:v>
                </c:pt>
                <c:pt idx="1547">
                  <c:v>42628</c:v>
                </c:pt>
                <c:pt idx="1548">
                  <c:v>42629</c:v>
                </c:pt>
                <c:pt idx="1549">
                  <c:v>42632</c:v>
                </c:pt>
                <c:pt idx="1550">
                  <c:v>42633</c:v>
                </c:pt>
                <c:pt idx="1551">
                  <c:v>42634</c:v>
                </c:pt>
                <c:pt idx="1552">
                  <c:v>42635</c:v>
                </c:pt>
                <c:pt idx="1553">
                  <c:v>42636</c:v>
                </c:pt>
                <c:pt idx="1554">
                  <c:v>42639</c:v>
                </c:pt>
                <c:pt idx="1555">
                  <c:v>42640</c:v>
                </c:pt>
                <c:pt idx="1556">
                  <c:v>42641</c:v>
                </c:pt>
                <c:pt idx="1557">
                  <c:v>42642</c:v>
                </c:pt>
                <c:pt idx="1558">
                  <c:v>42643</c:v>
                </c:pt>
                <c:pt idx="1559">
                  <c:v>42646</c:v>
                </c:pt>
                <c:pt idx="1560">
                  <c:v>42647</c:v>
                </c:pt>
                <c:pt idx="1561">
                  <c:v>42648</c:v>
                </c:pt>
                <c:pt idx="1562">
                  <c:v>42649</c:v>
                </c:pt>
                <c:pt idx="1563">
                  <c:v>42650</c:v>
                </c:pt>
                <c:pt idx="1564">
                  <c:v>42653</c:v>
                </c:pt>
                <c:pt idx="1565">
                  <c:v>42654</c:v>
                </c:pt>
                <c:pt idx="1566">
                  <c:v>42655</c:v>
                </c:pt>
                <c:pt idx="1567">
                  <c:v>42656</c:v>
                </c:pt>
                <c:pt idx="1568">
                  <c:v>42657</c:v>
                </c:pt>
                <c:pt idx="1569">
                  <c:v>42660</c:v>
                </c:pt>
                <c:pt idx="1570">
                  <c:v>42661</c:v>
                </c:pt>
                <c:pt idx="1571">
                  <c:v>42662</c:v>
                </c:pt>
                <c:pt idx="1572">
                  <c:v>42663</c:v>
                </c:pt>
                <c:pt idx="1573">
                  <c:v>42664</c:v>
                </c:pt>
                <c:pt idx="1574">
                  <c:v>42667</c:v>
                </c:pt>
                <c:pt idx="1575">
                  <c:v>42668</c:v>
                </c:pt>
                <c:pt idx="1576">
                  <c:v>42669</c:v>
                </c:pt>
                <c:pt idx="1577">
                  <c:v>42670</c:v>
                </c:pt>
                <c:pt idx="1578">
                  <c:v>42671</c:v>
                </c:pt>
                <c:pt idx="1579">
                  <c:v>42674</c:v>
                </c:pt>
                <c:pt idx="1580">
                  <c:v>42675</c:v>
                </c:pt>
                <c:pt idx="1581">
                  <c:v>42676</c:v>
                </c:pt>
                <c:pt idx="1582">
                  <c:v>42677</c:v>
                </c:pt>
                <c:pt idx="1583">
                  <c:v>42678</c:v>
                </c:pt>
                <c:pt idx="1584">
                  <c:v>42681</c:v>
                </c:pt>
                <c:pt idx="1585">
                  <c:v>42682</c:v>
                </c:pt>
                <c:pt idx="1586">
                  <c:v>42683</c:v>
                </c:pt>
                <c:pt idx="1587">
                  <c:v>42684</c:v>
                </c:pt>
                <c:pt idx="1588">
                  <c:v>42685</c:v>
                </c:pt>
                <c:pt idx="1589">
                  <c:v>42688</c:v>
                </c:pt>
                <c:pt idx="1590">
                  <c:v>42689</c:v>
                </c:pt>
                <c:pt idx="1591">
                  <c:v>42690</c:v>
                </c:pt>
                <c:pt idx="1592">
                  <c:v>42691</c:v>
                </c:pt>
                <c:pt idx="1593">
                  <c:v>42692</c:v>
                </c:pt>
                <c:pt idx="1594">
                  <c:v>42695</c:v>
                </c:pt>
                <c:pt idx="1595">
                  <c:v>42696</c:v>
                </c:pt>
                <c:pt idx="1596">
                  <c:v>42697</c:v>
                </c:pt>
                <c:pt idx="1597">
                  <c:v>42699</c:v>
                </c:pt>
                <c:pt idx="1598">
                  <c:v>42702</c:v>
                </c:pt>
                <c:pt idx="1599">
                  <c:v>42703</c:v>
                </c:pt>
                <c:pt idx="1600">
                  <c:v>42704</c:v>
                </c:pt>
                <c:pt idx="1601">
                  <c:v>42705</c:v>
                </c:pt>
                <c:pt idx="1602">
                  <c:v>42706</c:v>
                </c:pt>
                <c:pt idx="1603">
                  <c:v>42709</c:v>
                </c:pt>
                <c:pt idx="1604">
                  <c:v>42710</c:v>
                </c:pt>
                <c:pt idx="1605">
                  <c:v>42711</c:v>
                </c:pt>
                <c:pt idx="1606">
                  <c:v>42712</c:v>
                </c:pt>
                <c:pt idx="1607">
                  <c:v>42713</c:v>
                </c:pt>
                <c:pt idx="1608">
                  <c:v>42716</c:v>
                </c:pt>
                <c:pt idx="1609">
                  <c:v>42717</c:v>
                </c:pt>
                <c:pt idx="1610">
                  <c:v>42718</c:v>
                </c:pt>
                <c:pt idx="1611">
                  <c:v>42719</c:v>
                </c:pt>
                <c:pt idx="1612">
                  <c:v>42720</c:v>
                </c:pt>
                <c:pt idx="1613">
                  <c:v>42723</c:v>
                </c:pt>
                <c:pt idx="1614">
                  <c:v>42724</c:v>
                </c:pt>
                <c:pt idx="1615">
                  <c:v>42725</c:v>
                </c:pt>
                <c:pt idx="1616">
                  <c:v>42726</c:v>
                </c:pt>
                <c:pt idx="1617">
                  <c:v>42727</c:v>
                </c:pt>
                <c:pt idx="1618">
                  <c:v>42731</c:v>
                </c:pt>
                <c:pt idx="1619">
                  <c:v>42732</c:v>
                </c:pt>
                <c:pt idx="1620">
                  <c:v>42733</c:v>
                </c:pt>
                <c:pt idx="1621">
                  <c:v>42734</c:v>
                </c:pt>
                <c:pt idx="1622">
                  <c:v>42738</c:v>
                </c:pt>
                <c:pt idx="1623">
                  <c:v>42739</c:v>
                </c:pt>
                <c:pt idx="1624">
                  <c:v>42740</c:v>
                </c:pt>
                <c:pt idx="1625">
                  <c:v>42741</c:v>
                </c:pt>
                <c:pt idx="1626">
                  <c:v>42744</c:v>
                </c:pt>
                <c:pt idx="1627">
                  <c:v>42745</c:v>
                </c:pt>
                <c:pt idx="1628">
                  <c:v>42746</c:v>
                </c:pt>
                <c:pt idx="1629">
                  <c:v>42747</c:v>
                </c:pt>
                <c:pt idx="1630">
                  <c:v>42748</c:v>
                </c:pt>
                <c:pt idx="1631">
                  <c:v>42752</c:v>
                </c:pt>
                <c:pt idx="1632">
                  <c:v>42753</c:v>
                </c:pt>
                <c:pt idx="1633">
                  <c:v>42754</c:v>
                </c:pt>
                <c:pt idx="1634">
                  <c:v>42755</c:v>
                </c:pt>
                <c:pt idx="1635">
                  <c:v>42758</c:v>
                </c:pt>
                <c:pt idx="1636">
                  <c:v>42759</c:v>
                </c:pt>
                <c:pt idx="1637">
                  <c:v>42760</c:v>
                </c:pt>
                <c:pt idx="1638">
                  <c:v>42761</c:v>
                </c:pt>
                <c:pt idx="1639">
                  <c:v>42762</c:v>
                </c:pt>
                <c:pt idx="1640">
                  <c:v>42765</c:v>
                </c:pt>
                <c:pt idx="1641">
                  <c:v>42766</c:v>
                </c:pt>
                <c:pt idx="1642">
                  <c:v>42767</c:v>
                </c:pt>
                <c:pt idx="1643">
                  <c:v>42768</c:v>
                </c:pt>
                <c:pt idx="1644">
                  <c:v>42769</c:v>
                </c:pt>
                <c:pt idx="1645">
                  <c:v>42772</c:v>
                </c:pt>
                <c:pt idx="1646">
                  <c:v>42773</c:v>
                </c:pt>
                <c:pt idx="1647">
                  <c:v>42774</c:v>
                </c:pt>
                <c:pt idx="1648">
                  <c:v>42775</c:v>
                </c:pt>
                <c:pt idx="1649">
                  <c:v>42776</c:v>
                </c:pt>
                <c:pt idx="1650">
                  <c:v>42779</c:v>
                </c:pt>
                <c:pt idx="1651">
                  <c:v>42780</c:v>
                </c:pt>
                <c:pt idx="1652">
                  <c:v>42781</c:v>
                </c:pt>
                <c:pt idx="1653">
                  <c:v>42782</c:v>
                </c:pt>
                <c:pt idx="1654">
                  <c:v>42783</c:v>
                </c:pt>
                <c:pt idx="1655">
                  <c:v>42787</c:v>
                </c:pt>
                <c:pt idx="1656">
                  <c:v>42788</c:v>
                </c:pt>
                <c:pt idx="1657">
                  <c:v>42789</c:v>
                </c:pt>
                <c:pt idx="1658">
                  <c:v>42790</c:v>
                </c:pt>
                <c:pt idx="1659">
                  <c:v>42793</c:v>
                </c:pt>
                <c:pt idx="1660">
                  <c:v>42794</c:v>
                </c:pt>
                <c:pt idx="1661">
                  <c:v>42795</c:v>
                </c:pt>
                <c:pt idx="1662">
                  <c:v>42796</c:v>
                </c:pt>
                <c:pt idx="1663">
                  <c:v>42797</c:v>
                </c:pt>
                <c:pt idx="1664">
                  <c:v>42800</c:v>
                </c:pt>
                <c:pt idx="1665">
                  <c:v>42801</c:v>
                </c:pt>
                <c:pt idx="1666">
                  <c:v>42802</c:v>
                </c:pt>
                <c:pt idx="1667">
                  <c:v>42803</c:v>
                </c:pt>
                <c:pt idx="1668">
                  <c:v>42804</c:v>
                </c:pt>
                <c:pt idx="1669">
                  <c:v>42807</c:v>
                </c:pt>
                <c:pt idx="1670">
                  <c:v>42808</c:v>
                </c:pt>
                <c:pt idx="1671">
                  <c:v>42809</c:v>
                </c:pt>
                <c:pt idx="1672">
                  <c:v>42810</c:v>
                </c:pt>
                <c:pt idx="1673">
                  <c:v>42811</c:v>
                </c:pt>
                <c:pt idx="1674">
                  <c:v>42814</c:v>
                </c:pt>
                <c:pt idx="1675">
                  <c:v>42815</c:v>
                </c:pt>
                <c:pt idx="1676">
                  <c:v>42816</c:v>
                </c:pt>
                <c:pt idx="1677">
                  <c:v>42817</c:v>
                </c:pt>
                <c:pt idx="1678">
                  <c:v>42818</c:v>
                </c:pt>
                <c:pt idx="1679">
                  <c:v>42821</c:v>
                </c:pt>
                <c:pt idx="1680">
                  <c:v>42822</c:v>
                </c:pt>
                <c:pt idx="1681">
                  <c:v>42823</c:v>
                </c:pt>
                <c:pt idx="1682">
                  <c:v>42824</c:v>
                </c:pt>
                <c:pt idx="1683">
                  <c:v>42825</c:v>
                </c:pt>
                <c:pt idx="1684">
                  <c:v>42828</c:v>
                </c:pt>
                <c:pt idx="1685">
                  <c:v>42829</c:v>
                </c:pt>
                <c:pt idx="1686">
                  <c:v>42830</c:v>
                </c:pt>
                <c:pt idx="1687">
                  <c:v>42831</c:v>
                </c:pt>
                <c:pt idx="1688">
                  <c:v>42832</c:v>
                </c:pt>
                <c:pt idx="1689">
                  <c:v>42835</c:v>
                </c:pt>
                <c:pt idx="1690">
                  <c:v>42836</c:v>
                </c:pt>
                <c:pt idx="1691">
                  <c:v>42837</c:v>
                </c:pt>
                <c:pt idx="1692">
                  <c:v>42838</c:v>
                </c:pt>
                <c:pt idx="1693">
                  <c:v>42842</c:v>
                </c:pt>
                <c:pt idx="1694">
                  <c:v>42843</c:v>
                </c:pt>
                <c:pt idx="1695">
                  <c:v>42844</c:v>
                </c:pt>
                <c:pt idx="1696">
                  <c:v>42845</c:v>
                </c:pt>
                <c:pt idx="1697">
                  <c:v>42846</c:v>
                </c:pt>
                <c:pt idx="1698">
                  <c:v>42849</c:v>
                </c:pt>
                <c:pt idx="1699">
                  <c:v>42850</c:v>
                </c:pt>
                <c:pt idx="1700">
                  <c:v>42851</c:v>
                </c:pt>
                <c:pt idx="1701">
                  <c:v>42852</c:v>
                </c:pt>
                <c:pt idx="1702">
                  <c:v>42853</c:v>
                </c:pt>
                <c:pt idx="1703">
                  <c:v>42856</c:v>
                </c:pt>
                <c:pt idx="1704">
                  <c:v>42857</c:v>
                </c:pt>
                <c:pt idx="1705">
                  <c:v>42858</c:v>
                </c:pt>
                <c:pt idx="1706">
                  <c:v>42859</c:v>
                </c:pt>
                <c:pt idx="1707">
                  <c:v>42860</c:v>
                </c:pt>
                <c:pt idx="1708">
                  <c:v>42863</c:v>
                </c:pt>
                <c:pt idx="1709">
                  <c:v>42864</c:v>
                </c:pt>
                <c:pt idx="1710">
                  <c:v>42865</c:v>
                </c:pt>
                <c:pt idx="1711">
                  <c:v>42866</c:v>
                </c:pt>
                <c:pt idx="1712">
                  <c:v>42867</c:v>
                </c:pt>
                <c:pt idx="1713">
                  <c:v>42870</c:v>
                </c:pt>
                <c:pt idx="1714">
                  <c:v>42871</c:v>
                </c:pt>
                <c:pt idx="1715">
                  <c:v>42872</c:v>
                </c:pt>
                <c:pt idx="1716">
                  <c:v>42873</c:v>
                </c:pt>
                <c:pt idx="1717">
                  <c:v>42874</c:v>
                </c:pt>
                <c:pt idx="1718">
                  <c:v>42877</c:v>
                </c:pt>
                <c:pt idx="1719">
                  <c:v>42878</c:v>
                </c:pt>
                <c:pt idx="1720">
                  <c:v>42879</c:v>
                </c:pt>
                <c:pt idx="1721">
                  <c:v>42880</c:v>
                </c:pt>
                <c:pt idx="1722">
                  <c:v>42881</c:v>
                </c:pt>
                <c:pt idx="1723">
                  <c:v>42885</c:v>
                </c:pt>
                <c:pt idx="1724">
                  <c:v>42886</c:v>
                </c:pt>
                <c:pt idx="1725">
                  <c:v>42887</c:v>
                </c:pt>
                <c:pt idx="1726">
                  <c:v>42888</c:v>
                </c:pt>
                <c:pt idx="1727">
                  <c:v>42891</c:v>
                </c:pt>
                <c:pt idx="1728">
                  <c:v>42892</c:v>
                </c:pt>
                <c:pt idx="1729">
                  <c:v>42893</c:v>
                </c:pt>
                <c:pt idx="1730">
                  <c:v>42894</c:v>
                </c:pt>
                <c:pt idx="1731">
                  <c:v>42895</c:v>
                </c:pt>
                <c:pt idx="1732">
                  <c:v>42898</c:v>
                </c:pt>
                <c:pt idx="1733">
                  <c:v>42899</c:v>
                </c:pt>
                <c:pt idx="1734">
                  <c:v>42900</c:v>
                </c:pt>
                <c:pt idx="1735">
                  <c:v>42901</c:v>
                </c:pt>
                <c:pt idx="1736">
                  <c:v>42902</c:v>
                </c:pt>
                <c:pt idx="1737">
                  <c:v>42905</c:v>
                </c:pt>
                <c:pt idx="1738">
                  <c:v>42906</c:v>
                </c:pt>
                <c:pt idx="1739">
                  <c:v>42907</c:v>
                </c:pt>
                <c:pt idx="1740">
                  <c:v>42908</c:v>
                </c:pt>
                <c:pt idx="1741">
                  <c:v>42909</c:v>
                </c:pt>
                <c:pt idx="1742">
                  <c:v>42912</c:v>
                </c:pt>
                <c:pt idx="1743">
                  <c:v>42913</c:v>
                </c:pt>
                <c:pt idx="1744">
                  <c:v>42914</c:v>
                </c:pt>
                <c:pt idx="1745">
                  <c:v>42915</c:v>
                </c:pt>
                <c:pt idx="1746">
                  <c:v>42916</c:v>
                </c:pt>
                <c:pt idx="1747">
                  <c:v>42919</c:v>
                </c:pt>
                <c:pt idx="1748">
                  <c:v>42921</c:v>
                </c:pt>
                <c:pt idx="1749">
                  <c:v>42922</c:v>
                </c:pt>
                <c:pt idx="1750">
                  <c:v>42923</c:v>
                </c:pt>
                <c:pt idx="1751">
                  <c:v>42926</c:v>
                </c:pt>
                <c:pt idx="1752">
                  <c:v>42927</c:v>
                </c:pt>
                <c:pt idx="1753">
                  <c:v>42928</c:v>
                </c:pt>
                <c:pt idx="1754">
                  <c:v>42929</c:v>
                </c:pt>
                <c:pt idx="1755">
                  <c:v>42930</c:v>
                </c:pt>
                <c:pt idx="1756">
                  <c:v>42933</c:v>
                </c:pt>
                <c:pt idx="1757">
                  <c:v>42934</c:v>
                </c:pt>
                <c:pt idx="1758">
                  <c:v>42935</c:v>
                </c:pt>
                <c:pt idx="1759">
                  <c:v>42936</c:v>
                </c:pt>
                <c:pt idx="1760">
                  <c:v>42937</c:v>
                </c:pt>
                <c:pt idx="1761">
                  <c:v>42940</c:v>
                </c:pt>
                <c:pt idx="1762">
                  <c:v>42941</c:v>
                </c:pt>
                <c:pt idx="1763">
                  <c:v>42942</c:v>
                </c:pt>
                <c:pt idx="1764">
                  <c:v>42943</c:v>
                </c:pt>
                <c:pt idx="1765">
                  <c:v>42944</c:v>
                </c:pt>
                <c:pt idx="1766">
                  <c:v>42947</c:v>
                </c:pt>
                <c:pt idx="1767">
                  <c:v>42948</c:v>
                </c:pt>
                <c:pt idx="1768">
                  <c:v>42949</c:v>
                </c:pt>
                <c:pt idx="1769">
                  <c:v>42950</c:v>
                </c:pt>
                <c:pt idx="1770">
                  <c:v>42951</c:v>
                </c:pt>
                <c:pt idx="1771">
                  <c:v>42954</c:v>
                </c:pt>
                <c:pt idx="1772">
                  <c:v>42955</c:v>
                </c:pt>
                <c:pt idx="1773">
                  <c:v>42956</c:v>
                </c:pt>
                <c:pt idx="1774">
                  <c:v>42957</c:v>
                </c:pt>
                <c:pt idx="1775">
                  <c:v>42958</c:v>
                </c:pt>
                <c:pt idx="1776">
                  <c:v>42961</c:v>
                </c:pt>
                <c:pt idx="1777">
                  <c:v>42962</c:v>
                </c:pt>
                <c:pt idx="1778">
                  <c:v>42963</c:v>
                </c:pt>
                <c:pt idx="1779">
                  <c:v>42964</c:v>
                </c:pt>
                <c:pt idx="1780">
                  <c:v>42965</c:v>
                </c:pt>
                <c:pt idx="1781">
                  <c:v>42968</c:v>
                </c:pt>
                <c:pt idx="1782">
                  <c:v>42969</c:v>
                </c:pt>
                <c:pt idx="1783">
                  <c:v>42970</c:v>
                </c:pt>
                <c:pt idx="1784">
                  <c:v>42971</c:v>
                </c:pt>
                <c:pt idx="1785">
                  <c:v>42972</c:v>
                </c:pt>
                <c:pt idx="1786">
                  <c:v>42975</c:v>
                </c:pt>
                <c:pt idx="1787">
                  <c:v>42976</c:v>
                </c:pt>
                <c:pt idx="1788">
                  <c:v>42977</c:v>
                </c:pt>
                <c:pt idx="1789">
                  <c:v>42978</c:v>
                </c:pt>
                <c:pt idx="1790">
                  <c:v>42979</c:v>
                </c:pt>
                <c:pt idx="1791">
                  <c:v>42983</c:v>
                </c:pt>
                <c:pt idx="1792">
                  <c:v>42984</c:v>
                </c:pt>
                <c:pt idx="1793">
                  <c:v>42985</c:v>
                </c:pt>
                <c:pt idx="1794">
                  <c:v>42986</c:v>
                </c:pt>
                <c:pt idx="1795">
                  <c:v>42989</c:v>
                </c:pt>
                <c:pt idx="1796">
                  <c:v>42990</c:v>
                </c:pt>
                <c:pt idx="1797">
                  <c:v>42991</c:v>
                </c:pt>
                <c:pt idx="1798">
                  <c:v>42992</c:v>
                </c:pt>
                <c:pt idx="1799">
                  <c:v>42993</c:v>
                </c:pt>
                <c:pt idx="1800">
                  <c:v>42996</c:v>
                </c:pt>
                <c:pt idx="1801">
                  <c:v>42997</c:v>
                </c:pt>
                <c:pt idx="1802">
                  <c:v>42998</c:v>
                </c:pt>
                <c:pt idx="1803">
                  <c:v>42999</c:v>
                </c:pt>
                <c:pt idx="1804">
                  <c:v>43000</c:v>
                </c:pt>
                <c:pt idx="1805">
                  <c:v>43003</c:v>
                </c:pt>
                <c:pt idx="1806">
                  <c:v>43004</c:v>
                </c:pt>
                <c:pt idx="1807">
                  <c:v>43005</c:v>
                </c:pt>
                <c:pt idx="1808">
                  <c:v>43006</c:v>
                </c:pt>
                <c:pt idx="1809">
                  <c:v>43007</c:v>
                </c:pt>
                <c:pt idx="1810">
                  <c:v>43010</c:v>
                </c:pt>
                <c:pt idx="1811">
                  <c:v>43011</c:v>
                </c:pt>
                <c:pt idx="1812">
                  <c:v>43012</c:v>
                </c:pt>
                <c:pt idx="1813">
                  <c:v>43013</c:v>
                </c:pt>
                <c:pt idx="1814">
                  <c:v>43014</c:v>
                </c:pt>
                <c:pt idx="1815">
                  <c:v>43017</c:v>
                </c:pt>
                <c:pt idx="1816">
                  <c:v>43018</c:v>
                </c:pt>
                <c:pt idx="1817">
                  <c:v>43019</c:v>
                </c:pt>
                <c:pt idx="1818">
                  <c:v>43020</c:v>
                </c:pt>
                <c:pt idx="1819">
                  <c:v>43021</c:v>
                </c:pt>
                <c:pt idx="1820">
                  <c:v>43024</c:v>
                </c:pt>
                <c:pt idx="1821">
                  <c:v>43025</c:v>
                </c:pt>
                <c:pt idx="1822">
                  <c:v>43026</c:v>
                </c:pt>
                <c:pt idx="1823">
                  <c:v>43027</c:v>
                </c:pt>
                <c:pt idx="1824">
                  <c:v>43028</c:v>
                </c:pt>
                <c:pt idx="1825">
                  <c:v>43031</c:v>
                </c:pt>
                <c:pt idx="1826">
                  <c:v>43032</c:v>
                </c:pt>
                <c:pt idx="1827">
                  <c:v>43033</c:v>
                </c:pt>
                <c:pt idx="1828">
                  <c:v>43034</c:v>
                </c:pt>
                <c:pt idx="1829">
                  <c:v>43035</c:v>
                </c:pt>
                <c:pt idx="1830">
                  <c:v>43038</c:v>
                </c:pt>
                <c:pt idx="1831">
                  <c:v>43039</c:v>
                </c:pt>
                <c:pt idx="1832">
                  <c:v>43040</c:v>
                </c:pt>
                <c:pt idx="1833">
                  <c:v>43041</c:v>
                </c:pt>
                <c:pt idx="1834">
                  <c:v>43042</c:v>
                </c:pt>
                <c:pt idx="1835">
                  <c:v>43045</c:v>
                </c:pt>
                <c:pt idx="1836">
                  <c:v>43046</c:v>
                </c:pt>
                <c:pt idx="1837">
                  <c:v>43047</c:v>
                </c:pt>
                <c:pt idx="1838">
                  <c:v>43048</c:v>
                </c:pt>
                <c:pt idx="1839">
                  <c:v>43049</c:v>
                </c:pt>
                <c:pt idx="1840">
                  <c:v>43052</c:v>
                </c:pt>
                <c:pt idx="1841">
                  <c:v>43053</c:v>
                </c:pt>
                <c:pt idx="1842">
                  <c:v>43054</c:v>
                </c:pt>
                <c:pt idx="1843">
                  <c:v>43055</c:v>
                </c:pt>
                <c:pt idx="1844">
                  <c:v>43056</c:v>
                </c:pt>
                <c:pt idx="1845">
                  <c:v>43059</c:v>
                </c:pt>
                <c:pt idx="1846">
                  <c:v>43060</c:v>
                </c:pt>
                <c:pt idx="1847">
                  <c:v>43061</c:v>
                </c:pt>
                <c:pt idx="1848">
                  <c:v>43063</c:v>
                </c:pt>
                <c:pt idx="1849">
                  <c:v>43066</c:v>
                </c:pt>
                <c:pt idx="1850">
                  <c:v>43067</c:v>
                </c:pt>
                <c:pt idx="1851">
                  <c:v>43068</c:v>
                </c:pt>
                <c:pt idx="1852">
                  <c:v>43069</c:v>
                </c:pt>
                <c:pt idx="1853">
                  <c:v>43070</c:v>
                </c:pt>
                <c:pt idx="1854">
                  <c:v>43073</c:v>
                </c:pt>
                <c:pt idx="1855">
                  <c:v>43074</c:v>
                </c:pt>
                <c:pt idx="1856">
                  <c:v>43075</c:v>
                </c:pt>
                <c:pt idx="1857">
                  <c:v>43076</c:v>
                </c:pt>
                <c:pt idx="1858">
                  <c:v>43077</c:v>
                </c:pt>
                <c:pt idx="1859">
                  <c:v>43080</c:v>
                </c:pt>
                <c:pt idx="1860">
                  <c:v>43081</c:v>
                </c:pt>
                <c:pt idx="1861">
                  <c:v>43082</c:v>
                </c:pt>
                <c:pt idx="1862">
                  <c:v>43083</c:v>
                </c:pt>
                <c:pt idx="1863">
                  <c:v>43084</c:v>
                </c:pt>
                <c:pt idx="1864">
                  <c:v>43087</c:v>
                </c:pt>
                <c:pt idx="1865">
                  <c:v>43088</c:v>
                </c:pt>
                <c:pt idx="1866">
                  <c:v>43089</c:v>
                </c:pt>
                <c:pt idx="1867">
                  <c:v>43090</c:v>
                </c:pt>
                <c:pt idx="1868">
                  <c:v>43091</c:v>
                </c:pt>
                <c:pt idx="1869">
                  <c:v>43095</c:v>
                </c:pt>
                <c:pt idx="1870">
                  <c:v>43096</c:v>
                </c:pt>
                <c:pt idx="1871">
                  <c:v>43097</c:v>
                </c:pt>
                <c:pt idx="1872">
                  <c:v>43098</c:v>
                </c:pt>
                <c:pt idx="1873">
                  <c:v>43102</c:v>
                </c:pt>
                <c:pt idx="1874">
                  <c:v>43103</c:v>
                </c:pt>
                <c:pt idx="1875">
                  <c:v>43104</c:v>
                </c:pt>
                <c:pt idx="1876">
                  <c:v>43105</c:v>
                </c:pt>
                <c:pt idx="1877">
                  <c:v>43108</c:v>
                </c:pt>
                <c:pt idx="1878">
                  <c:v>43109</c:v>
                </c:pt>
                <c:pt idx="1879">
                  <c:v>43110</c:v>
                </c:pt>
                <c:pt idx="1880">
                  <c:v>43111</c:v>
                </c:pt>
                <c:pt idx="1881">
                  <c:v>43112</c:v>
                </c:pt>
                <c:pt idx="1882">
                  <c:v>43116</c:v>
                </c:pt>
                <c:pt idx="1883">
                  <c:v>43117</c:v>
                </c:pt>
                <c:pt idx="1884">
                  <c:v>43118</c:v>
                </c:pt>
                <c:pt idx="1885">
                  <c:v>43119</c:v>
                </c:pt>
                <c:pt idx="1886">
                  <c:v>43122</c:v>
                </c:pt>
                <c:pt idx="1887">
                  <c:v>43123</c:v>
                </c:pt>
                <c:pt idx="1888">
                  <c:v>43124</c:v>
                </c:pt>
                <c:pt idx="1889">
                  <c:v>43125</c:v>
                </c:pt>
                <c:pt idx="1890">
                  <c:v>43126</c:v>
                </c:pt>
                <c:pt idx="1891">
                  <c:v>43129</c:v>
                </c:pt>
                <c:pt idx="1892">
                  <c:v>43130</c:v>
                </c:pt>
                <c:pt idx="1893">
                  <c:v>43131</c:v>
                </c:pt>
                <c:pt idx="1894">
                  <c:v>43132</c:v>
                </c:pt>
                <c:pt idx="1895">
                  <c:v>43133</c:v>
                </c:pt>
                <c:pt idx="1896">
                  <c:v>43136</c:v>
                </c:pt>
                <c:pt idx="1897">
                  <c:v>43137</c:v>
                </c:pt>
                <c:pt idx="1898">
                  <c:v>43138</c:v>
                </c:pt>
                <c:pt idx="1899">
                  <c:v>43139</c:v>
                </c:pt>
                <c:pt idx="1900">
                  <c:v>43140</c:v>
                </c:pt>
                <c:pt idx="1901">
                  <c:v>43143</c:v>
                </c:pt>
                <c:pt idx="1902">
                  <c:v>43144</c:v>
                </c:pt>
                <c:pt idx="1903">
                  <c:v>43145</c:v>
                </c:pt>
                <c:pt idx="1904">
                  <c:v>43146</c:v>
                </c:pt>
                <c:pt idx="1905">
                  <c:v>43147</c:v>
                </c:pt>
                <c:pt idx="1906">
                  <c:v>43151</c:v>
                </c:pt>
                <c:pt idx="1907">
                  <c:v>43152</c:v>
                </c:pt>
                <c:pt idx="1908">
                  <c:v>43153</c:v>
                </c:pt>
                <c:pt idx="1909">
                  <c:v>43154</c:v>
                </c:pt>
                <c:pt idx="1910">
                  <c:v>43157</c:v>
                </c:pt>
                <c:pt idx="1911">
                  <c:v>43158</c:v>
                </c:pt>
                <c:pt idx="1912">
                  <c:v>43159</c:v>
                </c:pt>
                <c:pt idx="1913">
                  <c:v>43160</c:v>
                </c:pt>
                <c:pt idx="1914">
                  <c:v>43161</c:v>
                </c:pt>
                <c:pt idx="1915">
                  <c:v>43164</c:v>
                </c:pt>
                <c:pt idx="1916">
                  <c:v>43165</c:v>
                </c:pt>
                <c:pt idx="1917">
                  <c:v>43166</c:v>
                </c:pt>
                <c:pt idx="1918">
                  <c:v>43167</c:v>
                </c:pt>
                <c:pt idx="1919">
                  <c:v>43168</c:v>
                </c:pt>
                <c:pt idx="1920">
                  <c:v>43171</c:v>
                </c:pt>
                <c:pt idx="1921">
                  <c:v>43172</c:v>
                </c:pt>
                <c:pt idx="1922">
                  <c:v>43173</c:v>
                </c:pt>
                <c:pt idx="1923">
                  <c:v>43174</c:v>
                </c:pt>
                <c:pt idx="1924">
                  <c:v>43175</c:v>
                </c:pt>
                <c:pt idx="1925">
                  <c:v>43178</c:v>
                </c:pt>
                <c:pt idx="1926">
                  <c:v>43179</c:v>
                </c:pt>
                <c:pt idx="1927">
                  <c:v>43180</c:v>
                </c:pt>
                <c:pt idx="1928">
                  <c:v>43181</c:v>
                </c:pt>
                <c:pt idx="1929">
                  <c:v>43182</c:v>
                </c:pt>
                <c:pt idx="1930">
                  <c:v>43185</c:v>
                </c:pt>
                <c:pt idx="1931">
                  <c:v>43186</c:v>
                </c:pt>
                <c:pt idx="1932">
                  <c:v>43187</c:v>
                </c:pt>
                <c:pt idx="1933">
                  <c:v>43188</c:v>
                </c:pt>
                <c:pt idx="1934">
                  <c:v>43192</c:v>
                </c:pt>
                <c:pt idx="1935">
                  <c:v>43193</c:v>
                </c:pt>
                <c:pt idx="1936">
                  <c:v>43194</c:v>
                </c:pt>
                <c:pt idx="1937">
                  <c:v>43195</c:v>
                </c:pt>
                <c:pt idx="1938">
                  <c:v>43196</c:v>
                </c:pt>
                <c:pt idx="1939">
                  <c:v>43199</c:v>
                </c:pt>
                <c:pt idx="1940">
                  <c:v>43200</c:v>
                </c:pt>
                <c:pt idx="1941">
                  <c:v>43201</c:v>
                </c:pt>
                <c:pt idx="1942">
                  <c:v>43202</c:v>
                </c:pt>
                <c:pt idx="1943">
                  <c:v>43203</c:v>
                </c:pt>
                <c:pt idx="1944">
                  <c:v>43206</c:v>
                </c:pt>
                <c:pt idx="1945">
                  <c:v>43207</c:v>
                </c:pt>
                <c:pt idx="1946">
                  <c:v>43208</c:v>
                </c:pt>
                <c:pt idx="1947">
                  <c:v>43209</c:v>
                </c:pt>
                <c:pt idx="1948">
                  <c:v>43210</c:v>
                </c:pt>
                <c:pt idx="1949">
                  <c:v>43213</c:v>
                </c:pt>
                <c:pt idx="1950">
                  <c:v>43214</c:v>
                </c:pt>
                <c:pt idx="1951">
                  <c:v>43215</c:v>
                </c:pt>
                <c:pt idx="1952">
                  <c:v>43216</c:v>
                </c:pt>
                <c:pt idx="1953">
                  <c:v>43217</c:v>
                </c:pt>
                <c:pt idx="1954">
                  <c:v>43220</c:v>
                </c:pt>
                <c:pt idx="1955">
                  <c:v>43221</c:v>
                </c:pt>
                <c:pt idx="1956">
                  <c:v>43222</c:v>
                </c:pt>
                <c:pt idx="1957">
                  <c:v>43223</c:v>
                </c:pt>
                <c:pt idx="1958">
                  <c:v>43224</c:v>
                </c:pt>
                <c:pt idx="1959">
                  <c:v>43227</c:v>
                </c:pt>
                <c:pt idx="1960">
                  <c:v>43228</c:v>
                </c:pt>
                <c:pt idx="1961">
                  <c:v>43229</c:v>
                </c:pt>
                <c:pt idx="1962">
                  <c:v>43230</c:v>
                </c:pt>
                <c:pt idx="1963">
                  <c:v>43231</c:v>
                </c:pt>
                <c:pt idx="1964">
                  <c:v>43234</c:v>
                </c:pt>
                <c:pt idx="1965">
                  <c:v>43235</c:v>
                </c:pt>
                <c:pt idx="1966">
                  <c:v>43236</c:v>
                </c:pt>
                <c:pt idx="1967">
                  <c:v>43237</c:v>
                </c:pt>
                <c:pt idx="1968">
                  <c:v>43238</c:v>
                </c:pt>
                <c:pt idx="1969">
                  <c:v>43241</c:v>
                </c:pt>
                <c:pt idx="1970">
                  <c:v>43242</c:v>
                </c:pt>
                <c:pt idx="1971">
                  <c:v>43243</c:v>
                </c:pt>
                <c:pt idx="1972">
                  <c:v>43244</c:v>
                </c:pt>
                <c:pt idx="1973">
                  <c:v>43245</c:v>
                </c:pt>
                <c:pt idx="1974">
                  <c:v>43249</c:v>
                </c:pt>
                <c:pt idx="1975">
                  <c:v>43250</c:v>
                </c:pt>
                <c:pt idx="1976">
                  <c:v>43251</c:v>
                </c:pt>
                <c:pt idx="1977">
                  <c:v>43252</c:v>
                </c:pt>
                <c:pt idx="1978">
                  <c:v>43255</c:v>
                </c:pt>
                <c:pt idx="1979">
                  <c:v>43256</c:v>
                </c:pt>
                <c:pt idx="1980">
                  <c:v>43257</c:v>
                </c:pt>
                <c:pt idx="1981">
                  <c:v>43258</c:v>
                </c:pt>
                <c:pt idx="1982">
                  <c:v>43259</c:v>
                </c:pt>
                <c:pt idx="1983">
                  <c:v>43262</c:v>
                </c:pt>
                <c:pt idx="1984">
                  <c:v>43263</c:v>
                </c:pt>
                <c:pt idx="1985">
                  <c:v>43264</c:v>
                </c:pt>
                <c:pt idx="1986">
                  <c:v>43265</c:v>
                </c:pt>
                <c:pt idx="1987">
                  <c:v>43266</c:v>
                </c:pt>
                <c:pt idx="1988">
                  <c:v>43269</c:v>
                </c:pt>
                <c:pt idx="1989">
                  <c:v>43270</c:v>
                </c:pt>
                <c:pt idx="1990">
                  <c:v>43271</c:v>
                </c:pt>
                <c:pt idx="1991">
                  <c:v>43272</c:v>
                </c:pt>
                <c:pt idx="1992">
                  <c:v>43273</c:v>
                </c:pt>
                <c:pt idx="1993">
                  <c:v>43276</c:v>
                </c:pt>
                <c:pt idx="1994">
                  <c:v>43277</c:v>
                </c:pt>
                <c:pt idx="1995">
                  <c:v>43278</c:v>
                </c:pt>
                <c:pt idx="1996">
                  <c:v>43279</c:v>
                </c:pt>
                <c:pt idx="1997">
                  <c:v>43280</c:v>
                </c:pt>
                <c:pt idx="1998">
                  <c:v>43283</c:v>
                </c:pt>
                <c:pt idx="1999">
                  <c:v>43284</c:v>
                </c:pt>
                <c:pt idx="2000">
                  <c:v>43286</c:v>
                </c:pt>
                <c:pt idx="2001">
                  <c:v>43287</c:v>
                </c:pt>
                <c:pt idx="2002">
                  <c:v>43290</c:v>
                </c:pt>
                <c:pt idx="2003">
                  <c:v>43291</c:v>
                </c:pt>
                <c:pt idx="2004">
                  <c:v>43292</c:v>
                </c:pt>
                <c:pt idx="2005">
                  <c:v>43293</c:v>
                </c:pt>
                <c:pt idx="2006">
                  <c:v>43294</c:v>
                </c:pt>
                <c:pt idx="2007">
                  <c:v>43297</c:v>
                </c:pt>
                <c:pt idx="2008">
                  <c:v>43298</c:v>
                </c:pt>
                <c:pt idx="2009">
                  <c:v>43299</c:v>
                </c:pt>
                <c:pt idx="2010">
                  <c:v>43300</c:v>
                </c:pt>
                <c:pt idx="2011">
                  <c:v>43301</c:v>
                </c:pt>
                <c:pt idx="2012">
                  <c:v>43304</c:v>
                </c:pt>
                <c:pt idx="2013">
                  <c:v>43305</c:v>
                </c:pt>
                <c:pt idx="2014">
                  <c:v>43306</c:v>
                </c:pt>
                <c:pt idx="2015">
                  <c:v>43307</c:v>
                </c:pt>
                <c:pt idx="2016">
                  <c:v>43308</c:v>
                </c:pt>
                <c:pt idx="2017">
                  <c:v>43311</c:v>
                </c:pt>
                <c:pt idx="2018">
                  <c:v>43312</c:v>
                </c:pt>
                <c:pt idx="2019">
                  <c:v>43313</c:v>
                </c:pt>
                <c:pt idx="2020">
                  <c:v>43314</c:v>
                </c:pt>
                <c:pt idx="2021">
                  <c:v>43315</c:v>
                </c:pt>
                <c:pt idx="2022">
                  <c:v>43318</c:v>
                </c:pt>
                <c:pt idx="2023">
                  <c:v>43319</c:v>
                </c:pt>
                <c:pt idx="2024">
                  <c:v>43320</c:v>
                </c:pt>
                <c:pt idx="2025">
                  <c:v>43321</c:v>
                </c:pt>
                <c:pt idx="2026">
                  <c:v>43322</c:v>
                </c:pt>
                <c:pt idx="2027">
                  <c:v>43325</c:v>
                </c:pt>
                <c:pt idx="2028">
                  <c:v>43326</c:v>
                </c:pt>
                <c:pt idx="2029">
                  <c:v>43327</c:v>
                </c:pt>
                <c:pt idx="2030">
                  <c:v>43328</c:v>
                </c:pt>
                <c:pt idx="2031">
                  <c:v>43329</c:v>
                </c:pt>
                <c:pt idx="2032">
                  <c:v>43332</c:v>
                </c:pt>
                <c:pt idx="2033">
                  <c:v>43333</c:v>
                </c:pt>
                <c:pt idx="2034">
                  <c:v>43334</c:v>
                </c:pt>
                <c:pt idx="2035">
                  <c:v>43335</c:v>
                </c:pt>
                <c:pt idx="2036">
                  <c:v>43336</c:v>
                </c:pt>
                <c:pt idx="2037">
                  <c:v>43339</c:v>
                </c:pt>
                <c:pt idx="2038">
                  <c:v>43340</c:v>
                </c:pt>
                <c:pt idx="2039">
                  <c:v>43341</c:v>
                </c:pt>
                <c:pt idx="2040">
                  <c:v>43342</c:v>
                </c:pt>
                <c:pt idx="2041">
                  <c:v>43343</c:v>
                </c:pt>
                <c:pt idx="2042">
                  <c:v>43347</c:v>
                </c:pt>
                <c:pt idx="2043">
                  <c:v>43348</c:v>
                </c:pt>
                <c:pt idx="2044">
                  <c:v>43349</c:v>
                </c:pt>
                <c:pt idx="2045">
                  <c:v>43350</c:v>
                </c:pt>
                <c:pt idx="2046">
                  <c:v>43353</c:v>
                </c:pt>
                <c:pt idx="2047">
                  <c:v>43354</c:v>
                </c:pt>
                <c:pt idx="2048">
                  <c:v>43355</c:v>
                </c:pt>
                <c:pt idx="2049">
                  <c:v>43356</c:v>
                </c:pt>
                <c:pt idx="2050">
                  <c:v>43357</c:v>
                </c:pt>
                <c:pt idx="2051">
                  <c:v>43360</c:v>
                </c:pt>
                <c:pt idx="2052">
                  <c:v>43361</c:v>
                </c:pt>
                <c:pt idx="2053">
                  <c:v>43362</c:v>
                </c:pt>
                <c:pt idx="2054">
                  <c:v>43363</c:v>
                </c:pt>
                <c:pt idx="2055">
                  <c:v>43364</c:v>
                </c:pt>
                <c:pt idx="2056">
                  <c:v>43367</c:v>
                </c:pt>
                <c:pt idx="2057">
                  <c:v>43368</c:v>
                </c:pt>
                <c:pt idx="2058">
                  <c:v>43369</c:v>
                </c:pt>
                <c:pt idx="2059">
                  <c:v>43370</c:v>
                </c:pt>
                <c:pt idx="2060">
                  <c:v>43371</c:v>
                </c:pt>
                <c:pt idx="2061">
                  <c:v>43374</c:v>
                </c:pt>
                <c:pt idx="2062">
                  <c:v>43375</c:v>
                </c:pt>
                <c:pt idx="2063">
                  <c:v>43376</c:v>
                </c:pt>
                <c:pt idx="2064">
                  <c:v>43377</c:v>
                </c:pt>
                <c:pt idx="2065">
                  <c:v>43378</c:v>
                </c:pt>
                <c:pt idx="2066">
                  <c:v>43381</c:v>
                </c:pt>
                <c:pt idx="2067">
                  <c:v>43382</c:v>
                </c:pt>
                <c:pt idx="2068">
                  <c:v>43383</c:v>
                </c:pt>
                <c:pt idx="2069">
                  <c:v>43384</c:v>
                </c:pt>
                <c:pt idx="2070">
                  <c:v>43385</c:v>
                </c:pt>
                <c:pt idx="2071">
                  <c:v>43388</c:v>
                </c:pt>
                <c:pt idx="2072">
                  <c:v>43389</c:v>
                </c:pt>
                <c:pt idx="2073">
                  <c:v>43390</c:v>
                </c:pt>
                <c:pt idx="2074">
                  <c:v>43391</c:v>
                </c:pt>
                <c:pt idx="2075">
                  <c:v>43392</c:v>
                </c:pt>
                <c:pt idx="2076">
                  <c:v>43395</c:v>
                </c:pt>
                <c:pt idx="2077">
                  <c:v>43396</c:v>
                </c:pt>
                <c:pt idx="2078">
                  <c:v>43397</c:v>
                </c:pt>
                <c:pt idx="2079">
                  <c:v>43398</c:v>
                </c:pt>
                <c:pt idx="2080">
                  <c:v>43399</c:v>
                </c:pt>
                <c:pt idx="2081">
                  <c:v>43402</c:v>
                </c:pt>
                <c:pt idx="2082">
                  <c:v>43403</c:v>
                </c:pt>
                <c:pt idx="2083">
                  <c:v>43404</c:v>
                </c:pt>
                <c:pt idx="2084">
                  <c:v>43405</c:v>
                </c:pt>
                <c:pt idx="2085">
                  <c:v>43406</c:v>
                </c:pt>
                <c:pt idx="2086">
                  <c:v>43409</c:v>
                </c:pt>
                <c:pt idx="2087">
                  <c:v>43410</c:v>
                </c:pt>
                <c:pt idx="2088">
                  <c:v>43411</c:v>
                </c:pt>
                <c:pt idx="2089">
                  <c:v>43412</c:v>
                </c:pt>
                <c:pt idx="2090">
                  <c:v>43413</c:v>
                </c:pt>
                <c:pt idx="2091">
                  <c:v>43416</c:v>
                </c:pt>
                <c:pt idx="2092">
                  <c:v>43417</c:v>
                </c:pt>
                <c:pt idx="2093">
                  <c:v>43418</c:v>
                </c:pt>
                <c:pt idx="2094">
                  <c:v>43419</c:v>
                </c:pt>
                <c:pt idx="2095">
                  <c:v>43420</c:v>
                </c:pt>
                <c:pt idx="2096">
                  <c:v>43423</c:v>
                </c:pt>
                <c:pt idx="2097">
                  <c:v>43424</c:v>
                </c:pt>
                <c:pt idx="2098">
                  <c:v>43425</c:v>
                </c:pt>
                <c:pt idx="2099">
                  <c:v>43427</c:v>
                </c:pt>
                <c:pt idx="2100">
                  <c:v>43430</c:v>
                </c:pt>
                <c:pt idx="2101">
                  <c:v>43431</c:v>
                </c:pt>
                <c:pt idx="2102">
                  <c:v>43432</c:v>
                </c:pt>
                <c:pt idx="2103">
                  <c:v>43433</c:v>
                </c:pt>
                <c:pt idx="2104">
                  <c:v>43434</c:v>
                </c:pt>
                <c:pt idx="2105">
                  <c:v>43437</c:v>
                </c:pt>
                <c:pt idx="2106">
                  <c:v>43438</c:v>
                </c:pt>
                <c:pt idx="2107">
                  <c:v>43440</c:v>
                </c:pt>
                <c:pt idx="2108">
                  <c:v>43441</c:v>
                </c:pt>
                <c:pt idx="2109">
                  <c:v>43444</c:v>
                </c:pt>
                <c:pt idx="2110">
                  <c:v>43445</c:v>
                </c:pt>
                <c:pt idx="2111">
                  <c:v>43446</c:v>
                </c:pt>
                <c:pt idx="2112">
                  <c:v>43447</c:v>
                </c:pt>
                <c:pt idx="2113">
                  <c:v>43448</c:v>
                </c:pt>
                <c:pt idx="2114">
                  <c:v>43451</c:v>
                </c:pt>
                <c:pt idx="2115">
                  <c:v>43452</c:v>
                </c:pt>
                <c:pt idx="2116">
                  <c:v>43453</c:v>
                </c:pt>
                <c:pt idx="2117">
                  <c:v>43454</c:v>
                </c:pt>
                <c:pt idx="2118">
                  <c:v>43455</c:v>
                </c:pt>
                <c:pt idx="2119">
                  <c:v>43458</c:v>
                </c:pt>
                <c:pt idx="2120">
                  <c:v>43460</c:v>
                </c:pt>
                <c:pt idx="2121">
                  <c:v>43461</c:v>
                </c:pt>
                <c:pt idx="2122">
                  <c:v>43462</c:v>
                </c:pt>
                <c:pt idx="2123">
                  <c:v>43465</c:v>
                </c:pt>
                <c:pt idx="2124">
                  <c:v>43467</c:v>
                </c:pt>
                <c:pt idx="2125">
                  <c:v>43468</c:v>
                </c:pt>
                <c:pt idx="2126">
                  <c:v>43469</c:v>
                </c:pt>
                <c:pt idx="2127">
                  <c:v>43472</c:v>
                </c:pt>
                <c:pt idx="2128">
                  <c:v>43473</c:v>
                </c:pt>
                <c:pt idx="2129">
                  <c:v>43474</c:v>
                </c:pt>
                <c:pt idx="2130">
                  <c:v>43475</c:v>
                </c:pt>
                <c:pt idx="2131">
                  <c:v>43476</c:v>
                </c:pt>
                <c:pt idx="2132">
                  <c:v>43479</c:v>
                </c:pt>
                <c:pt idx="2133">
                  <c:v>43480</c:v>
                </c:pt>
                <c:pt idx="2134">
                  <c:v>43481</c:v>
                </c:pt>
                <c:pt idx="2135">
                  <c:v>43482</c:v>
                </c:pt>
                <c:pt idx="2136">
                  <c:v>43483</c:v>
                </c:pt>
                <c:pt idx="2137">
                  <c:v>43487</c:v>
                </c:pt>
                <c:pt idx="2138">
                  <c:v>43488</c:v>
                </c:pt>
                <c:pt idx="2139">
                  <c:v>43489</c:v>
                </c:pt>
              </c:numCache>
            </c:numRef>
          </c:xVal>
          <c:yVal>
            <c:numRef>
              <c:f>'Perf Historique'!$E$33:$E$2172</c:f>
              <c:numCache>
                <c:formatCode>General</c:formatCode>
                <c:ptCount val="2140"/>
                <c:pt idx="0">
                  <c:v>100</c:v>
                </c:pt>
                <c:pt idx="1">
                  <c:v>99.980535279805352</c:v>
                </c:pt>
                <c:pt idx="2">
                  <c:v>99.988899613899619</c:v>
                </c:pt>
                <c:pt idx="3">
                  <c:v>99.970515970515976</c:v>
                </c:pt>
                <c:pt idx="4">
                  <c:v>99.949348044132392</c:v>
                </c:pt>
                <c:pt idx="5">
                  <c:v>99.998565965583168</c:v>
                </c:pt>
                <c:pt idx="6">
                  <c:v>100.04555808656036</c:v>
                </c:pt>
                <c:pt idx="7">
                  <c:v>100.0145813734713</c:v>
                </c:pt>
                <c:pt idx="8">
                  <c:v>99.975550122249388</c:v>
                </c:pt>
                <c:pt idx="9">
                  <c:v>99.930576824910673</c:v>
                </c:pt>
                <c:pt idx="10">
                  <c:v>99.931122448979593</c:v>
                </c:pt>
                <c:pt idx="11">
                  <c:v>99.899106673673145</c:v>
                </c:pt>
                <c:pt idx="12">
                  <c:v>99.82960893854748</c:v>
                </c:pt>
                <c:pt idx="13">
                  <c:v>99.809659090909093</c:v>
                </c:pt>
                <c:pt idx="14">
                  <c:v>99.856441048034938</c:v>
                </c:pt>
                <c:pt idx="15">
                  <c:v>99.884451544195954</c:v>
                </c:pt>
                <c:pt idx="16">
                  <c:v>99.906005221932119</c:v>
                </c:pt>
                <c:pt idx="17">
                  <c:v>99.88385721896644</c:v>
                </c:pt>
                <c:pt idx="18">
                  <c:v>99.885045236828105</c:v>
                </c:pt>
                <c:pt idx="19">
                  <c:v>99.903141361256544</c:v>
                </c:pt>
                <c:pt idx="20">
                  <c:v>99.959264778936912</c:v>
                </c:pt>
                <c:pt idx="21">
                  <c:v>99.908854166666671</c:v>
                </c:pt>
                <c:pt idx="22">
                  <c:v>99.947236180904525</c:v>
                </c:pt>
                <c:pt idx="23">
                  <c:v>99.939240506329114</c:v>
                </c:pt>
                <c:pt idx="24">
                  <c:v>99.936548223350258</c:v>
                </c:pt>
                <c:pt idx="25">
                  <c:v>99.945646703573232</c:v>
                </c:pt>
                <c:pt idx="26">
                  <c:v>99.92453798767967</c:v>
                </c:pt>
                <c:pt idx="27">
                  <c:v>99.975550122249388</c:v>
                </c:pt>
                <c:pt idx="28">
                  <c:v>100.00522317188984</c:v>
                </c:pt>
                <c:pt idx="29">
                  <c:v>100.00475059382423</c:v>
                </c:pt>
                <c:pt idx="30">
                  <c:v>99.980038948393386</c:v>
                </c:pt>
                <c:pt idx="31">
                  <c:v>99.997607655502392</c:v>
                </c:pt>
                <c:pt idx="32">
                  <c:v>99.988411395461128</c:v>
                </c:pt>
                <c:pt idx="33">
                  <c:v>99.961328705999009</c:v>
                </c:pt>
                <c:pt idx="34">
                  <c:v>99.988899613899619</c:v>
                </c:pt>
                <c:pt idx="35">
                  <c:v>100.00804924242425</c:v>
                </c:pt>
                <c:pt idx="36">
                  <c:v>100.04686078252958</c:v>
                </c:pt>
                <c:pt idx="37">
                  <c:v>99.999522445081183</c:v>
                </c:pt>
                <c:pt idx="38">
                  <c:v>99.964409293129023</c:v>
                </c:pt>
                <c:pt idx="39">
                  <c:v>100.00498693896937</c:v>
                </c:pt>
                <c:pt idx="40">
                  <c:v>99.991333654309102</c:v>
                </c:pt>
                <c:pt idx="41">
                  <c:v>99.945646703573232</c:v>
                </c:pt>
                <c:pt idx="42">
                  <c:v>99.928936605316977</c:v>
                </c:pt>
                <c:pt idx="43">
                  <c:v>99.957711442786064</c:v>
                </c:pt>
                <c:pt idx="44">
                  <c:v>99.979542133463227</c:v>
                </c:pt>
                <c:pt idx="45">
                  <c:v>100.02102803738318</c:v>
                </c:pt>
                <c:pt idx="46">
                  <c:v>100.04686078252958</c:v>
                </c:pt>
                <c:pt idx="47">
                  <c:v>99.97329086008331</c:v>
                </c:pt>
                <c:pt idx="48">
                  <c:v>99.983009708737868</c:v>
                </c:pt>
                <c:pt idx="49">
                  <c:v>100.00190566936637</c:v>
                </c:pt>
                <c:pt idx="50">
                  <c:v>100.00804924242425</c:v>
                </c:pt>
                <c:pt idx="51">
                  <c:v>99.976050830889534</c:v>
                </c:pt>
                <c:pt idx="52">
                  <c:v>99.974547234459124</c:v>
                </c:pt>
                <c:pt idx="53">
                  <c:v>99.974547234459124</c:v>
                </c:pt>
                <c:pt idx="54">
                  <c:v>99.964920948616594</c:v>
                </c:pt>
                <c:pt idx="55">
                  <c:v>99.964920948616594</c:v>
                </c:pt>
                <c:pt idx="56">
                  <c:v>99.980038948393386</c:v>
                </c:pt>
                <c:pt idx="57">
                  <c:v>99.990361445783137</c:v>
                </c:pt>
                <c:pt idx="58">
                  <c:v>99.980038948393386</c:v>
                </c:pt>
                <c:pt idx="59">
                  <c:v>99.964409293129023</c:v>
                </c:pt>
                <c:pt idx="60">
                  <c:v>99.955112219451365</c:v>
                </c:pt>
                <c:pt idx="61">
                  <c:v>99.985472154963674</c:v>
                </c:pt>
                <c:pt idx="62">
                  <c:v>99.990361445783137</c:v>
                </c:pt>
                <c:pt idx="63">
                  <c:v>99.988899613899619</c:v>
                </c:pt>
                <c:pt idx="64">
                  <c:v>99.995203836930457</c:v>
                </c:pt>
                <c:pt idx="65">
                  <c:v>100.01919475655431</c:v>
                </c:pt>
                <c:pt idx="66">
                  <c:v>100.00238095238095</c:v>
                </c:pt>
                <c:pt idx="67">
                  <c:v>100.01132609721567</c:v>
                </c:pt>
                <c:pt idx="68">
                  <c:v>100.04075091575092</c:v>
                </c:pt>
                <c:pt idx="69">
                  <c:v>100.02148528724895</c:v>
                </c:pt>
                <c:pt idx="70">
                  <c:v>100.01411764705882</c:v>
                </c:pt>
                <c:pt idx="71">
                  <c:v>100.03766651355076</c:v>
                </c:pt>
                <c:pt idx="72">
                  <c:v>100.15863453815261</c:v>
                </c:pt>
                <c:pt idx="73">
                  <c:v>100.14279869067103</c:v>
                </c:pt>
                <c:pt idx="74">
                  <c:v>100.16132906325061</c:v>
                </c:pt>
                <c:pt idx="75">
                  <c:v>100.14941128704831</c:v>
                </c:pt>
                <c:pt idx="76">
                  <c:v>100.28644414168937</c:v>
                </c:pt>
                <c:pt idx="77">
                  <c:v>100.25271981451756</c:v>
                </c:pt>
                <c:pt idx="78">
                  <c:v>100.29792225201072</c:v>
                </c:pt>
                <c:pt idx="79">
                  <c:v>100.3198051948052</c:v>
                </c:pt>
                <c:pt idx="80">
                  <c:v>100.29389956184698</c:v>
                </c:pt>
                <c:pt idx="81">
                  <c:v>100.28958969142082</c:v>
                </c:pt>
                <c:pt idx="82">
                  <c:v>100.29909668785547</c:v>
                </c:pt>
                <c:pt idx="83">
                  <c:v>100.32397547595998</c:v>
                </c:pt>
                <c:pt idx="84">
                  <c:v>100.37275449101796</c:v>
                </c:pt>
                <c:pt idx="85">
                  <c:v>100.3939832224472</c:v>
                </c:pt>
                <c:pt idx="86">
                  <c:v>100.40936002255427</c:v>
                </c:pt>
                <c:pt idx="87">
                  <c:v>100.40685164212911</c:v>
                </c:pt>
                <c:pt idx="88">
                  <c:v>100.3897465773376</c:v>
                </c:pt>
                <c:pt idx="89">
                  <c:v>100.40701953014435</c:v>
                </c:pt>
                <c:pt idx="90">
                  <c:v>100.3901018922853</c:v>
                </c:pt>
                <c:pt idx="91">
                  <c:v>100.35239567233384</c:v>
                </c:pt>
                <c:pt idx="92">
                  <c:v>100.33470943156557</c:v>
                </c:pt>
                <c:pt idx="93">
                  <c:v>100.308808973936</c:v>
                </c:pt>
                <c:pt idx="94">
                  <c:v>100.33618504435995</c:v>
                </c:pt>
                <c:pt idx="95">
                  <c:v>100.35279579857892</c:v>
                </c:pt>
                <c:pt idx="96">
                  <c:v>100.34633385335414</c:v>
                </c:pt>
                <c:pt idx="97">
                  <c:v>100.3353426395939</c:v>
                </c:pt>
                <c:pt idx="98">
                  <c:v>100.31423895253683</c:v>
                </c:pt>
                <c:pt idx="99">
                  <c:v>100.26568524360323</c:v>
                </c:pt>
                <c:pt idx="100">
                  <c:v>100.29222972972973</c:v>
                </c:pt>
                <c:pt idx="101">
                  <c:v>100.32002596559559</c:v>
                </c:pt>
                <c:pt idx="102">
                  <c:v>100.33195153061224</c:v>
                </c:pt>
                <c:pt idx="103">
                  <c:v>100.3391167192429</c:v>
                </c:pt>
                <c:pt idx="104">
                  <c:v>100.35058896466212</c:v>
                </c:pt>
                <c:pt idx="105">
                  <c:v>100.35795280416794</c:v>
                </c:pt>
                <c:pt idx="106">
                  <c:v>100.30375540046528</c:v>
                </c:pt>
                <c:pt idx="107">
                  <c:v>100.18000704528554</c:v>
                </c:pt>
                <c:pt idx="108">
                  <c:v>100.20673987126088</c:v>
                </c:pt>
                <c:pt idx="109">
                  <c:v>100.2445005409304</c:v>
                </c:pt>
                <c:pt idx="110">
                  <c:v>100.20943396226416</c:v>
                </c:pt>
                <c:pt idx="111">
                  <c:v>100.21329327825761</c:v>
                </c:pt>
                <c:pt idx="112">
                  <c:v>100.21299774605559</c:v>
                </c:pt>
                <c:pt idx="113">
                  <c:v>100.21447319085114</c:v>
                </c:pt>
                <c:pt idx="114">
                  <c:v>100.21915765933656</c:v>
                </c:pt>
                <c:pt idx="115">
                  <c:v>100.24856527977045</c:v>
                </c:pt>
                <c:pt idx="116">
                  <c:v>100.25814447592067</c:v>
                </c:pt>
                <c:pt idx="117">
                  <c:v>100.26362038664324</c:v>
                </c:pt>
                <c:pt idx="118">
                  <c:v>100.22292284866469</c:v>
                </c:pt>
                <c:pt idx="119">
                  <c:v>100.22292284866469</c:v>
                </c:pt>
                <c:pt idx="120">
                  <c:v>100.20099160945843</c:v>
                </c:pt>
                <c:pt idx="121">
                  <c:v>100.18640776699029</c:v>
                </c:pt>
                <c:pt idx="122">
                  <c:v>100.18291731669267</c:v>
                </c:pt>
                <c:pt idx="123">
                  <c:v>100.12817311693716</c:v>
                </c:pt>
                <c:pt idx="124">
                  <c:v>100.07382847038019</c:v>
                </c:pt>
                <c:pt idx="125">
                  <c:v>100.09071180555556</c:v>
                </c:pt>
                <c:pt idx="126">
                  <c:v>100.1445487954267</c:v>
                </c:pt>
                <c:pt idx="127">
                  <c:v>100.15113452188007</c:v>
                </c:pt>
                <c:pt idx="128">
                  <c:v>100.15353535353535</c:v>
                </c:pt>
                <c:pt idx="129">
                  <c:v>100.15930979133226</c:v>
                </c:pt>
                <c:pt idx="130">
                  <c:v>100.12744689712619</c:v>
                </c:pt>
                <c:pt idx="131">
                  <c:v>100.13070539419087</c:v>
                </c:pt>
                <c:pt idx="132">
                  <c:v>100.12379757423672</c:v>
                </c:pt>
                <c:pt idx="133">
                  <c:v>100.12489557226399</c:v>
                </c:pt>
                <c:pt idx="134">
                  <c:v>100.11341515023275</c:v>
                </c:pt>
                <c:pt idx="135">
                  <c:v>100.10699062233589</c:v>
                </c:pt>
                <c:pt idx="136">
                  <c:v>100.09189423493714</c:v>
                </c:pt>
                <c:pt idx="137">
                  <c:v>100.1445487954267</c:v>
                </c:pt>
                <c:pt idx="138">
                  <c:v>100.0973718224903</c:v>
                </c:pt>
                <c:pt idx="139">
                  <c:v>100.09756622873142</c:v>
                </c:pt>
                <c:pt idx="140">
                  <c:v>100.09892473118279</c:v>
                </c:pt>
                <c:pt idx="141">
                  <c:v>100.092287694974</c:v>
                </c:pt>
                <c:pt idx="142">
                  <c:v>100.08274956217163</c:v>
                </c:pt>
                <c:pt idx="143">
                  <c:v>100.15285078851598</c:v>
                </c:pt>
                <c:pt idx="144">
                  <c:v>100.11228813559322</c:v>
                </c:pt>
                <c:pt idx="145">
                  <c:v>100.09620362381364</c:v>
                </c:pt>
                <c:pt idx="146">
                  <c:v>100.04206675811614</c:v>
                </c:pt>
                <c:pt idx="147">
                  <c:v>100.04031149793862</c:v>
                </c:pt>
                <c:pt idx="148">
                  <c:v>100.07012871726587</c:v>
                </c:pt>
                <c:pt idx="149">
                  <c:v>100.1126641253706</c:v>
                </c:pt>
                <c:pt idx="150">
                  <c:v>100.12306404353286</c:v>
                </c:pt>
                <c:pt idx="151">
                  <c:v>100.12489557226399</c:v>
                </c:pt>
                <c:pt idx="152">
                  <c:v>100.1278101582015</c:v>
                </c:pt>
                <c:pt idx="153">
                  <c:v>100.13998357963875</c:v>
                </c:pt>
                <c:pt idx="154">
                  <c:v>100.16032064128257</c:v>
                </c:pt>
                <c:pt idx="155">
                  <c:v>100.15998396150762</c:v>
                </c:pt>
                <c:pt idx="156">
                  <c:v>100.15044606650446</c:v>
                </c:pt>
                <c:pt idx="157">
                  <c:v>100.15250809061489</c:v>
                </c:pt>
                <c:pt idx="158">
                  <c:v>100.12744689712619</c:v>
                </c:pt>
                <c:pt idx="159">
                  <c:v>100.12962193601994</c:v>
                </c:pt>
                <c:pt idx="160">
                  <c:v>100.09892473118279</c:v>
                </c:pt>
                <c:pt idx="161">
                  <c:v>100.08714596949891</c:v>
                </c:pt>
                <c:pt idx="162">
                  <c:v>100.08194566170026</c:v>
                </c:pt>
                <c:pt idx="163">
                  <c:v>100.08154318281456</c:v>
                </c:pt>
                <c:pt idx="164">
                  <c:v>100.08754355400697</c:v>
                </c:pt>
                <c:pt idx="165">
                  <c:v>100.07831060272767</c:v>
                </c:pt>
                <c:pt idx="166">
                  <c:v>100.05588102748986</c:v>
                </c:pt>
                <c:pt idx="167">
                  <c:v>100.05673120216119</c:v>
                </c:pt>
                <c:pt idx="168">
                  <c:v>100.06180026869681</c:v>
                </c:pt>
                <c:pt idx="169">
                  <c:v>100.07912087912088</c:v>
                </c:pt>
                <c:pt idx="170">
                  <c:v>100.09892473118279</c:v>
                </c:pt>
                <c:pt idx="171">
                  <c:v>100.12416387959867</c:v>
                </c:pt>
                <c:pt idx="172">
                  <c:v>100.11640657950232</c:v>
                </c:pt>
                <c:pt idx="173">
                  <c:v>100.24504504504505</c:v>
                </c:pt>
                <c:pt idx="174">
                  <c:v>100.21417854463616</c:v>
                </c:pt>
                <c:pt idx="175">
                  <c:v>100.18892760356175</c:v>
                </c:pt>
                <c:pt idx="176">
                  <c:v>100.21535580524345</c:v>
                </c:pt>
                <c:pt idx="177">
                  <c:v>100.20913552283881</c:v>
                </c:pt>
                <c:pt idx="178">
                  <c:v>100.23091042584434</c:v>
                </c:pt>
                <c:pt idx="179">
                  <c:v>100.20913552283881</c:v>
                </c:pt>
                <c:pt idx="180">
                  <c:v>100.17095370003958</c:v>
                </c:pt>
                <c:pt idx="181">
                  <c:v>100.1501014198783</c:v>
                </c:pt>
                <c:pt idx="182">
                  <c:v>100.15964701163257</c:v>
                </c:pt>
                <c:pt idx="183">
                  <c:v>100.16666666666667</c:v>
                </c:pt>
                <c:pt idx="184">
                  <c:v>100.18100078186083</c:v>
                </c:pt>
                <c:pt idx="185">
                  <c:v>100.16300439472633</c:v>
                </c:pt>
                <c:pt idx="186">
                  <c:v>100.16732909379968</c:v>
                </c:pt>
                <c:pt idx="187">
                  <c:v>100.18640776699029</c:v>
                </c:pt>
                <c:pt idx="188">
                  <c:v>100.21652954375467</c:v>
                </c:pt>
                <c:pt idx="189">
                  <c:v>100.20613868889731</c:v>
                </c:pt>
                <c:pt idx="190">
                  <c:v>100.22205718529521</c:v>
                </c:pt>
                <c:pt idx="191">
                  <c:v>100.22636632200886</c:v>
                </c:pt>
                <c:pt idx="192">
                  <c:v>100.24258857556038</c:v>
                </c:pt>
                <c:pt idx="193">
                  <c:v>100.2409420289855</c:v>
                </c:pt>
                <c:pt idx="194">
                  <c:v>100.2367941712204</c:v>
                </c:pt>
                <c:pt idx="195">
                  <c:v>100.22032005954597</c:v>
                </c:pt>
                <c:pt idx="196">
                  <c:v>100.21506182090671</c:v>
                </c:pt>
                <c:pt idx="197">
                  <c:v>100.20763993948563</c:v>
                </c:pt>
                <c:pt idx="198">
                  <c:v>100.22750737463127</c:v>
                </c:pt>
                <c:pt idx="199">
                  <c:v>100.24937298459334</c:v>
                </c:pt>
                <c:pt idx="200">
                  <c:v>100.26050123543946</c:v>
                </c:pt>
                <c:pt idx="201">
                  <c:v>100.2260805319542</c:v>
                </c:pt>
                <c:pt idx="202">
                  <c:v>100.2428623057463</c:v>
                </c:pt>
                <c:pt idx="203">
                  <c:v>100.23956442831216</c:v>
                </c:pt>
                <c:pt idx="204">
                  <c:v>100.2124060150376</c:v>
                </c:pt>
                <c:pt idx="205">
                  <c:v>100.19298921417565</c:v>
                </c:pt>
                <c:pt idx="206">
                  <c:v>100.20493358633776</c:v>
                </c:pt>
                <c:pt idx="207">
                  <c:v>100.25709219858156</c:v>
                </c:pt>
                <c:pt idx="208">
                  <c:v>100.25098319628174</c:v>
                </c:pt>
                <c:pt idx="209">
                  <c:v>100.21886651752423</c:v>
                </c:pt>
                <c:pt idx="210">
                  <c:v>100.21594311377245</c:v>
                </c:pt>
                <c:pt idx="211">
                  <c:v>100.27708764665286</c:v>
                </c:pt>
                <c:pt idx="212">
                  <c:v>100.2893487109905</c:v>
                </c:pt>
                <c:pt idx="213">
                  <c:v>100.29103214890017</c:v>
                </c:pt>
                <c:pt idx="214">
                  <c:v>100.3049104180491</c:v>
                </c:pt>
                <c:pt idx="215">
                  <c:v>100.26535049268857</c:v>
                </c:pt>
                <c:pt idx="216">
                  <c:v>100.27155771905424</c:v>
                </c:pt>
                <c:pt idx="217">
                  <c:v>100.3046797212081</c:v>
                </c:pt>
                <c:pt idx="218">
                  <c:v>100.27003484320558</c:v>
                </c:pt>
                <c:pt idx="219">
                  <c:v>100.26154388438492</c:v>
                </c:pt>
                <c:pt idx="220">
                  <c:v>100.22750737463127</c:v>
                </c:pt>
                <c:pt idx="221">
                  <c:v>100.24149167270095</c:v>
                </c:pt>
                <c:pt idx="222">
                  <c:v>100.24802584350323</c:v>
                </c:pt>
                <c:pt idx="223">
                  <c:v>100.2631023566655</c:v>
                </c:pt>
                <c:pt idx="224">
                  <c:v>100.26748251748252</c:v>
                </c:pt>
                <c:pt idx="225">
                  <c:v>100.23316251830161</c:v>
                </c:pt>
                <c:pt idx="226">
                  <c:v>100.20943396226416</c:v>
                </c:pt>
                <c:pt idx="227">
                  <c:v>100.20943396226416</c:v>
                </c:pt>
                <c:pt idx="228">
                  <c:v>100.19454056132257</c:v>
                </c:pt>
                <c:pt idx="229">
                  <c:v>100.23901198692336</c:v>
                </c:pt>
                <c:pt idx="230">
                  <c:v>100.2300624770305</c:v>
                </c:pt>
                <c:pt idx="231">
                  <c:v>100.24395525081198</c:v>
                </c:pt>
                <c:pt idx="232">
                  <c:v>100.23997823326683</c:v>
                </c:pt>
                <c:pt idx="233">
                  <c:v>100.23707210487983</c:v>
                </c:pt>
                <c:pt idx="234">
                  <c:v>100.25471362504447</c:v>
                </c:pt>
                <c:pt idx="235">
                  <c:v>100.25945563803464</c:v>
                </c:pt>
                <c:pt idx="236">
                  <c:v>100.2808101613457</c:v>
                </c:pt>
                <c:pt idx="237">
                  <c:v>100.27808407994486</c:v>
                </c:pt>
                <c:pt idx="238">
                  <c:v>100.28105696636925</c:v>
                </c:pt>
                <c:pt idx="239">
                  <c:v>100.27658839779005</c:v>
                </c:pt>
                <c:pt idx="240">
                  <c:v>100.29532458795829</c:v>
                </c:pt>
                <c:pt idx="241">
                  <c:v>100.27282193682748</c:v>
                </c:pt>
                <c:pt idx="242">
                  <c:v>100.2610229276896</c:v>
                </c:pt>
                <c:pt idx="243">
                  <c:v>100.25630102946397</c:v>
                </c:pt>
                <c:pt idx="244">
                  <c:v>100.26850558659218</c:v>
                </c:pt>
                <c:pt idx="245">
                  <c:v>100.24121695038029</c:v>
                </c:pt>
                <c:pt idx="246">
                  <c:v>100.24039158810733</c:v>
                </c:pt>
                <c:pt idx="247">
                  <c:v>100.23062798384134</c:v>
                </c:pt>
                <c:pt idx="248">
                  <c:v>100.24883470778056</c:v>
                </c:pt>
                <c:pt idx="249">
                  <c:v>100.26978041129313</c:v>
                </c:pt>
                <c:pt idx="250">
                  <c:v>100.27003484320558</c:v>
                </c:pt>
                <c:pt idx="251">
                  <c:v>100.28473881870946</c:v>
                </c:pt>
                <c:pt idx="252">
                  <c:v>100.26465426465427</c:v>
                </c:pt>
                <c:pt idx="253">
                  <c:v>100.25178571428572</c:v>
                </c:pt>
                <c:pt idx="254">
                  <c:v>100.24204052098408</c:v>
                </c:pt>
                <c:pt idx="255">
                  <c:v>100.25630102946397</c:v>
                </c:pt>
                <c:pt idx="256">
                  <c:v>100.25630102946397</c:v>
                </c:pt>
                <c:pt idx="257">
                  <c:v>100.27181091414668</c:v>
                </c:pt>
                <c:pt idx="258">
                  <c:v>100.23372348207754</c:v>
                </c:pt>
                <c:pt idx="259">
                  <c:v>100.22977941176471</c:v>
                </c:pt>
                <c:pt idx="260">
                  <c:v>100.15353535353535</c:v>
                </c:pt>
                <c:pt idx="261">
                  <c:v>100.13572607260726</c:v>
                </c:pt>
                <c:pt idx="262">
                  <c:v>100.11379018612521</c:v>
                </c:pt>
                <c:pt idx="263">
                  <c:v>100.16400638467678</c:v>
                </c:pt>
                <c:pt idx="264">
                  <c:v>100.12048698572627</c:v>
                </c:pt>
                <c:pt idx="265">
                  <c:v>100.17193675889328</c:v>
                </c:pt>
                <c:pt idx="266">
                  <c:v>100.20372481946028</c:v>
                </c:pt>
                <c:pt idx="267">
                  <c:v>100.20129622569577</c:v>
                </c:pt>
                <c:pt idx="268">
                  <c:v>100.19731800766283</c:v>
                </c:pt>
                <c:pt idx="269">
                  <c:v>100.18892760356175</c:v>
                </c:pt>
                <c:pt idx="270">
                  <c:v>100.13643858202803</c:v>
                </c:pt>
                <c:pt idx="271">
                  <c:v>100.06053811659193</c:v>
                </c:pt>
                <c:pt idx="272">
                  <c:v>100.04555808656036</c:v>
                </c:pt>
                <c:pt idx="273">
                  <c:v>100.08754355400697</c:v>
                </c:pt>
                <c:pt idx="274">
                  <c:v>100.12232928361961</c:v>
                </c:pt>
                <c:pt idx="275">
                  <c:v>100.09346603202077</c:v>
                </c:pt>
                <c:pt idx="276">
                  <c:v>100.11715128529288</c:v>
                </c:pt>
                <c:pt idx="277">
                  <c:v>100.15216511533792</c:v>
                </c:pt>
                <c:pt idx="278">
                  <c:v>100.14941128704831</c:v>
                </c:pt>
                <c:pt idx="279">
                  <c:v>100.15319320937752</c:v>
                </c:pt>
                <c:pt idx="280">
                  <c:v>100.12708333333333</c:v>
                </c:pt>
                <c:pt idx="281">
                  <c:v>100.09189423493714</c:v>
                </c:pt>
                <c:pt idx="282">
                  <c:v>100.08674803836094</c:v>
                </c:pt>
                <c:pt idx="283">
                  <c:v>100.12122483221476</c:v>
                </c:pt>
                <c:pt idx="284">
                  <c:v>100.1126641253706</c:v>
                </c:pt>
                <c:pt idx="285">
                  <c:v>100.08794079233783</c:v>
                </c:pt>
                <c:pt idx="286">
                  <c:v>100.08435314685315</c:v>
                </c:pt>
                <c:pt idx="287">
                  <c:v>100.12998338870432</c:v>
                </c:pt>
                <c:pt idx="288">
                  <c:v>100.1392769104355</c:v>
                </c:pt>
                <c:pt idx="289">
                  <c:v>100.15592264302981</c:v>
                </c:pt>
                <c:pt idx="290">
                  <c:v>100.18798449612403</c:v>
                </c:pt>
                <c:pt idx="291">
                  <c:v>100.18703919285991</c:v>
                </c:pt>
                <c:pt idx="292">
                  <c:v>100.19454056132257</c:v>
                </c:pt>
                <c:pt idx="293">
                  <c:v>100.18955512572533</c:v>
                </c:pt>
                <c:pt idx="294">
                  <c:v>100.18259851736246</c:v>
                </c:pt>
                <c:pt idx="295">
                  <c:v>100.20583775587566</c:v>
                </c:pt>
                <c:pt idx="296">
                  <c:v>100.17907523510972</c:v>
                </c:pt>
                <c:pt idx="297">
                  <c:v>100.20007636502481</c:v>
                </c:pt>
                <c:pt idx="298">
                  <c:v>100.14802765351769</c:v>
                </c:pt>
                <c:pt idx="299">
                  <c:v>100.13142620232172</c:v>
                </c:pt>
                <c:pt idx="300">
                  <c:v>100.1410414104141</c:v>
                </c:pt>
                <c:pt idx="301">
                  <c:v>100.11715128529288</c:v>
                </c:pt>
                <c:pt idx="302">
                  <c:v>100.11453930684699</c:v>
                </c:pt>
                <c:pt idx="303">
                  <c:v>100.17422152148207</c:v>
                </c:pt>
                <c:pt idx="304">
                  <c:v>100.22292284866469</c:v>
                </c:pt>
                <c:pt idx="305">
                  <c:v>100.22378658762504</c:v>
                </c:pt>
                <c:pt idx="306">
                  <c:v>100.24856527977045</c:v>
                </c:pt>
                <c:pt idx="307">
                  <c:v>100.24121695038029</c:v>
                </c:pt>
                <c:pt idx="308">
                  <c:v>100.24640287769785</c:v>
                </c:pt>
                <c:pt idx="309">
                  <c:v>100.25017895490336</c:v>
                </c:pt>
                <c:pt idx="310">
                  <c:v>100.25311942959001</c:v>
                </c:pt>
                <c:pt idx="311">
                  <c:v>100.23595915390226</c:v>
                </c:pt>
                <c:pt idx="312">
                  <c:v>100.26076217360621</c:v>
                </c:pt>
                <c:pt idx="313">
                  <c:v>100.24011606819006</c:v>
                </c:pt>
                <c:pt idx="314">
                  <c:v>100.23372348207754</c:v>
                </c:pt>
                <c:pt idx="315">
                  <c:v>100.25258651444881</c:v>
                </c:pt>
                <c:pt idx="316">
                  <c:v>100.2661996497373</c:v>
                </c:pt>
                <c:pt idx="317">
                  <c:v>100.25840707964602</c:v>
                </c:pt>
                <c:pt idx="318">
                  <c:v>100.25125089349535</c:v>
                </c:pt>
                <c:pt idx="319">
                  <c:v>100.27155771905424</c:v>
                </c:pt>
                <c:pt idx="320">
                  <c:v>100.29862738533646</c:v>
                </c:pt>
                <c:pt idx="321">
                  <c:v>100.28668709567586</c:v>
                </c:pt>
                <c:pt idx="322">
                  <c:v>100.27458448753463</c:v>
                </c:pt>
                <c:pt idx="323">
                  <c:v>100.27028909787531</c:v>
                </c:pt>
                <c:pt idx="324">
                  <c:v>100.35459026494146</c:v>
                </c:pt>
                <c:pt idx="325">
                  <c:v>100.35159393376664</c:v>
                </c:pt>
                <c:pt idx="326">
                  <c:v>100.33002878157978</c:v>
                </c:pt>
                <c:pt idx="327">
                  <c:v>100.34202261306532</c:v>
                </c:pt>
                <c:pt idx="328">
                  <c:v>100.32156735751295</c:v>
                </c:pt>
                <c:pt idx="329">
                  <c:v>100.33131184168529</c:v>
                </c:pt>
                <c:pt idx="330">
                  <c:v>100.37722948870392</c:v>
                </c:pt>
                <c:pt idx="331">
                  <c:v>100.36935580975316</c:v>
                </c:pt>
                <c:pt idx="332">
                  <c:v>100.3825523135868</c:v>
                </c:pt>
                <c:pt idx="333">
                  <c:v>100.40040068689181</c:v>
                </c:pt>
                <c:pt idx="334">
                  <c:v>100.37796912114014</c:v>
                </c:pt>
                <c:pt idx="335">
                  <c:v>100.35736196319019</c:v>
                </c:pt>
                <c:pt idx="336">
                  <c:v>100.34036523929471</c:v>
                </c:pt>
                <c:pt idx="337">
                  <c:v>100.34674150296227</c:v>
                </c:pt>
                <c:pt idx="338">
                  <c:v>100.33386327503975</c:v>
                </c:pt>
                <c:pt idx="339">
                  <c:v>100.33828174352496</c:v>
                </c:pt>
                <c:pt idx="340">
                  <c:v>100.35657248157248</c:v>
                </c:pt>
                <c:pt idx="341">
                  <c:v>100.34015748031496</c:v>
                </c:pt>
                <c:pt idx="342">
                  <c:v>100.36010995723885</c:v>
                </c:pt>
                <c:pt idx="343">
                  <c:v>100.35736196319019</c:v>
                </c:pt>
                <c:pt idx="344">
                  <c:v>100.37087087087087</c:v>
                </c:pt>
                <c:pt idx="345">
                  <c:v>100.39134224288205</c:v>
                </c:pt>
                <c:pt idx="346">
                  <c:v>100.39919701749355</c:v>
                </c:pt>
                <c:pt idx="347">
                  <c:v>100.38724773325534</c:v>
                </c:pt>
                <c:pt idx="348">
                  <c:v>100.32178698607964</c:v>
                </c:pt>
                <c:pt idx="349">
                  <c:v>100.32506443298969</c:v>
                </c:pt>
                <c:pt idx="350">
                  <c:v>100.31108188096022</c:v>
                </c:pt>
                <c:pt idx="351">
                  <c:v>100.28862478777589</c:v>
                </c:pt>
                <c:pt idx="352">
                  <c:v>100.26568524360323</c:v>
                </c:pt>
                <c:pt idx="353">
                  <c:v>100.26799440950384</c:v>
                </c:pt>
                <c:pt idx="354">
                  <c:v>100.25178571428572</c:v>
                </c:pt>
                <c:pt idx="355">
                  <c:v>100.24504504504505</c:v>
                </c:pt>
                <c:pt idx="356">
                  <c:v>100.24910394265233</c:v>
                </c:pt>
                <c:pt idx="357">
                  <c:v>100.24011606819006</c:v>
                </c:pt>
                <c:pt idx="358">
                  <c:v>100.24558876485416</c:v>
                </c:pt>
                <c:pt idx="359">
                  <c:v>100.24910394265233</c:v>
                </c:pt>
                <c:pt idx="360">
                  <c:v>100.26671333566678</c:v>
                </c:pt>
                <c:pt idx="361">
                  <c:v>100.26517011574886</c:v>
                </c:pt>
                <c:pt idx="362">
                  <c:v>100.27079707622694</c:v>
                </c:pt>
                <c:pt idx="363">
                  <c:v>100.26645658263305</c:v>
                </c:pt>
                <c:pt idx="364">
                  <c:v>100.25391737891738</c:v>
                </c:pt>
                <c:pt idx="365">
                  <c:v>100.24395525081198</c:v>
                </c:pt>
                <c:pt idx="366">
                  <c:v>100.22750737463127</c:v>
                </c:pt>
                <c:pt idx="367">
                  <c:v>100.2214790040877</c:v>
                </c:pt>
                <c:pt idx="368">
                  <c:v>100.23119266055046</c:v>
                </c:pt>
                <c:pt idx="369">
                  <c:v>100.24149167270095</c:v>
                </c:pt>
                <c:pt idx="370">
                  <c:v>100.25788168614949</c:v>
                </c:pt>
                <c:pt idx="371">
                  <c:v>100.25840707964602</c:v>
                </c:pt>
                <c:pt idx="372">
                  <c:v>100.08073716542343</c:v>
                </c:pt>
                <c:pt idx="373">
                  <c:v>100.2124060150376</c:v>
                </c:pt>
                <c:pt idx="374">
                  <c:v>100.21857515852294</c:v>
                </c:pt>
                <c:pt idx="375">
                  <c:v>100.21711509715995</c:v>
                </c:pt>
                <c:pt idx="376">
                  <c:v>100.2124060150376</c:v>
                </c:pt>
                <c:pt idx="377">
                  <c:v>100.21740754576018</c:v>
                </c:pt>
                <c:pt idx="378">
                  <c:v>100.23595915390226</c:v>
                </c:pt>
                <c:pt idx="379">
                  <c:v>100.25098319628174</c:v>
                </c:pt>
                <c:pt idx="380">
                  <c:v>100.27608845888044</c:v>
                </c:pt>
                <c:pt idx="381">
                  <c:v>100.28571428571429</c:v>
                </c:pt>
                <c:pt idx="382">
                  <c:v>100.2915116672303</c:v>
                </c:pt>
                <c:pt idx="383">
                  <c:v>100.27932576539388</c:v>
                </c:pt>
                <c:pt idx="384">
                  <c:v>100.29175118323191</c:v>
                </c:pt>
                <c:pt idx="385">
                  <c:v>100.30743801652892</c:v>
                </c:pt>
                <c:pt idx="386">
                  <c:v>100.3274478330658</c:v>
                </c:pt>
                <c:pt idx="387">
                  <c:v>100.34119496855345</c:v>
                </c:pt>
                <c:pt idx="388">
                  <c:v>100.33702531645569</c:v>
                </c:pt>
                <c:pt idx="389">
                  <c:v>100.34387723144378</c:v>
                </c:pt>
                <c:pt idx="390">
                  <c:v>100.35696746470227</c:v>
                </c:pt>
                <c:pt idx="391">
                  <c:v>100.32636655948554</c:v>
                </c:pt>
                <c:pt idx="392">
                  <c:v>100.33470943156557</c:v>
                </c:pt>
                <c:pt idx="393">
                  <c:v>100.36840518540851</c:v>
                </c:pt>
                <c:pt idx="394">
                  <c:v>100.3764880952381</c:v>
                </c:pt>
                <c:pt idx="395">
                  <c:v>100.38706846108836</c:v>
                </c:pt>
                <c:pt idx="396">
                  <c:v>100.40091507006005</c:v>
                </c:pt>
                <c:pt idx="397">
                  <c:v>100.39275362318841</c:v>
                </c:pt>
                <c:pt idx="398">
                  <c:v>100.38778492109877</c:v>
                </c:pt>
                <c:pt idx="399">
                  <c:v>100.3932812047495</c:v>
                </c:pt>
                <c:pt idx="400">
                  <c:v>100.37925925925926</c:v>
                </c:pt>
                <c:pt idx="401">
                  <c:v>100.37685901249256</c:v>
                </c:pt>
                <c:pt idx="402">
                  <c:v>100.38036083998817</c:v>
                </c:pt>
                <c:pt idx="403">
                  <c:v>100.37294223286442</c:v>
                </c:pt>
                <c:pt idx="404">
                  <c:v>100.3911653589073</c:v>
                </c:pt>
                <c:pt idx="405">
                  <c:v>100.38454759106934</c:v>
                </c:pt>
                <c:pt idx="406">
                  <c:v>100.37962688777021</c:v>
                </c:pt>
                <c:pt idx="407">
                  <c:v>100.36726064633041</c:v>
                </c:pt>
                <c:pt idx="408">
                  <c:v>100.36745169082126</c:v>
                </c:pt>
                <c:pt idx="409">
                  <c:v>100.36649531297249</c:v>
                </c:pt>
                <c:pt idx="410">
                  <c:v>100.39694876223373</c:v>
                </c:pt>
                <c:pt idx="411">
                  <c:v>100.41821716189948</c:v>
                </c:pt>
                <c:pt idx="412">
                  <c:v>100.4195067885841</c:v>
                </c:pt>
                <c:pt idx="413">
                  <c:v>100.4063474071975</c:v>
                </c:pt>
                <c:pt idx="414">
                  <c:v>100.40142857142857</c:v>
                </c:pt>
                <c:pt idx="415">
                  <c:v>100.40685164212911</c:v>
                </c:pt>
                <c:pt idx="416">
                  <c:v>100.4010863350486</c:v>
                </c:pt>
                <c:pt idx="417">
                  <c:v>100.40074370709382</c:v>
                </c:pt>
                <c:pt idx="418">
                  <c:v>100.40398293029872</c:v>
                </c:pt>
                <c:pt idx="419">
                  <c:v>100.39098837209302</c:v>
                </c:pt>
                <c:pt idx="420">
                  <c:v>100.38526995305165</c:v>
                </c:pt>
                <c:pt idx="421">
                  <c:v>100.43983957219251</c:v>
                </c:pt>
                <c:pt idx="422">
                  <c:v>100.44781233526621</c:v>
                </c:pt>
                <c:pt idx="423">
                  <c:v>100.44649933949802</c:v>
                </c:pt>
                <c:pt idx="424">
                  <c:v>100.43878917760514</c:v>
                </c:pt>
                <c:pt idx="425">
                  <c:v>100.437432867884</c:v>
                </c:pt>
                <c:pt idx="426">
                  <c:v>100.42728266812466</c:v>
                </c:pt>
                <c:pt idx="427">
                  <c:v>100.44882925545909</c:v>
                </c:pt>
                <c:pt idx="428">
                  <c:v>100.40142857142857</c:v>
                </c:pt>
                <c:pt idx="429">
                  <c:v>100.39240139211137</c:v>
                </c:pt>
                <c:pt idx="430">
                  <c:v>100.36802413273001</c:v>
                </c:pt>
                <c:pt idx="431">
                  <c:v>100.35459026494146</c:v>
                </c:pt>
                <c:pt idx="432">
                  <c:v>100.36687821093986</c:v>
                </c:pt>
                <c:pt idx="433">
                  <c:v>100.37350478468899</c:v>
                </c:pt>
                <c:pt idx="434">
                  <c:v>100.3763024709735</c:v>
                </c:pt>
                <c:pt idx="435">
                  <c:v>100.35038759689922</c:v>
                </c:pt>
                <c:pt idx="436">
                  <c:v>100.35018610421837</c:v>
                </c:pt>
                <c:pt idx="437">
                  <c:v>100.35854255970607</c:v>
                </c:pt>
                <c:pt idx="438">
                  <c:v>100.36821471652594</c:v>
                </c:pt>
                <c:pt idx="439">
                  <c:v>100.36821471652594</c:v>
                </c:pt>
                <c:pt idx="440">
                  <c:v>100.34408265497808</c:v>
                </c:pt>
                <c:pt idx="441">
                  <c:v>100.34160905091137</c:v>
                </c:pt>
                <c:pt idx="442">
                  <c:v>100.36341537526587</c:v>
                </c:pt>
                <c:pt idx="443">
                  <c:v>100.3744401313825</c:v>
                </c:pt>
                <c:pt idx="444">
                  <c:v>100.37162567486503</c:v>
                </c:pt>
                <c:pt idx="445">
                  <c:v>100.36764261998189</c:v>
                </c:pt>
                <c:pt idx="446">
                  <c:v>100.37981053878035</c:v>
                </c:pt>
                <c:pt idx="447">
                  <c:v>100.38273423688862</c:v>
                </c:pt>
                <c:pt idx="448">
                  <c:v>100.35459026494146</c:v>
                </c:pt>
                <c:pt idx="449">
                  <c:v>100.34181589695255</c:v>
                </c:pt>
                <c:pt idx="450">
                  <c:v>100.35478903603327</c:v>
                </c:pt>
                <c:pt idx="451">
                  <c:v>100.30606160980457</c:v>
                </c:pt>
                <c:pt idx="452">
                  <c:v>100.30306054557552</c:v>
                </c:pt>
                <c:pt idx="453">
                  <c:v>100.36438106796116</c:v>
                </c:pt>
                <c:pt idx="454">
                  <c:v>100.35038759689922</c:v>
                </c:pt>
                <c:pt idx="455">
                  <c:v>100.30306054557552</c:v>
                </c:pt>
                <c:pt idx="456">
                  <c:v>100.28814135236154</c:v>
                </c:pt>
                <c:pt idx="457">
                  <c:v>100.2820424948595</c:v>
                </c:pt>
                <c:pt idx="458">
                  <c:v>100.26671333566678</c:v>
                </c:pt>
                <c:pt idx="459">
                  <c:v>100.23984034833092</c:v>
                </c:pt>
                <c:pt idx="460">
                  <c:v>100.27181091414668</c:v>
                </c:pt>
                <c:pt idx="461">
                  <c:v>100.31958428061058</c:v>
                </c:pt>
                <c:pt idx="462">
                  <c:v>100.32462927143779</c:v>
                </c:pt>
                <c:pt idx="463">
                  <c:v>100.30903693931398</c:v>
                </c:pt>
                <c:pt idx="464">
                  <c:v>100.29721569942973</c:v>
                </c:pt>
                <c:pt idx="465">
                  <c:v>100.33890817292522</c:v>
                </c:pt>
                <c:pt idx="466">
                  <c:v>100.31108188096022</c:v>
                </c:pt>
                <c:pt idx="467">
                  <c:v>100.28983050847458</c:v>
                </c:pt>
                <c:pt idx="468">
                  <c:v>100.25577264653641</c:v>
                </c:pt>
                <c:pt idx="469">
                  <c:v>100.24856527977045</c:v>
                </c:pt>
                <c:pt idx="470">
                  <c:v>100.24937298459334</c:v>
                </c:pt>
                <c:pt idx="471">
                  <c:v>100.28302532511978</c:v>
                </c:pt>
                <c:pt idx="472">
                  <c:v>100.27583823021085</c:v>
                </c:pt>
                <c:pt idx="473">
                  <c:v>100.30352393617021</c:v>
                </c:pt>
                <c:pt idx="474">
                  <c:v>100.28056318681318</c:v>
                </c:pt>
                <c:pt idx="475">
                  <c:v>100.29366149696561</c:v>
                </c:pt>
                <c:pt idx="476">
                  <c:v>100.29627141417535</c:v>
                </c:pt>
                <c:pt idx="477">
                  <c:v>100.28717250765567</c:v>
                </c:pt>
                <c:pt idx="478">
                  <c:v>100.29956536275493</c:v>
                </c:pt>
                <c:pt idx="479">
                  <c:v>100.34202261306532</c:v>
                </c:pt>
                <c:pt idx="480">
                  <c:v>100.34714864443752</c:v>
                </c:pt>
                <c:pt idx="481">
                  <c:v>100.37981053878035</c:v>
                </c:pt>
                <c:pt idx="482">
                  <c:v>100.34917676296986</c:v>
                </c:pt>
                <c:pt idx="483">
                  <c:v>100.37990232351635</c:v>
                </c:pt>
                <c:pt idx="484">
                  <c:v>100.36726064633041</c:v>
                </c:pt>
                <c:pt idx="485">
                  <c:v>100.33723505219866</c:v>
                </c:pt>
                <c:pt idx="486">
                  <c:v>100.3444931163955</c:v>
                </c:pt>
                <c:pt idx="487">
                  <c:v>100.33301496338746</c:v>
                </c:pt>
                <c:pt idx="488">
                  <c:v>100.33045701502077</c:v>
                </c:pt>
                <c:pt idx="489">
                  <c:v>100.31085526315789</c:v>
                </c:pt>
                <c:pt idx="490">
                  <c:v>100.3166992824527</c:v>
                </c:pt>
                <c:pt idx="491">
                  <c:v>100.3291706692283</c:v>
                </c:pt>
                <c:pt idx="492">
                  <c:v>100.32397547595998</c:v>
                </c:pt>
                <c:pt idx="493">
                  <c:v>100.33470943156557</c:v>
                </c:pt>
                <c:pt idx="494">
                  <c:v>100.33002878157978</c:v>
                </c:pt>
                <c:pt idx="495">
                  <c:v>100.33513170422088</c:v>
                </c:pt>
                <c:pt idx="496">
                  <c:v>100.35932721712538</c:v>
                </c:pt>
                <c:pt idx="497">
                  <c:v>100.38832116788321</c:v>
                </c:pt>
                <c:pt idx="498">
                  <c:v>100.41740823136819</c:v>
                </c:pt>
                <c:pt idx="499">
                  <c:v>100.37181409295353</c:v>
                </c:pt>
                <c:pt idx="500">
                  <c:v>100.348367029549</c:v>
                </c:pt>
                <c:pt idx="501">
                  <c:v>100.35079020762318</c:v>
                </c:pt>
                <c:pt idx="502">
                  <c:v>100.34098773199119</c:v>
                </c:pt>
                <c:pt idx="503">
                  <c:v>100.3166992824527</c:v>
                </c:pt>
                <c:pt idx="504">
                  <c:v>100.29792225201072</c:v>
                </c:pt>
                <c:pt idx="505">
                  <c:v>100.27633851468049</c:v>
                </c:pt>
                <c:pt idx="506">
                  <c:v>100.25524351226449</c:v>
                </c:pt>
                <c:pt idx="507">
                  <c:v>100.29007116231786</c:v>
                </c:pt>
                <c:pt idx="508">
                  <c:v>100.23400365630712</c:v>
                </c:pt>
                <c:pt idx="509">
                  <c:v>100.23595915390226</c:v>
                </c:pt>
                <c:pt idx="510">
                  <c:v>100.20190476190476</c:v>
                </c:pt>
                <c:pt idx="511">
                  <c:v>100.19731800766283</c:v>
                </c:pt>
                <c:pt idx="512">
                  <c:v>100.23175650898423</c:v>
                </c:pt>
                <c:pt idx="513">
                  <c:v>100.25893172974885</c:v>
                </c:pt>
                <c:pt idx="514">
                  <c:v>100.30743801652892</c:v>
                </c:pt>
                <c:pt idx="515">
                  <c:v>100.27982124441388</c:v>
                </c:pt>
                <c:pt idx="516">
                  <c:v>100.28765725943556</c:v>
                </c:pt>
                <c:pt idx="517">
                  <c:v>100.30026720106881</c:v>
                </c:pt>
                <c:pt idx="518">
                  <c:v>100.32787937119025</c:v>
                </c:pt>
                <c:pt idx="519">
                  <c:v>100.28789938817131</c:v>
                </c:pt>
                <c:pt idx="520">
                  <c:v>100.2874149659864</c:v>
                </c:pt>
                <c:pt idx="521">
                  <c:v>100.3085808580858</c:v>
                </c:pt>
                <c:pt idx="522">
                  <c:v>100.30189936687771</c:v>
                </c:pt>
                <c:pt idx="523">
                  <c:v>100.29007116231786</c:v>
                </c:pt>
                <c:pt idx="524">
                  <c:v>100.28031604259705</c:v>
                </c:pt>
                <c:pt idx="525">
                  <c:v>100.30050083472455</c:v>
                </c:pt>
                <c:pt idx="526">
                  <c:v>100.31825577611454</c:v>
                </c:pt>
                <c:pt idx="527">
                  <c:v>100.28983050847458</c:v>
                </c:pt>
                <c:pt idx="528">
                  <c:v>100.26024011299435</c:v>
                </c:pt>
                <c:pt idx="529">
                  <c:v>100.26978041129313</c:v>
                </c:pt>
                <c:pt idx="530">
                  <c:v>100.26258359732489</c:v>
                </c:pt>
                <c:pt idx="531">
                  <c:v>100.26258359732489</c:v>
                </c:pt>
                <c:pt idx="532">
                  <c:v>100.26542776998598</c:v>
                </c:pt>
                <c:pt idx="533">
                  <c:v>100.25550817341862</c:v>
                </c:pt>
                <c:pt idx="534">
                  <c:v>100.25017895490336</c:v>
                </c:pt>
                <c:pt idx="535">
                  <c:v>100.2661996497373</c:v>
                </c:pt>
                <c:pt idx="536">
                  <c:v>100.28620102214651</c:v>
                </c:pt>
                <c:pt idx="537">
                  <c:v>100.23456339057363</c:v>
                </c:pt>
                <c:pt idx="538">
                  <c:v>100.24640287769785</c:v>
                </c:pt>
                <c:pt idx="539">
                  <c:v>100.2591937765205</c:v>
                </c:pt>
                <c:pt idx="540">
                  <c:v>100.2893487109905</c:v>
                </c:pt>
                <c:pt idx="541">
                  <c:v>100.31062849621586</c:v>
                </c:pt>
                <c:pt idx="542">
                  <c:v>100.3561770129072</c:v>
                </c:pt>
                <c:pt idx="543">
                  <c:v>100.33152520740268</c:v>
                </c:pt>
                <c:pt idx="544">
                  <c:v>100.32528180354268</c:v>
                </c:pt>
                <c:pt idx="545">
                  <c:v>100.32200647249191</c:v>
                </c:pt>
                <c:pt idx="546">
                  <c:v>100.30213191205863</c:v>
                </c:pt>
                <c:pt idx="547">
                  <c:v>100.3166992824527</c:v>
                </c:pt>
                <c:pt idx="548">
                  <c:v>100.24258857556038</c:v>
                </c:pt>
                <c:pt idx="549">
                  <c:v>100.23928830791576</c:v>
                </c:pt>
                <c:pt idx="550">
                  <c:v>100.26465426465427</c:v>
                </c:pt>
                <c:pt idx="551">
                  <c:v>100.28449453551913</c:v>
                </c:pt>
                <c:pt idx="552">
                  <c:v>100.28155006858711</c:v>
                </c:pt>
                <c:pt idx="553">
                  <c:v>100.29697986577182</c:v>
                </c:pt>
                <c:pt idx="554">
                  <c:v>100.28498293515358</c:v>
                </c:pt>
                <c:pt idx="555">
                  <c:v>100.2874149659864</c:v>
                </c:pt>
                <c:pt idx="556">
                  <c:v>100.2748355832468</c:v>
                </c:pt>
                <c:pt idx="557">
                  <c:v>100.28376068376069</c:v>
                </c:pt>
                <c:pt idx="558">
                  <c:v>100.26154388438492</c:v>
                </c:pt>
                <c:pt idx="559">
                  <c:v>100.26232394366197</c:v>
                </c:pt>
                <c:pt idx="560">
                  <c:v>100.26024011299435</c:v>
                </c:pt>
                <c:pt idx="561">
                  <c:v>100.24204052098408</c:v>
                </c:pt>
                <c:pt idx="562">
                  <c:v>100.23344310281742</c:v>
                </c:pt>
                <c:pt idx="563">
                  <c:v>100.25338560228083</c:v>
                </c:pt>
                <c:pt idx="564">
                  <c:v>100.27304903015371</c:v>
                </c:pt>
                <c:pt idx="565">
                  <c:v>100.25285306704707</c:v>
                </c:pt>
                <c:pt idx="566">
                  <c:v>100.24477289113194</c:v>
                </c:pt>
                <c:pt idx="567">
                  <c:v>100.24775583482945</c:v>
                </c:pt>
                <c:pt idx="568">
                  <c:v>100.26206410707995</c:v>
                </c:pt>
                <c:pt idx="569">
                  <c:v>100.23595915390226</c:v>
                </c:pt>
                <c:pt idx="570">
                  <c:v>100.23873546511628</c:v>
                </c:pt>
                <c:pt idx="571">
                  <c:v>100.23484295105916</c:v>
                </c:pt>
                <c:pt idx="572">
                  <c:v>100.25526998684725</c:v>
                </c:pt>
                <c:pt idx="573">
                  <c:v>100.28363822875706</c:v>
                </c:pt>
                <c:pt idx="574">
                  <c:v>100.27553772736704</c:v>
                </c:pt>
                <c:pt idx="575">
                  <c:v>100.33492063492064</c:v>
                </c:pt>
                <c:pt idx="576">
                  <c:v>100.3274478330658</c:v>
                </c:pt>
                <c:pt idx="577">
                  <c:v>100.33576410906785</c:v>
                </c:pt>
                <c:pt idx="578">
                  <c:v>100.33088470137336</c:v>
                </c:pt>
                <c:pt idx="579">
                  <c:v>100.30903693931398</c:v>
                </c:pt>
                <c:pt idx="580">
                  <c:v>100.32571612487931</c:v>
                </c:pt>
                <c:pt idx="581">
                  <c:v>100.33731890934396</c:v>
                </c:pt>
                <c:pt idx="582">
                  <c:v>100.33237731038878</c:v>
                </c:pt>
                <c:pt idx="583">
                  <c:v>100.32024659312135</c:v>
                </c:pt>
                <c:pt idx="584">
                  <c:v>100.34202261306532</c:v>
                </c:pt>
                <c:pt idx="585">
                  <c:v>100.36360874848117</c:v>
                </c:pt>
                <c:pt idx="586">
                  <c:v>100.36515151515151</c:v>
                </c:pt>
                <c:pt idx="587">
                  <c:v>100.35478903603327</c:v>
                </c:pt>
                <c:pt idx="588">
                  <c:v>100.34796140678493</c:v>
                </c:pt>
                <c:pt idx="589">
                  <c:v>100.35079020762318</c:v>
                </c:pt>
                <c:pt idx="590">
                  <c:v>100.348367029549</c:v>
                </c:pt>
                <c:pt idx="591">
                  <c:v>100.36954559133314</c:v>
                </c:pt>
                <c:pt idx="592">
                  <c:v>100.37815375482339</c:v>
                </c:pt>
                <c:pt idx="593">
                  <c:v>100.38054405677114</c:v>
                </c:pt>
                <c:pt idx="594">
                  <c:v>100.394858463316</c:v>
                </c:pt>
                <c:pt idx="595">
                  <c:v>100.38200589970502</c:v>
                </c:pt>
                <c:pt idx="596">
                  <c:v>100.37852269356274</c:v>
                </c:pt>
                <c:pt idx="597">
                  <c:v>100.38200589970502</c:v>
                </c:pt>
                <c:pt idx="598">
                  <c:v>100.3868890839918</c:v>
                </c:pt>
                <c:pt idx="599">
                  <c:v>100.3939832224472</c:v>
                </c:pt>
                <c:pt idx="600">
                  <c:v>100.40617913832199</c:v>
                </c:pt>
                <c:pt idx="601">
                  <c:v>100.40584231423709</c:v>
                </c:pt>
                <c:pt idx="602">
                  <c:v>100.37667360904493</c:v>
                </c:pt>
                <c:pt idx="603">
                  <c:v>100.38036083998817</c:v>
                </c:pt>
                <c:pt idx="604">
                  <c:v>100.39098837209302</c:v>
                </c:pt>
                <c:pt idx="605">
                  <c:v>100.39433362243423</c:v>
                </c:pt>
                <c:pt idx="606">
                  <c:v>100.39468361745161</c:v>
                </c:pt>
                <c:pt idx="607">
                  <c:v>100.39151902410688</c:v>
                </c:pt>
                <c:pt idx="608">
                  <c:v>100.38382352941177</c:v>
                </c:pt>
                <c:pt idx="609">
                  <c:v>100.38885647607934</c:v>
                </c:pt>
                <c:pt idx="610">
                  <c:v>100.3763024709735</c:v>
                </c:pt>
                <c:pt idx="611">
                  <c:v>100.37815375482339</c:v>
                </c:pt>
                <c:pt idx="612">
                  <c:v>100.36935580975316</c:v>
                </c:pt>
                <c:pt idx="613">
                  <c:v>100.38145851786241</c:v>
                </c:pt>
                <c:pt idx="614">
                  <c:v>100.40752262443439</c:v>
                </c:pt>
                <c:pt idx="615">
                  <c:v>100.39746908254241</c:v>
                </c:pt>
                <c:pt idx="616">
                  <c:v>100.39098837209302</c:v>
                </c:pt>
                <c:pt idx="617">
                  <c:v>100.3899242865463</c:v>
                </c:pt>
                <c:pt idx="618">
                  <c:v>100.37796912114014</c:v>
                </c:pt>
                <c:pt idx="619">
                  <c:v>100.37722948870392</c:v>
                </c:pt>
                <c:pt idx="620">
                  <c:v>100.37518640023859</c:v>
                </c:pt>
                <c:pt idx="621">
                  <c:v>100.36341537526587</c:v>
                </c:pt>
                <c:pt idx="622">
                  <c:v>100.37011425135297</c:v>
                </c:pt>
                <c:pt idx="623">
                  <c:v>100.38200589970502</c:v>
                </c:pt>
                <c:pt idx="624">
                  <c:v>100.38563049853373</c:v>
                </c:pt>
                <c:pt idx="625">
                  <c:v>100.39063408958697</c:v>
                </c:pt>
                <c:pt idx="626">
                  <c:v>100.3931054461182</c:v>
                </c:pt>
                <c:pt idx="627">
                  <c:v>100.4046604148906</c:v>
                </c:pt>
                <c:pt idx="628">
                  <c:v>100.41805555555555</c:v>
                </c:pt>
                <c:pt idx="629">
                  <c:v>100.43363071100298</c:v>
                </c:pt>
                <c:pt idx="630">
                  <c:v>100.43347755543537</c:v>
                </c:pt>
                <c:pt idx="631">
                  <c:v>100.44911911648698</c:v>
                </c:pt>
                <c:pt idx="632">
                  <c:v>100.44795783926219</c:v>
                </c:pt>
                <c:pt idx="633">
                  <c:v>100.44163113006397</c:v>
                </c:pt>
                <c:pt idx="634">
                  <c:v>100.44148227139429</c:v>
                </c:pt>
                <c:pt idx="635">
                  <c:v>100.45300261096605</c:v>
                </c:pt>
                <c:pt idx="636">
                  <c:v>100.44488606253312</c:v>
                </c:pt>
                <c:pt idx="637">
                  <c:v>100.45056386047732</c:v>
                </c:pt>
                <c:pt idx="638">
                  <c:v>100.4651519019658</c:v>
                </c:pt>
                <c:pt idx="639">
                  <c:v>100.4693515704154</c:v>
                </c:pt>
                <c:pt idx="640">
                  <c:v>100.46610601427115</c:v>
                </c:pt>
                <c:pt idx="641">
                  <c:v>100.45471108797501</c:v>
                </c:pt>
                <c:pt idx="642">
                  <c:v>100.44708366323569</c:v>
                </c:pt>
                <c:pt idx="643">
                  <c:v>100.45513654096229</c:v>
                </c:pt>
                <c:pt idx="644">
                  <c:v>100.45300261096605</c:v>
                </c:pt>
                <c:pt idx="645">
                  <c:v>100.43439524838013</c:v>
                </c:pt>
                <c:pt idx="646">
                  <c:v>100.46664969450102</c:v>
                </c:pt>
                <c:pt idx="647">
                  <c:v>100.45640892579138</c:v>
                </c:pt>
                <c:pt idx="648">
                  <c:v>100.40415244596132</c:v>
                </c:pt>
                <c:pt idx="649">
                  <c:v>100.4198283024093</c:v>
                </c:pt>
                <c:pt idx="650">
                  <c:v>100.39063408958697</c:v>
                </c:pt>
                <c:pt idx="651">
                  <c:v>100.39151902410688</c:v>
                </c:pt>
                <c:pt idx="652">
                  <c:v>100.40313390313391</c:v>
                </c:pt>
                <c:pt idx="653">
                  <c:v>100.39850703416595</c:v>
                </c:pt>
                <c:pt idx="654">
                  <c:v>100.3953823953824</c:v>
                </c:pt>
                <c:pt idx="655">
                  <c:v>100.41118605958404</c:v>
                </c:pt>
                <c:pt idx="656">
                  <c:v>100.42837653478854</c:v>
                </c:pt>
                <c:pt idx="657">
                  <c:v>100.4441496418148</c:v>
                </c:pt>
                <c:pt idx="658">
                  <c:v>100.45200104629872</c:v>
                </c:pt>
                <c:pt idx="659">
                  <c:v>100.45541980764231</c:v>
                </c:pt>
                <c:pt idx="660">
                  <c:v>100.46419437340154</c:v>
                </c:pt>
                <c:pt idx="661">
                  <c:v>100.46446830265849</c:v>
                </c:pt>
                <c:pt idx="662">
                  <c:v>100.46254489481785</c:v>
                </c:pt>
                <c:pt idx="663">
                  <c:v>100.4314789687924</c:v>
                </c:pt>
                <c:pt idx="664">
                  <c:v>100.4063474071975</c:v>
                </c:pt>
                <c:pt idx="665">
                  <c:v>100.40398293029872</c:v>
                </c:pt>
                <c:pt idx="666">
                  <c:v>100.40279361459521</c:v>
                </c:pt>
                <c:pt idx="667">
                  <c:v>100.41724617524339</c:v>
                </c:pt>
                <c:pt idx="668">
                  <c:v>100.41821716189948</c:v>
                </c:pt>
                <c:pt idx="669">
                  <c:v>100.42790824685964</c:v>
                </c:pt>
                <c:pt idx="670">
                  <c:v>100.44177990940581</c:v>
                </c:pt>
                <c:pt idx="671">
                  <c:v>100.44664553618595</c:v>
                </c:pt>
                <c:pt idx="672">
                  <c:v>100.45099580712788</c:v>
                </c:pt>
                <c:pt idx="673">
                  <c:v>100.44708366323569</c:v>
                </c:pt>
                <c:pt idx="674">
                  <c:v>100.52310493967676</c:v>
                </c:pt>
                <c:pt idx="675">
                  <c:v>100.52751465944971</c:v>
                </c:pt>
                <c:pt idx="676">
                  <c:v>100.49026763990268</c:v>
                </c:pt>
                <c:pt idx="677">
                  <c:v>100.50130921209237</c:v>
                </c:pt>
                <c:pt idx="678">
                  <c:v>100.49359439207154</c:v>
                </c:pt>
                <c:pt idx="679">
                  <c:v>100.49916327994262</c:v>
                </c:pt>
                <c:pt idx="680">
                  <c:v>100.48271604938272</c:v>
                </c:pt>
                <c:pt idx="681">
                  <c:v>100.49952221691352</c:v>
                </c:pt>
                <c:pt idx="682">
                  <c:v>100.51938518008717</c:v>
                </c:pt>
                <c:pt idx="683">
                  <c:v>100.52114285714286</c:v>
                </c:pt>
                <c:pt idx="684">
                  <c:v>100.51616628175519</c:v>
                </c:pt>
                <c:pt idx="685">
                  <c:v>100.54046940118447</c:v>
                </c:pt>
                <c:pt idx="686">
                  <c:v>100.53905390539055</c:v>
                </c:pt>
                <c:pt idx="687">
                  <c:v>100.55397061954439</c:v>
                </c:pt>
                <c:pt idx="688">
                  <c:v>100.56199038260506</c:v>
                </c:pt>
                <c:pt idx="689">
                  <c:v>100.58258617254432</c:v>
                </c:pt>
                <c:pt idx="690">
                  <c:v>100.58929621642815</c:v>
                </c:pt>
                <c:pt idx="691">
                  <c:v>100.58457267499504</c:v>
                </c:pt>
                <c:pt idx="692">
                  <c:v>100.59711538461538</c:v>
                </c:pt>
                <c:pt idx="693">
                  <c:v>100.5908203125</c:v>
                </c:pt>
                <c:pt idx="694">
                  <c:v>100.61867491809247</c:v>
                </c:pt>
                <c:pt idx="695">
                  <c:v>100.61196517873681</c:v>
                </c:pt>
                <c:pt idx="696">
                  <c:v>100.60679429429429</c:v>
                </c:pt>
                <c:pt idx="697">
                  <c:v>100.61282572537424</c:v>
                </c:pt>
                <c:pt idx="698">
                  <c:v>100.61594867094409</c:v>
                </c:pt>
                <c:pt idx="699">
                  <c:v>100.64789915966387</c:v>
                </c:pt>
                <c:pt idx="700">
                  <c:v>100.62259052422986</c:v>
                </c:pt>
                <c:pt idx="701">
                  <c:v>100.62446448097226</c:v>
                </c:pt>
                <c:pt idx="702">
                  <c:v>100.69812680115274</c:v>
                </c:pt>
                <c:pt idx="703">
                  <c:v>100.72708561304778</c:v>
                </c:pt>
                <c:pt idx="704">
                  <c:v>100.7613895216401</c:v>
                </c:pt>
                <c:pt idx="705">
                  <c:v>100.74831811629025</c:v>
                </c:pt>
                <c:pt idx="706">
                  <c:v>100.75307041323873</c:v>
                </c:pt>
                <c:pt idx="707">
                  <c:v>100.77289480530743</c:v>
                </c:pt>
                <c:pt idx="708">
                  <c:v>100.77103825136612</c:v>
                </c:pt>
                <c:pt idx="709">
                  <c:v>100.76706693351123</c:v>
                </c:pt>
                <c:pt idx="710">
                  <c:v>100.7608174449138</c:v>
                </c:pt>
                <c:pt idx="711">
                  <c:v>100.75985786336543</c:v>
                </c:pt>
                <c:pt idx="712">
                  <c:v>100.77407527229592</c:v>
                </c:pt>
                <c:pt idx="713">
                  <c:v>100.78419859909353</c:v>
                </c:pt>
                <c:pt idx="714">
                  <c:v>100.81012199322059</c:v>
                </c:pt>
                <c:pt idx="715">
                  <c:v>100.79976870657275</c:v>
                </c:pt>
                <c:pt idx="716">
                  <c:v>100.80038113387327</c:v>
                </c:pt>
                <c:pt idx="717">
                  <c:v>100.78569967266776</c:v>
                </c:pt>
                <c:pt idx="718">
                  <c:v>100.7737336645426</c:v>
                </c:pt>
                <c:pt idx="719">
                  <c:v>100.77910164487558</c:v>
                </c:pt>
                <c:pt idx="720">
                  <c:v>100.78032924399706</c:v>
                </c:pt>
                <c:pt idx="721">
                  <c:v>100.78479712378018</c:v>
                </c:pt>
                <c:pt idx="722">
                  <c:v>100.79468835750686</c:v>
                </c:pt>
                <c:pt idx="723">
                  <c:v>100.79060469765118</c:v>
                </c:pt>
                <c:pt idx="724">
                  <c:v>100.77823647718853</c:v>
                </c:pt>
                <c:pt idx="725">
                  <c:v>100.78563388928681</c:v>
                </c:pt>
                <c:pt idx="726">
                  <c:v>100.78661641882258</c:v>
                </c:pt>
                <c:pt idx="727">
                  <c:v>100.79112662013958</c:v>
                </c:pt>
                <c:pt idx="728">
                  <c:v>100.79500978473581</c:v>
                </c:pt>
                <c:pt idx="729">
                  <c:v>100.79736918464069</c:v>
                </c:pt>
                <c:pt idx="730">
                  <c:v>100.79986625907527</c:v>
                </c:pt>
                <c:pt idx="731">
                  <c:v>100.79185295578738</c:v>
                </c:pt>
                <c:pt idx="732">
                  <c:v>100.78955298844802</c:v>
                </c:pt>
                <c:pt idx="733">
                  <c:v>100.79357572174598</c:v>
                </c:pt>
                <c:pt idx="734">
                  <c:v>100.79541015625</c:v>
                </c:pt>
                <c:pt idx="735">
                  <c:v>100.80183503594401</c:v>
                </c:pt>
                <c:pt idx="736">
                  <c:v>100.80823798627003</c:v>
                </c:pt>
                <c:pt idx="737">
                  <c:v>100.80486214605067</c:v>
                </c:pt>
                <c:pt idx="738">
                  <c:v>100.82121369870028</c:v>
                </c:pt>
                <c:pt idx="739">
                  <c:v>100.82218638601256</c:v>
                </c:pt>
                <c:pt idx="740">
                  <c:v>100.81820548420687</c:v>
                </c:pt>
                <c:pt idx="741">
                  <c:v>100.82554750603714</c:v>
                </c:pt>
                <c:pt idx="742">
                  <c:v>100.82772798289615</c:v>
                </c:pt>
                <c:pt idx="743">
                  <c:v>100.83029566626165</c:v>
                </c:pt>
                <c:pt idx="744">
                  <c:v>100.82865788828003</c:v>
                </c:pt>
                <c:pt idx="745">
                  <c:v>100.83321391608948</c:v>
                </c:pt>
                <c:pt idx="746">
                  <c:v>100.83872209391839</c:v>
                </c:pt>
                <c:pt idx="747">
                  <c:v>100.83537639478233</c:v>
                </c:pt>
                <c:pt idx="748">
                  <c:v>100.80788629069234</c:v>
                </c:pt>
                <c:pt idx="749">
                  <c:v>100.82577962577963</c:v>
                </c:pt>
                <c:pt idx="750">
                  <c:v>100.82399395110477</c:v>
                </c:pt>
                <c:pt idx="751">
                  <c:v>100.82494986631016</c:v>
                </c:pt>
                <c:pt idx="752">
                  <c:v>100.82888181001388</c:v>
                </c:pt>
                <c:pt idx="753">
                  <c:v>100.82931399706698</c:v>
                </c:pt>
                <c:pt idx="754">
                  <c:v>100.82785538208709</c:v>
                </c:pt>
                <c:pt idx="755">
                  <c:v>100.83114370919643</c:v>
                </c:pt>
                <c:pt idx="756">
                  <c:v>100.83808640544092</c:v>
                </c:pt>
                <c:pt idx="757">
                  <c:v>100.84437676422523</c:v>
                </c:pt>
                <c:pt idx="758">
                  <c:v>100.84097464703203</c:v>
                </c:pt>
                <c:pt idx="759">
                  <c:v>100.84398272266905</c:v>
                </c:pt>
                <c:pt idx="760">
                  <c:v>100.84544448542974</c:v>
                </c:pt>
                <c:pt idx="761">
                  <c:v>100.8481884057971</c:v>
                </c:pt>
                <c:pt idx="762">
                  <c:v>100.8551976776334</c:v>
                </c:pt>
                <c:pt idx="763">
                  <c:v>100.8526204713331</c:v>
                </c:pt>
                <c:pt idx="764">
                  <c:v>100.84392460701781</c:v>
                </c:pt>
                <c:pt idx="765">
                  <c:v>100.86350013031014</c:v>
                </c:pt>
                <c:pt idx="766">
                  <c:v>100.86307189542484</c:v>
                </c:pt>
                <c:pt idx="767">
                  <c:v>100.85785045460713</c:v>
                </c:pt>
                <c:pt idx="768">
                  <c:v>100.85594444062436</c:v>
                </c:pt>
                <c:pt idx="769">
                  <c:v>100.8496699196326</c:v>
                </c:pt>
                <c:pt idx="770">
                  <c:v>100.85000357986682</c:v>
                </c:pt>
                <c:pt idx="771">
                  <c:v>100.85246478873239</c:v>
                </c:pt>
                <c:pt idx="772">
                  <c:v>100.85541752933057</c:v>
                </c:pt>
                <c:pt idx="773">
                  <c:v>100.85994116860543</c:v>
                </c:pt>
                <c:pt idx="774">
                  <c:v>100.85831191667793</c:v>
                </c:pt>
                <c:pt idx="775">
                  <c:v>100.86664544875875</c:v>
                </c:pt>
                <c:pt idx="776">
                  <c:v>100.87055036177929</c:v>
                </c:pt>
                <c:pt idx="777">
                  <c:v>100.87242723176227</c:v>
                </c:pt>
                <c:pt idx="778">
                  <c:v>100.87455840967607</c:v>
                </c:pt>
                <c:pt idx="779">
                  <c:v>100.87413637729048</c:v>
                </c:pt>
                <c:pt idx="780">
                  <c:v>100.8738407804408</c:v>
                </c:pt>
                <c:pt idx="781">
                  <c:v>100.87603550295859</c:v>
                </c:pt>
                <c:pt idx="782">
                  <c:v>100.87599147626376</c:v>
                </c:pt>
                <c:pt idx="783">
                  <c:v>100.87721395834066</c:v>
                </c:pt>
                <c:pt idx="784">
                  <c:v>100.87671394103454</c:v>
                </c:pt>
                <c:pt idx="785">
                  <c:v>100.87452835838774</c:v>
                </c:pt>
                <c:pt idx="786">
                  <c:v>100.86963285625389</c:v>
                </c:pt>
                <c:pt idx="787">
                  <c:v>100.87407585502194</c:v>
                </c:pt>
                <c:pt idx="788">
                  <c:v>100.87188111545989</c:v>
                </c:pt>
                <c:pt idx="789">
                  <c:v>100.87297641423635</c:v>
                </c:pt>
                <c:pt idx="790">
                  <c:v>100.87344448471669</c:v>
                </c:pt>
                <c:pt idx="791">
                  <c:v>100.87423460199304</c:v>
                </c:pt>
                <c:pt idx="792">
                  <c:v>100.8739698008783</c:v>
                </c:pt>
                <c:pt idx="793">
                  <c:v>100.87396070221035</c:v>
                </c:pt>
                <c:pt idx="794">
                  <c:v>100.88225044964028</c:v>
                </c:pt>
                <c:pt idx="795">
                  <c:v>100.88576258247451</c:v>
                </c:pt>
                <c:pt idx="796">
                  <c:v>100.88432444370824</c:v>
                </c:pt>
                <c:pt idx="797">
                  <c:v>100.88509844786925</c:v>
                </c:pt>
                <c:pt idx="798">
                  <c:v>100.88690225547674</c:v>
                </c:pt>
                <c:pt idx="799">
                  <c:v>100.88894189991518</c:v>
                </c:pt>
                <c:pt idx="800">
                  <c:v>100.89025667888947</c:v>
                </c:pt>
                <c:pt idx="801">
                  <c:v>100.89165847856441</c:v>
                </c:pt>
                <c:pt idx="802">
                  <c:v>100.89145077720207</c:v>
                </c:pt>
                <c:pt idx="803">
                  <c:v>100.8842221608179</c:v>
                </c:pt>
                <c:pt idx="804">
                  <c:v>100.87911834285384</c:v>
                </c:pt>
                <c:pt idx="805">
                  <c:v>100.88424135263566</c:v>
                </c:pt>
                <c:pt idx="806">
                  <c:v>100.88556289943737</c:v>
                </c:pt>
                <c:pt idx="807">
                  <c:v>100.88010072683569</c:v>
                </c:pt>
                <c:pt idx="808">
                  <c:v>100.87587391871075</c:v>
                </c:pt>
                <c:pt idx="809">
                  <c:v>100.87885271497137</c:v>
                </c:pt>
                <c:pt idx="810">
                  <c:v>100.88276440962507</c:v>
                </c:pt>
                <c:pt idx="811">
                  <c:v>100.88342977965725</c:v>
                </c:pt>
                <c:pt idx="812">
                  <c:v>100.88610416440143</c:v>
                </c:pt>
                <c:pt idx="813">
                  <c:v>100.88586838091088</c:v>
                </c:pt>
                <c:pt idx="814">
                  <c:v>100.88539512696798</c:v>
                </c:pt>
                <c:pt idx="815">
                  <c:v>100.88576881134134</c:v>
                </c:pt>
                <c:pt idx="816">
                  <c:v>100.87862108922364</c:v>
                </c:pt>
                <c:pt idx="817">
                  <c:v>100.87787105048385</c:v>
                </c:pt>
                <c:pt idx="818">
                  <c:v>100.8726443768997</c:v>
                </c:pt>
                <c:pt idx="819">
                  <c:v>100.8790066416402</c:v>
                </c:pt>
                <c:pt idx="820">
                  <c:v>100.87651774136508</c:v>
                </c:pt>
                <c:pt idx="821">
                  <c:v>100.87136190593148</c:v>
                </c:pt>
                <c:pt idx="822">
                  <c:v>100.87262114671368</c:v>
                </c:pt>
                <c:pt idx="823">
                  <c:v>100.86842105263158</c:v>
                </c:pt>
                <c:pt idx="824">
                  <c:v>100.86901338001751</c:v>
                </c:pt>
                <c:pt idx="825">
                  <c:v>100.87081457729543</c:v>
                </c:pt>
                <c:pt idx="826">
                  <c:v>100.88042237442923</c:v>
                </c:pt>
                <c:pt idx="827">
                  <c:v>100.88151122674057</c:v>
                </c:pt>
                <c:pt idx="828">
                  <c:v>100.86140513363324</c:v>
                </c:pt>
                <c:pt idx="829">
                  <c:v>100.85011304123859</c:v>
                </c:pt>
                <c:pt idx="830">
                  <c:v>100.84813338166002</c:v>
                </c:pt>
                <c:pt idx="831">
                  <c:v>100.85521569061079</c:v>
                </c:pt>
                <c:pt idx="832">
                  <c:v>100.84796806966618</c:v>
                </c:pt>
                <c:pt idx="833">
                  <c:v>100.84895457822638</c:v>
                </c:pt>
                <c:pt idx="834">
                  <c:v>100.84774709302326</c:v>
                </c:pt>
                <c:pt idx="835">
                  <c:v>100.84533038021411</c:v>
                </c:pt>
                <c:pt idx="836">
                  <c:v>100.82768547458464</c:v>
                </c:pt>
                <c:pt idx="837">
                  <c:v>100.83384883813149</c:v>
                </c:pt>
                <c:pt idx="838">
                  <c:v>100.82701676162166</c:v>
                </c:pt>
                <c:pt idx="839">
                  <c:v>100.82841932841933</c:v>
                </c:pt>
                <c:pt idx="840">
                  <c:v>100.82740154885484</c:v>
                </c:pt>
                <c:pt idx="841">
                  <c:v>100.82663025488249</c:v>
                </c:pt>
                <c:pt idx="842">
                  <c:v>100.82614107883818</c:v>
                </c:pt>
                <c:pt idx="843">
                  <c:v>100.83496139908618</c:v>
                </c:pt>
                <c:pt idx="844">
                  <c:v>100.83540226272784</c:v>
                </c:pt>
                <c:pt idx="845">
                  <c:v>100.83127969718933</c:v>
                </c:pt>
                <c:pt idx="846">
                  <c:v>100.85521769177609</c:v>
                </c:pt>
                <c:pt idx="847">
                  <c:v>100.84922634041023</c:v>
                </c:pt>
                <c:pt idx="848">
                  <c:v>100.85086845102505</c:v>
                </c:pt>
                <c:pt idx="849">
                  <c:v>100.84748107163658</c:v>
                </c:pt>
                <c:pt idx="850">
                  <c:v>100.85204802259886</c:v>
                </c:pt>
                <c:pt idx="851">
                  <c:v>100.85266193121879</c:v>
                </c:pt>
                <c:pt idx="852">
                  <c:v>100.8499820981024</c:v>
                </c:pt>
                <c:pt idx="853">
                  <c:v>100.85793720756764</c:v>
                </c:pt>
                <c:pt idx="854">
                  <c:v>100.85811424004768</c:v>
                </c:pt>
                <c:pt idx="855">
                  <c:v>100.85838853589293</c:v>
                </c:pt>
                <c:pt idx="856">
                  <c:v>100.86258690804145</c:v>
                </c:pt>
                <c:pt idx="857">
                  <c:v>100.85842681443438</c:v>
                </c:pt>
                <c:pt idx="858">
                  <c:v>100.85112279704377</c:v>
                </c:pt>
                <c:pt idx="859">
                  <c:v>100.85374197151634</c:v>
                </c:pt>
                <c:pt idx="860">
                  <c:v>100.85405781957506</c:v>
                </c:pt>
                <c:pt idx="861">
                  <c:v>100.86163397397794</c:v>
                </c:pt>
                <c:pt idx="862">
                  <c:v>100.86527331189711</c:v>
                </c:pt>
                <c:pt idx="863">
                  <c:v>100.86136844891477</c:v>
                </c:pt>
                <c:pt idx="864">
                  <c:v>100.86256887955918</c:v>
                </c:pt>
                <c:pt idx="865">
                  <c:v>100.86073164084053</c:v>
                </c:pt>
                <c:pt idx="866">
                  <c:v>100.86042638241173</c:v>
                </c:pt>
                <c:pt idx="867">
                  <c:v>100.85992243915486</c:v>
                </c:pt>
                <c:pt idx="868">
                  <c:v>100.85748299319728</c:v>
                </c:pt>
                <c:pt idx="869">
                  <c:v>100.85973486877343</c:v>
                </c:pt>
                <c:pt idx="870">
                  <c:v>100.8615150713908</c:v>
                </c:pt>
                <c:pt idx="871">
                  <c:v>100.85799498407104</c:v>
                </c:pt>
                <c:pt idx="872">
                  <c:v>100.85623112819106</c:v>
                </c:pt>
                <c:pt idx="873">
                  <c:v>100.84964834218458</c:v>
                </c:pt>
                <c:pt idx="874">
                  <c:v>100.8700936317976</c:v>
                </c:pt>
                <c:pt idx="875">
                  <c:v>100.87235727776762</c:v>
                </c:pt>
                <c:pt idx="876">
                  <c:v>100.87746388255249</c:v>
                </c:pt>
                <c:pt idx="877">
                  <c:v>100.87677195459091</c:v>
                </c:pt>
                <c:pt idx="878">
                  <c:v>100.88142404346841</c:v>
                </c:pt>
                <c:pt idx="879">
                  <c:v>100.88267249103943</c:v>
                </c:pt>
                <c:pt idx="880">
                  <c:v>100.88457300275482</c:v>
                </c:pt>
                <c:pt idx="881">
                  <c:v>100.88001145475373</c:v>
                </c:pt>
                <c:pt idx="882">
                  <c:v>100.8764886216248</c:v>
                </c:pt>
                <c:pt idx="883">
                  <c:v>100.88255409799305</c:v>
                </c:pt>
                <c:pt idx="884">
                  <c:v>100.88044284654454</c:v>
                </c:pt>
                <c:pt idx="885">
                  <c:v>100.88541894552614</c:v>
                </c:pt>
                <c:pt idx="886">
                  <c:v>100.88451573783144</c:v>
                </c:pt>
                <c:pt idx="887">
                  <c:v>100.88171193043871</c:v>
                </c:pt>
                <c:pt idx="888">
                  <c:v>100.8827840877301</c:v>
                </c:pt>
                <c:pt idx="889">
                  <c:v>100.87988762756565</c:v>
                </c:pt>
                <c:pt idx="890">
                  <c:v>100.88255409799305</c:v>
                </c:pt>
                <c:pt idx="891">
                  <c:v>100.88768562697689</c:v>
                </c:pt>
                <c:pt idx="892">
                  <c:v>100.89341676841677</c:v>
                </c:pt>
                <c:pt idx="893">
                  <c:v>100.89344929305258</c:v>
                </c:pt>
                <c:pt idx="894">
                  <c:v>100.89274011877944</c:v>
                </c:pt>
                <c:pt idx="895">
                  <c:v>100.89505585332866</c:v>
                </c:pt>
                <c:pt idx="896">
                  <c:v>100.89431468496191</c:v>
                </c:pt>
                <c:pt idx="897">
                  <c:v>100.89715267550319</c:v>
                </c:pt>
                <c:pt idx="898">
                  <c:v>100.89180954348275</c:v>
                </c:pt>
                <c:pt idx="899">
                  <c:v>100.90022384150117</c:v>
                </c:pt>
                <c:pt idx="900">
                  <c:v>100.90004770992367</c:v>
                </c:pt>
                <c:pt idx="901">
                  <c:v>100.90374454399264</c:v>
                </c:pt>
                <c:pt idx="902">
                  <c:v>100.91552419354839</c:v>
                </c:pt>
                <c:pt idx="903">
                  <c:v>100.91719367588932</c:v>
                </c:pt>
                <c:pt idx="904">
                  <c:v>100.91704284469787</c:v>
                </c:pt>
                <c:pt idx="905">
                  <c:v>100.91442343041543</c:v>
                </c:pt>
                <c:pt idx="906">
                  <c:v>100.91638729246488</c:v>
                </c:pt>
                <c:pt idx="907">
                  <c:v>100.91779155548579</c:v>
                </c:pt>
                <c:pt idx="908">
                  <c:v>100.91708224491411</c:v>
                </c:pt>
                <c:pt idx="909">
                  <c:v>100.9171740333676</c:v>
                </c:pt>
                <c:pt idx="910">
                  <c:v>100.914910036148</c:v>
                </c:pt>
                <c:pt idx="911">
                  <c:v>100.91228437447664</c:v>
                </c:pt>
                <c:pt idx="912">
                  <c:v>100.91062667974916</c:v>
                </c:pt>
                <c:pt idx="913">
                  <c:v>100.91324692533853</c:v>
                </c:pt>
                <c:pt idx="914">
                  <c:v>100.91189705202069</c:v>
                </c:pt>
                <c:pt idx="915">
                  <c:v>100.90929557951249</c:v>
                </c:pt>
                <c:pt idx="916">
                  <c:v>100.91046243268656</c:v>
                </c:pt>
                <c:pt idx="917">
                  <c:v>100.91272287952008</c:v>
                </c:pt>
                <c:pt idx="918">
                  <c:v>100.91116858887381</c:v>
                </c:pt>
                <c:pt idx="919">
                  <c:v>100.91081690860329</c:v>
                </c:pt>
                <c:pt idx="920">
                  <c:v>100.9084713181004</c:v>
                </c:pt>
                <c:pt idx="921">
                  <c:v>100.90484625516646</c:v>
                </c:pt>
                <c:pt idx="922">
                  <c:v>100.90496280166938</c:v>
                </c:pt>
                <c:pt idx="923">
                  <c:v>100.90162471825695</c:v>
                </c:pt>
                <c:pt idx="924">
                  <c:v>100.89894848543315</c:v>
                </c:pt>
                <c:pt idx="925">
                  <c:v>100.90135141498328</c:v>
                </c:pt>
                <c:pt idx="926">
                  <c:v>100.89949628208204</c:v>
                </c:pt>
                <c:pt idx="927">
                  <c:v>100.90344287228649</c:v>
                </c:pt>
                <c:pt idx="928">
                  <c:v>100.90902774762256</c:v>
                </c:pt>
                <c:pt idx="929">
                  <c:v>100.90705412599823</c:v>
                </c:pt>
                <c:pt idx="930">
                  <c:v>100.90128401460714</c:v>
                </c:pt>
                <c:pt idx="931">
                  <c:v>100.89904587509638</c:v>
                </c:pt>
                <c:pt idx="932">
                  <c:v>100.902766174696</c:v>
                </c:pt>
                <c:pt idx="933">
                  <c:v>100.90342506799428</c:v>
                </c:pt>
                <c:pt idx="934">
                  <c:v>100.89739948087565</c:v>
                </c:pt>
                <c:pt idx="935">
                  <c:v>100.89719305132986</c:v>
                </c:pt>
                <c:pt idx="936">
                  <c:v>100.89423999192286</c:v>
                </c:pt>
                <c:pt idx="937">
                  <c:v>100.89196018771595</c:v>
                </c:pt>
                <c:pt idx="938">
                  <c:v>100.89478177891618</c:v>
                </c:pt>
                <c:pt idx="939">
                  <c:v>100.89425600646074</c:v>
                </c:pt>
                <c:pt idx="940">
                  <c:v>100.89749486251101</c:v>
                </c:pt>
                <c:pt idx="941">
                  <c:v>100.90418038785218</c:v>
                </c:pt>
                <c:pt idx="942">
                  <c:v>100.89927400355786</c:v>
                </c:pt>
                <c:pt idx="943">
                  <c:v>100.89921100740884</c:v>
                </c:pt>
                <c:pt idx="944">
                  <c:v>100.8951713785339</c:v>
                </c:pt>
                <c:pt idx="945">
                  <c:v>100.89446375497457</c:v>
                </c:pt>
                <c:pt idx="946">
                  <c:v>100.89875314131065</c:v>
                </c:pt>
                <c:pt idx="947">
                  <c:v>100.8992255519746</c:v>
                </c:pt>
                <c:pt idx="948">
                  <c:v>100.89914793241226</c:v>
                </c:pt>
                <c:pt idx="949">
                  <c:v>100.90066853160116</c:v>
                </c:pt>
                <c:pt idx="950">
                  <c:v>100.90328239693459</c:v>
                </c:pt>
                <c:pt idx="951">
                  <c:v>100.8989289849479</c:v>
                </c:pt>
                <c:pt idx="952">
                  <c:v>100.89595232182766</c:v>
                </c:pt>
                <c:pt idx="953">
                  <c:v>100.88269220001119</c:v>
                </c:pt>
                <c:pt idx="954">
                  <c:v>100.88505431800725</c:v>
                </c:pt>
                <c:pt idx="955">
                  <c:v>100.88655439432502</c:v>
                </c:pt>
                <c:pt idx="956">
                  <c:v>100.88982961716449</c:v>
                </c:pt>
                <c:pt idx="957">
                  <c:v>100.89009547791417</c:v>
                </c:pt>
                <c:pt idx="958">
                  <c:v>100.88891245559149</c:v>
                </c:pt>
                <c:pt idx="959">
                  <c:v>100.89063478805596</c:v>
                </c:pt>
                <c:pt idx="960">
                  <c:v>100.8931613034831</c:v>
                </c:pt>
                <c:pt idx="961">
                  <c:v>100.89272913466462</c:v>
                </c:pt>
                <c:pt idx="962">
                  <c:v>100.89496114314365</c:v>
                </c:pt>
                <c:pt idx="963">
                  <c:v>100.89774502147598</c:v>
                </c:pt>
                <c:pt idx="964">
                  <c:v>100.89893873613121</c:v>
                </c:pt>
                <c:pt idx="965">
                  <c:v>100.90097371903951</c:v>
                </c:pt>
                <c:pt idx="966">
                  <c:v>100.90035197869102</c:v>
                </c:pt>
                <c:pt idx="967">
                  <c:v>100.90035197869102</c:v>
                </c:pt>
                <c:pt idx="968">
                  <c:v>100.89916734851037</c:v>
                </c:pt>
                <c:pt idx="969">
                  <c:v>100.89765510503176</c:v>
                </c:pt>
                <c:pt idx="970">
                  <c:v>100.89777495852445</c:v>
                </c:pt>
                <c:pt idx="971">
                  <c:v>100.89729888720035</c:v>
                </c:pt>
                <c:pt idx="972">
                  <c:v>100.89874335427743</c:v>
                </c:pt>
                <c:pt idx="973">
                  <c:v>100.89936158254513</c:v>
                </c:pt>
                <c:pt idx="974">
                  <c:v>100.89795918367346</c:v>
                </c:pt>
                <c:pt idx="975">
                  <c:v>100.8964409293129</c:v>
                </c:pt>
                <c:pt idx="976">
                  <c:v>100.89753998141536</c:v>
                </c:pt>
                <c:pt idx="977">
                  <c:v>100.89706171383648</c:v>
                </c:pt>
                <c:pt idx="978">
                  <c:v>100.89850789652165</c:v>
                </c:pt>
                <c:pt idx="979">
                  <c:v>100.9067272160634</c:v>
                </c:pt>
                <c:pt idx="980">
                  <c:v>100.90956964647991</c:v>
                </c:pt>
                <c:pt idx="981">
                  <c:v>100.90775801338499</c:v>
                </c:pt>
                <c:pt idx="982">
                  <c:v>100.90802932525571</c:v>
                </c:pt>
                <c:pt idx="983">
                  <c:v>100.90875038111416</c:v>
                </c:pt>
                <c:pt idx="984">
                  <c:v>100.91168535536633</c:v>
                </c:pt>
                <c:pt idx="985">
                  <c:v>100.90989247311828</c:v>
                </c:pt>
                <c:pt idx="986">
                  <c:v>100.91156270183333</c:v>
                </c:pt>
                <c:pt idx="987">
                  <c:v>100.91107809847199</c:v>
                </c:pt>
                <c:pt idx="988">
                  <c:v>100.91236509662846</c:v>
                </c:pt>
                <c:pt idx="989">
                  <c:v>100.91273015079564</c:v>
                </c:pt>
                <c:pt idx="990">
                  <c:v>100.91260637410312</c:v>
                </c:pt>
                <c:pt idx="991">
                  <c:v>100.90868475536668</c:v>
                </c:pt>
                <c:pt idx="992">
                  <c:v>100.90861504907306</c:v>
                </c:pt>
                <c:pt idx="993">
                  <c:v>100.9059103565975</c:v>
                </c:pt>
                <c:pt idx="994">
                  <c:v>100.90436846670013</c:v>
                </c:pt>
                <c:pt idx="995">
                  <c:v>100.90607908186138</c:v>
                </c:pt>
                <c:pt idx="996">
                  <c:v>100.90453841246696</c:v>
                </c:pt>
                <c:pt idx="997">
                  <c:v>100.90395635630129</c:v>
                </c:pt>
                <c:pt idx="998">
                  <c:v>100.90758711954125</c:v>
                </c:pt>
                <c:pt idx="999">
                  <c:v>100.90459058202022</c:v>
                </c:pt>
                <c:pt idx="1000">
                  <c:v>100.9035273531037</c:v>
                </c:pt>
                <c:pt idx="1001">
                  <c:v>100.902739090065</c:v>
                </c:pt>
                <c:pt idx="1002">
                  <c:v>100.9047813835106</c:v>
                </c:pt>
                <c:pt idx="1003">
                  <c:v>100.90500589462229</c:v>
                </c:pt>
                <c:pt idx="1004">
                  <c:v>100.90459058202022</c:v>
                </c:pt>
                <c:pt idx="1005">
                  <c:v>100.9058384646501</c:v>
                </c:pt>
                <c:pt idx="1006">
                  <c:v>100.90628075512213</c:v>
                </c:pt>
                <c:pt idx="1007">
                  <c:v>100.9062933309478</c:v>
                </c:pt>
                <c:pt idx="1008">
                  <c:v>100.90681434036118</c:v>
                </c:pt>
                <c:pt idx="1009">
                  <c:v>100.90689302697658</c:v>
                </c:pt>
                <c:pt idx="1010">
                  <c:v>100.90848331294775</c:v>
                </c:pt>
                <c:pt idx="1011">
                  <c:v>100.90618002686968</c:v>
                </c:pt>
                <c:pt idx="1012">
                  <c:v>100.9101899086895</c:v>
                </c:pt>
                <c:pt idx="1013">
                  <c:v>100.9121666946168</c:v>
                </c:pt>
                <c:pt idx="1014">
                  <c:v>100.91215564593904</c:v>
                </c:pt>
                <c:pt idx="1015">
                  <c:v>100.91583979431969</c:v>
                </c:pt>
                <c:pt idx="1016">
                  <c:v>100.91699354174095</c:v>
                </c:pt>
                <c:pt idx="1017">
                  <c:v>100.91556845202112</c:v>
                </c:pt>
                <c:pt idx="1018">
                  <c:v>100.9192117846676</c:v>
                </c:pt>
                <c:pt idx="1019">
                  <c:v>100.91941067856594</c:v>
                </c:pt>
                <c:pt idx="1020">
                  <c:v>100.91951903499674</c:v>
                </c:pt>
                <c:pt idx="1021">
                  <c:v>100.91984849644196</c:v>
                </c:pt>
                <c:pt idx="1022">
                  <c:v>100.92004121980077</c:v>
                </c:pt>
                <c:pt idx="1023">
                  <c:v>100.91940447795645</c:v>
                </c:pt>
                <c:pt idx="1024">
                  <c:v>100.91840629381524</c:v>
                </c:pt>
                <c:pt idx="1025">
                  <c:v>100.91807125259082</c:v>
                </c:pt>
                <c:pt idx="1026">
                  <c:v>100.91762994416922</c:v>
                </c:pt>
                <c:pt idx="1027">
                  <c:v>100.9184126489602</c:v>
                </c:pt>
                <c:pt idx="1028">
                  <c:v>100.9202056751095</c:v>
                </c:pt>
                <c:pt idx="1029">
                  <c:v>100.91995873767861</c:v>
                </c:pt>
                <c:pt idx="1030">
                  <c:v>100.92041785375119</c:v>
                </c:pt>
                <c:pt idx="1031">
                  <c:v>100.92060183430607</c:v>
                </c:pt>
                <c:pt idx="1032">
                  <c:v>100.92232109751576</c:v>
                </c:pt>
                <c:pt idx="1033">
                  <c:v>100.92626355061242</c:v>
                </c:pt>
                <c:pt idx="1034">
                  <c:v>100.92549521675735</c:v>
                </c:pt>
                <c:pt idx="1035">
                  <c:v>100.92675849531534</c:v>
                </c:pt>
                <c:pt idx="1036">
                  <c:v>100.92447456649482</c:v>
                </c:pt>
                <c:pt idx="1037">
                  <c:v>100.92573818723193</c:v>
                </c:pt>
                <c:pt idx="1038">
                  <c:v>100.92477018098248</c:v>
                </c:pt>
                <c:pt idx="1039">
                  <c:v>100.92547136250445</c:v>
                </c:pt>
                <c:pt idx="1040">
                  <c:v>100.9252613178267</c:v>
                </c:pt>
                <c:pt idx="1041">
                  <c:v>100.92496418338109</c:v>
                </c:pt>
                <c:pt idx="1042">
                  <c:v>100.91747419837706</c:v>
                </c:pt>
                <c:pt idx="1043">
                  <c:v>100.91965176037432</c:v>
                </c:pt>
                <c:pt idx="1044">
                  <c:v>100.91984849644196</c:v>
                </c:pt>
                <c:pt idx="1045">
                  <c:v>100.92058979607307</c:v>
                </c:pt>
                <c:pt idx="1046">
                  <c:v>100.9192117846676</c:v>
                </c:pt>
                <c:pt idx="1047">
                  <c:v>100.91621005479342</c:v>
                </c:pt>
                <c:pt idx="1048">
                  <c:v>100.91633720698056</c:v>
                </c:pt>
                <c:pt idx="1049">
                  <c:v>100.91691123978742</c:v>
                </c:pt>
                <c:pt idx="1050">
                  <c:v>100.91516501316056</c:v>
                </c:pt>
                <c:pt idx="1051">
                  <c:v>100.91504460665044</c:v>
                </c:pt>
                <c:pt idx="1052">
                  <c:v>100.91458044524178</c:v>
                </c:pt>
                <c:pt idx="1053">
                  <c:v>100.9136723256964</c:v>
                </c:pt>
                <c:pt idx="1054">
                  <c:v>100.91279553779553</c:v>
                </c:pt>
                <c:pt idx="1055">
                  <c:v>100.91667329568054</c:v>
                </c:pt>
                <c:pt idx="1056">
                  <c:v>100.91791074017476</c:v>
                </c:pt>
                <c:pt idx="1057">
                  <c:v>100.91961476479165</c:v>
                </c:pt>
                <c:pt idx="1058">
                  <c:v>100.91928959432909</c:v>
                </c:pt>
                <c:pt idx="1059">
                  <c:v>100.91919932119715</c:v>
                </c:pt>
                <c:pt idx="1060">
                  <c:v>100.9184856620365</c:v>
                </c:pt>
                <c:pt idx="1061">
                  <c:v>100.9115697944367</c:v>
                </c:pt>
                <c:pt idx="1062">
                  <c:v>100.90671891001381</c:v>
                </c:pt>
                <c:pt idx="1063">
                  <c:v>100.90773363868581</c:v>
                </c:pt>
                <c:pt idx="1064">
                  <c:v>100.90879407923379</c:v>
                </c:pt>
                <c:pt idx="1065">
                  <c:v>100.9074442235476</c:v>
                </c:pt>
                <c:pt idx="1066">
                  <c:v>100.90790399155969</c:v>
                </c:pt>
                <c:pt idx="1067">
                  <c:v>100.90909879810822</c:v>
                </c:pt>
                <c:pt idx="1068">
                  <c:v>100.9109798589275</c:v>
                </c:pt>
                <c:pt idx="1069">
                  <c:v>100.90934660320208</c:v>
                </c:pt>
                <c:pt idx="1070">
                  <c:v>100.91096094181648</c:v>
                </c:pt>
                <c:pt idx="1071">
                  <c:v>100.91094201666384</c:v>
                </c:pt>
                <c:pt idx="1072">
                  <c:v>100.90549014300537</c:v>
                </c:pt>
                <c:pt idx="1073">
                  <c:v>100.91370432920048</c:v>
                </c:pt>
                <c:pt idx="1074">
                  <c:v>100.91201175976481</c:v>
                </c:pt>
                <c:pt idx="1075">
                  <c:v>100.91221821838599</c:v>
                </c:pt>
                <c:pt idx="1076">
                  <c:v>100.91332230037236</c:v>
                </c:pt>
                <c:pt idx="1077">
                  <c:v>100.91364029844594</c:v>
                </c:pt>
                <c:pt idx="1078">
                  <c:v>100.91231741514251</c:v>
                </c:pt>
                <c:pt idx="1079">
                  <c:v>100.90929557951249</c:v>
                </c:pt>
                <c:pt idx="1080">
                  <c:v>100.91314982173949</c:v>
                </c:pt>
                <c:pt idx="1081">
                  <c:v>100.91278101582014</c:v>
                </c:pt>
                <c:pt idx="1082">
                  <c:v>100.91340470383996</c:v>
                </c:pt>
                <c:pt idx="1083">
                  <c:v>100.91656045881791</c:v>
                </c:pt>
                <c:pt idx="1084">
                  <c:v>100.91589723002811</c:v>
                </c:pt>
                <c:pt idx="1085">
                  <c:v>100.91676599125944</c:v>
                </c:pt>
                <c:pt idx="1086">
                  <c:v>100.91901190660275</c:v>
                </c:pt>
                <c:pt idx="1087">
                  <c:v>100.91751319001496</c:v>
                </c:pt>
                <c:pt idx="1088">
                  <c:v>100.91870391928599</c:v>
                </c:pt>
                <c:pt idx="1089">
                  <c:v>100.9154355372568</c:v>
                </c:pt>
                <c:pt idx="1090">
                  <c:v>100.91576534920188</c:v>
                </c:pt>
                <c:pt idx="1091">
                  <c:v>100.9137078836807</c:v>
                </c:pt>
                <c:pt idx="1092">
                  <c:v>100.91508592736706</c:v>
                </c:pt>
                <c:pt idx="1093">
                  <c:v>100.91555483896973</c:v>
                </c:pt>
                <c:pt idx="1094">
                  <c:v>100.91567380454033</c:v>
                </c:pt>
                <c:pt idx="1095">
                  <c:v>100.91432193685588</c:v>
                </c:pt>
                <c:pt idx="1096">
                  <c:v>100.90955793472629</c:v>
                </c:pt>
                <c:pt idx="1097">
                  <c:v>100.90947586743292</c:v>
                </c:pt>
                <c:pt idx="1098">
                  <c:v>100.90863497601396</c:v>
                </c:pt>
                <c:pt idx="1099">
                  <c:v>100.90822673909234</c:v>
                </c:pt>
                <c:pt idx="1100">
                  <c:v>100.90635197353717</c:v>
                </c:pt>
                <c:pt idx="1101">
                  <c:v>100.90226721403246</c:v>
                </c:pt>
                <c:pt idx="1102">
                  <c:v>100.90340725713496</c:v>
                </c:pt>
                <c:pt idx="1103">
                  <c:v>100.90016202821197</c:v>
                </c:pt>
                <c:pt idx="1104">
                  <c:v>100.89970317885867</c:v>
                </c:pt>
                <c:pt idx="1105">
                  <c:v>100.8987922705314</c:v>
                </c:pt>
                <c:pt idx="1106">
                  <c:v>100.89732405410703</c:v>
                </c:pt>
                <c:pt idx="1107">
                  <c:v>100.89409028866083</c:v>
                </c:pt>
                <c:pt idx="1108">
                  <c:v>100.89821202992907</c:v>
                </c:pt>
                <c:pt idx="1109">
                  <c:v>100.90401356180702</c:v>
                </c:pt>
                <c:pt idx="1110">
                  <c:v>100.90446440786174</c:v>
                </c:pt>
                <c:pt idx="1111">
                  <c:v>100.90588499550763</c:v>
                </c:pt>
                <c:pt idx="1112">
                  <c:v>100.90519074987554</c:v>
                </c:pt>
                <c:pt idx="1113">
                  <c:v>100.90574102402591</c:v>
                </c:pt>
                <c:pt idx="1114">
                  <c:v>100.90804143622158</c:v>
                </c:pt>
                <c:pt idx="1115">
                  <c:v>100.90718178193256</c:v>
                </c:pt>
                <c:pt idx="1116">
                  <c:v>100.90572829950952</c:v>
                </c:pt>
                <c:pt idx="1117">
                  <c:v>100.90580459511713</c:v>
                </c:pt>
                <c:pt idx="1118">
                  <c:v>100.90447312024075</c:v>
                </c:pt>
                <c:pt idx="1119">
                  <c:v>100.90028083202436</c:v>
                </c:pt>
                <c:pt idx="1120">
                  <c:v>100.90084248390761</c:v>
                </c:pt>
                <c:pt idx="1121">
                  <c:v>100.90068736667456</c:v>
                </c:pt>
                <c:pt idx="1122">
                  <c:v>100.90052940198942</c:v>
                </c:pt>
                <c:pt idx="1123">
                  <c:v>100.89862576212136</c:v>
                </c:pt>
                <c:pt idx="1124">
                  <c:v>100.89639483705059</c:v>
                </c:pt>
                <c:pt idx="1125">
                  <c:v>100.89742962056303</c:v>
                </c:pt>
                <c:pt idx="1126">
                  <c:v>100.89127614302767</c:v>
                </c:pt>
                <c:pt idx="1127">
                  <c:v>100.89081148694429</c:v>
                </c:pt>
                <c:pt idx="1128">
                  <c:v>100.89149013311234</c:v>
                </c:pt>
                <c:pt idx="1129">
                  <c:v>100.89084562079925</c:v>
                </c:pt>
                <c:pt idx="1130">
                  <c:v>100.89342219056824</c:v>
                </c:pt>
                <c:pt idx="1131">
                  <c:v>100.89609165757365</c:v>
                </c:pt>
                <c:pt idx="1132">
                  <c:v>100.8959213075662</c:v>
                </c:pt>
                <c:pt idx="1133">
                  <c:v>100.89857177438877</c:v>
                </c:pt>
                <c:pt idx="1134">
                  <c:v>100.89829109622293</c:v>
                </c:pt>
                <c:pt idx="1135">
                  <c:v>100.89491899483373</c:v>
                </c:pt>
                <c:pt idx="1136">
                  <c:v>100.89790448343079</c:v>
                </c:pt>
                <c:pt idx="1137">
                  <c:v>100.89710216110019</c:v>
                </c:pt>
                <c:pt idx="1138">
                  <c:v>100.9006826585759</c:v>
                </c:pt>
                <c:pt idx="1139">
                  <c:v>100.90405751969224</c:v>
                </c:pt>
                <c:pt idx="1140">
                  <c:v>100.90414092884923</c:v>
                </c:pt>
                <c:pt idx="1141">
                  <c:v>100.90519933028644</c:v>
                </c:pt>
                <c:pt idx="1142">
                  <c:v>100.90361612072138</c:v>
                </c:pt>
                <c:pt idx="1143">
                  <c:v>100.90366930292441</c:v>
                </c:pt>
                <c:pt idx="1144">
                  <c:v>100.90313930371261</c:v>
                </c:pt>
                <c:pt idx="1145">
                  <c:v>100.9015507518797</c:v>
                </c:pt>
                <c:pt idx="1146">
                  <c:v>100.8967369873817</c:v>
                </c:pt>
                <c:pt idx="1147">
                  <c:v>100.89718800608529</c:v>
                </c:pt>
                <c:pt idx="1148">
                  <c:v>100.89747981404453</c:v>
                </c:pt>
                <c:pt idx="1149">
                  <c:v>100.89753497016531</c:v>
                </c:pt>
                <c:pt idx="1150">
                  <c:v>100.90104154365744</c:v>
                </c:pt>
                <c:pt idx="1151">
                  <c:v>100.90350513564553</c:v>
                </c:pt>
                <c:pt idx="1152">
                  <c:v>100.89895579617527</c:v>
                </c:pt>
                <c:pt idx="1153">
                  <c:v>100.89735926706187</c:v>
                </c:pt>
                <c:pt idx="1154">
                  <c:v>100.8971829603455</c:v>
                </c:pt>
                <c:pt idx="1155">
                  <c:v>100.89888508132631</c:v>
                </c:pt>
                <c:pt idx="1156">
                  <c:v>100.89697059112817</c:v>
                </c:pt>
                <c:pt idx="1157">
                  <c:v>100.89382997592804</c:v>
                </c:pt>
                <c:pt idx="1158">
                  <c:v>100.89501904189217</c:v>
                </c:pt>
                <c:pt idx="1159">
                  <c:v>100.89650999086126</c:v>
                </c:pt>
                <c:pt idx="1160">
                  <c:v>100.8955789263819</c:v>
                </c:pt>
                <c:pt idx="1161">
                  <c:v>100.89194347018774</c:v>
                </c:pt>
                <c:pt idx="1162">
                  <c:v>100.89024518021793</c:v>
                </c:pt>
                <c:pt idx="1163">
                  <c:v>100.88992223623372</c:v>
                </c:pt>
                <c:pt idx="1164">
                  <c:v>100.8918653866006</c:v>
                </c:pt>
                <c:pt idx="1165">
                  <c:v>100.89035432040613</c:v>
                </c:pt>
                <c:pt idx="1166">
                  <c:v>100.88896544413822</c:v>
                </c:pt>
                <c:pt idx="1167">
                  <c:v>100.89294839039346</c:v>
                </c:pt>
                <c:pt idx="1168">
                  <c:v>100.89241513891028</c:v>
                </c:pt>
                <c:pt idx="1169">
                  <c:v>100.89562054705794</c:v>
                </c:pt>
                <c:pt idx="1170">
                  <c:v>100.89292103245592</c:v>
                </c:pt>
                <c:pt idx="1171">
                  <c:v>100.89423465266559</c:v>
                </c:pt>
                <c:pt idx="1172">
                  <c:v>100.89505585332866</c:v>
                </c:pt>
                <c:pt idx="1173">
                  <c:v>100.89614316874876</c:v>
                </c:pt>
                <c:pt idx="1174">
                  <c:v>100.89217704580545</c:v>
                </c:pt>
                <c:pt idx="1175">
                  <c:v>100.88997137680208</c:v>
                </c:pt>
                <c:pt idx="1176">
                  <c:v>100.88675675675675</c:v>
                </c:pt>
                <c:pt idx="1177">
                  <c:v>100.89006664217872</c:v>
                </c:pt>
                <c:pt idx="1178">
                  <c:v>100.88901838215818</c:v>
                </c:pt>
                <c:pt idx="1179">
                  <c:v>100.88832027293566</c:v>
                </c:pt>
                <c:pt idx="1180">
                  <c:v>100.89031413612565</c:v>
                </c:pt>
                <c:pt idx="1181">
                  <c:v>100.89684884293452</c:v>
                </c:pt>
                <c:pt idx="1182">
                  <c:v>100.8969249692497</c:v>
                </c:pt>
                <c:pt idx="1183">
                  <c:v>100.89911879424086</c:v>
                </c:pt>
                <c:pt idx="1184">
                  <c:v>100.90028083202436</c:v>
                </c:pt>
                <c:pt idx="1185">
                  <c:v>100.90066382171645</c:v>
                </c:pt>
                <c:pt idx="1186">
                  <c:v>100.90013347316236</c:v>
                </c:pt>
                <c:pt idx="1187">
                  <c:v>100.89901667791382</c:v>
                </c:pt>
                <c:pt idx="1188">
                  <c:v>100.89919645864408</c:v>
                </c:pt>
                <c:pt idx="1189">
                  <c:v>100.89864537977745</c:v>
                </c:pt>
                <c:pt idx="1190">
                  <c:v>100.89868949175492</c:v>
                </c:pt>
                <c:pt idx="1191">
                  <c:v>100.89793929945925</c:v>
                </c:pt>
                <c:pt idx="1192">
                  <c:v>100.89995702210973</c:v>
                </c:pt>
                <c:pt idx="1193">
                  <c:v>100.90452971199417</c:v>
                </c:pt>
                <c:pt idx="1194">
                  <c:v>100.90416285452882</c:v>
                </c:pt>
                <c:pt idx="1195">
                  <c:v>100.90408607073365</c:v>
                </c:pt>
                <c:pt idx="1196">
                  <c:v>100.90952278125675</c:v>
                </c:pt>
                <c:pt idx="1197">
                  <c:v>100.90910274210344</c:v>
                </c:pt>
                <c:pt idx="1198">
                  <c:v>100.9098730909873</c:v>
                </c:pt>
                <c:pt idx="1199">
                  <c:v>100.90732138907322</c:v>
                </c:pt>
                <c:pt idx="1200">
                  <c:v>100.90731318851481</c:v>
                </c:pt>
                <c:pt idx="1201">
                  <c:v>100.90911457203592</c:v>
                </c:pt>
                <c:pt idx="1202">
                  <c:v>100.91006653788367</c:v>
                </c:pt>
                <c:pt idx="1203">
                  <c:v>100.90908301870417</c:v>
                </c:pt>
                <c:pt idx="1204">
                  <c:v>100.91152871621621</c:v>
                </c:pt>
                <c:pt idx="1205">
                  <c:v>100.91145767296395</c:v>
                </c:pt>
                <c:pt idx="1206">
                  <c:v>100.91252244352583</c:v>
                </c:pt>
                <c:pt idx="1207">
                  <c:v>100.91439895399199</c:v>
                </c:pt>
                <c:pt idx="1208">
                  <c:v>100.91384982317625</c:v>
                </c:pt>
                <c:pt idx="1209">
                  <c:v>100.9141745186399</c:v>
                </c:pt>
                <c:pt idx="1210">
                  <c:v>100.9158093554091</c:v>
                </c:pt>
                <c:pt idx="1211">
                  <c:v>100.91577889447237</c:v>
                </c:pt>
                <c:pt idx="1212">
                  <c:v>100.91523023387553</c:v>
                </c:pt>
                <c:pt idx="1213">
                  <c:v>100.91426232862698</c:v>
                </c:pt>
                <c:pt idx="1214">
                  <c:v>100.91470564286296</c:v>
                </c:pt>
                <c:pt idx="1215">
                  <c:v>100.91543212368305</c:v>
                </c:pt>
                <c:pt idx="1216">
                  <c:v>100.91533814228849</c:v>
                </c:pt>
                <c:pt idx="1217">
                  <c:v>100.91532958816634</c:v>
                </c:pt>
                <c:pt idx="1218">
                  <c:v>100.91668323722411</c:v>
                </c:pt>
                <c:pt idx="1219">
                  <c:v>100.9164673046252</c:v>
                </c:pt>
                <c:pt idx="1220">
                  <c:v>100.91601523351373</c:v>
                </c:pt>
                <c:pt idx="1221">
                  <c:v>100.91564324541977</c:v>
                </c:pt>
                <c:pt idx="1222">
                  <c:v>100.9158600747018</c:v>
                </c:pt>
                <c:pt idx="1223">
                  <c:v>100.9148096942095</c:v>
                </c:pt>
                <c:pt idx="1224">
                  <c:v>100.91591073292125</c:v>
                </c:pt>
                <c:pt idx="1225">
                  <c:v>100.91825666237466</c:v>
                </c:pt>
                <c:pt idx="1226">
                  <c:v>100.9181640625</c:v>
                </c:pt>
                <c:pt idx="1227">
                  <c:v>100.91643398484244</c:v>
                </c:pt>
                <c:pt idx="1228">
                  <c:v>100.91666998130543</c:v>
                </c:pt>
                <c:pt idx="1229">
                  <c:v>100.91643065140212</c:v>
                </c:pt>
                <c:pt idx="1230">
                  <c:v>100.91632718268232</c:v>
                </c:pt>
                <c:pt idx="1231">
                  <c:v>100.91723293299621</c:v>
                </c:pt>
                <c:pt idx="1232">
                  <c:v>100.91954994047848</c:v>
                </c:pt>
                <c:pt idx="1233">
                  <c:v>100.92000458207644</c:v>
                </c:pt>
                <c:pt idx="1234">
                  <c:v>100.92019351643746</c:v>
                </c:pt>
                <c:pt idx="1235">
                  <c:v>100.91935794295392</c:v>
                </c:pt>
                <c:pt idx="1236">
                  <c:v>100.92173198341241</c:v>
                </c:pt>
                <c:pt idx="1237">
                  <c:v>100.9209940792699</c:v>
                </c:pt>
                <c:pt idx="1238">
                  <c:v>100.92205811228096</c:v>
                </c:pt>
                <c:pt idx="1239">
                  <c:v>100.92156202029278</c:v>
                </c:pt>
                <c:pt idx="1240">
                  <c:v>100.92004427142966</c:v>
                </c:pt>
                <c:pt idx="1241">
                  <c:v>100.92190412286588</c:v>
                </c:pt>
                <c:pt idx="1242">
                  <c:v>100.92216236299461</c:v>
                </c:pt>
                <c:pt idx="1243">
                  <c:v>100.92518391543462</c:v>
                </c:pt>
                <c:pt idx="1244">
                  <c:v>100.92510367510367</c:v>
                </c:pt>
                <c:pt idx="1245">
                  <c:v>100.92179334030163</c:v>
                </c:pt>
                <c:pt idx="1246">
                  <c:v>100.91783024788202</c:v>
                </c:pt>
                <c:pt idx="1247">
                  <c:v>100.91877326302729</c:v>
                </c:pt>
                <c:pt idx="1248">
                  <c:v>100.91915878834652</c:v>
                </c:pt>
                <c:pt idx="1249">
                  <c:v>100.92008696978944</c:v>
                </c:pt>
                <c:pt idx="1250">
                  <c:v>100.92113683418032</c:v>
                </c:pt>
                <c:pt idx="1251">
                  <c:v>100.92038458615185</c:v>
                </c:pt>
                <c:pt idx="1252">
                  <c:v>100.9214414279286</c:v>
                </c:pt>
                <c:pt idx="1253">
                  <c:v>100.92372387679313</c:v>
                </c:pt>
                <c:pt idx="1254">
                  <c:v>100.92577765181039</c:v>
                </c:pt>
                <c:pt idx="1255">
                  <c:v>100.92146793117666</c:v>
                </c:pt>
                <c:pt idx="1256">
                  <c:v>100.92179042072647</c:v>
                </c:pt>
                <c:pt idx="1257">
                  <c:v>100.92159431137725</c:v>
                </c:pt>
                <c:pt idx="1258">
                  <c:v>100.92106552126899</c:v>
                </c:pt>
                <c:pt idx="1259">
                  <c:v>100.9171969487372</c:v>
                </c:pt>
                <c:pt idx="1260">
                  <c:v>100.92088966090175</c:v>
                </c:pt>
                <c:pt idx="1261">
                  <c:v>100.92058979607307</c:v>
                </c:pt>
                <c:pt idx="1262">
                  <c:v>100.921473818359</c:v>
                </c:pt>
                <c:pt idx="1263">
                  <c:v>100.92128498966748</c:v>
                </c:pt>
                <c:pt idx="1264">
                  <c:v>100.91941997769145</c:v>
                </c:pt>
                <c:pt idx="1265">
                  <c:v>100.92132341895748</c:v>
                </c:pt>
                <c:pt idx="1266">
                  <c:v>100.92244474882465</c:v>
                </c:pt>
                <c:pt idx="1267">
                  <c:v>100.91488237923049</c:v>
                </c:pt>
                <c:pt idx="1268">
                  <c:v>100.91361180982227</c:v>
                </c:pt>
                <c:pt idx="1269">
                  <c:v>100.91312100854276</c:v>
                </c:pt>
                <c:pt idx="1270">
                  <c:v>100.91174116358428</c:v>
                </c:pt>
                <c:pt idx="1271">
                  <c:v>100.91203762018726</c:v>
                </c:pt>
                <c:pt idx="1272">
                  <c:v>100.91361180982227</c:v>
                </c:pt>
                <c:pt idx="1273">
                  <c:v>100.91383919391322</c:v>
                </c:pt>
                <c:pt idx="1274">
                  <c:v>100.9178399152908</c:v>
                </c:pt>
                <c:pt idx="1275">
                  <c:v>100.91964559680883</c:v>
                </c:pt>
                <c:pt idx="1276">
                  <c:v>100.91792360430951</c:v>
                </c:pt>
                <c:pt idx="1277">
                  <c:v>100.91349409530102</c:v>
                </c:pt>
                <c:pt idx="1278">
                  <c:v>100.90921696927677</c:v>
                </c:pt>
                <c:pt idx="1279">
                  <c:v>100.90428108009321</c:v>
                </c:pt>
                <c:pt idx="1280">
                  <c:v>100.90478571103941</c:v>
                </c:pt>
                <c:pt idx="1281">
                  <c:v>100.90682262942536</c:v>
                </c:pt>
                <c:pt idx="1282">
                  <c:v>100.91378246018354</c:v>
                </c:pt>
                <c:pt idx="1283">
                  <c:v>100.91568737926593</c:v>
                </c:pt>
                <c:pt idx="1284">
                  <c:v>100.91588372279772</c:v>
                </c:pt>
                <c:pt idx="1285">
                  <c:v>100.91220718266773</c:v>
                </c:pt>
                <c:pt idx="1286">
                  <c:v>100.91541846663168</c:v>
                </c:pt>
                <c:pt idx="1287">
                  <c:v>100.91468827625525</c:v>
                </c:pt>
                <c:pt idx="1288">
                  <c:v>100.91340470383996</c:v>
                </c:pt>
                <c:pt idx="1289">
                  <c:v>100.91558206068422</c:v>
                </c:pt>
                <c:pt idx="1290">
                  <c:v>100.91583303201961</c:v>
                </c:pt>
                <c:pt idx="1291">
                  <c:v>100.91568737926593</c:v>
                </c:pt>
                <c:pt idx="1292">
                  <c:v>100.91628037084399</c:v>
                </c:pt>
                <c:pt idx="1293">
                  <c:v>100.91725581579051</c:v>
                </c:pt>
                <c:pt idx="1294">
                  <c:v>100.91737981622431</c:v>
                </c:pt>
                <c:pt idx="1295">
                  <c:v>100.92011439466158</c:v>
                </c:pt>
                <c:pt idx="1296">
                  <c:v>100.92005952608082</c:v>
                </c:pt>
                <c:pt idx="1297">
                  <c:v>100.91961476479165</c:v>
                </c:pt>
                <c:pt idx="1298">
                  <c:v>100.92070401211204</c:v>
                </c:pt>
                <c:pt idx="1299">
                  <c:v>100.91971334406377</c:v>
                </c:pt>
                <c:pt idx="1300">
                  <c:v>100.91975024898491</c:v>
                </c:pt>
                <c:pt idx="1301">
                  <c:v>100.92037853450897</c:v>
                </c:pt>
                <c:pt idx="1302">
                  <c:v>100.91845393328403</c:v>
                </c:pt>
                <c:pt idx="1303">
                  <c:v>100.91567041017591</c:v>
                </c:pt>
                <c:pt idx="1304">
                  <c:v>100.91506182850192</c:v>
                </c:pt>
                <c:pt idx="1305">
                  <c:v>100.91566022544283</c:v>
                </c:pt>
                <c:pt idx="1306">
                  <c:v>100.91266466566617</c:v>
                </c:pt>
                <c:pt idx="1307">
                  <c:v>100.91537746899867</c:v>
                </c:pt>
                <c:pt idx="1308">
                  <c:v>100.91488929514523</c:v>
                </c:pt>
                <c:pt idx="1309">
                  <c:v>100.9132361467738</c:v>
                </c:pt>
                <c:pt idx="1310">
                  <c:v>100.90968270391447</c:v>
                </c:pt>
                <c:pt idx="1311">
                  <c:v>100.90759527170077</c:v>
                </c:pt>
                <c:pt idx="1312">
                  <c:v>100.9050704608274</c:v>
                </c:pt>
                <c:pt idx="1313">
                  <c:v>100.90282029872901</c:v>
                </c:pt>
                <c:pt idx="1314">
                  <c:v>100.90444697833523</c:v>
                </c:pt>
                <c:pt idx="1315">
                  <c:v>100.90340280339358</c:v>
                </c:pt>
                <c:pt idx="1316">
                  <c:v>100.90533640594641</c:v>
                </c:pt>
                <c:pt idx="1317">
                  <c:v>100.90771331659398</c:v>
                </c:pt>
                <c:pt idx="1318">
                  <c:v>100.90815431828146</c:v>
                </c:pt>
                <c:pt idx="1319">
                  <c:v>100.90165704360888</c:v>
                </c:pt>
                <c:pt idx="1320">
                  <c:v>100.90028083202436</c:v>
                </c:pt>
                <c:pt idx="1321">
                  <c:v>100.90104855469488</c:v>
                </c:pt>
                <c:pt idx="1322">
                  <c:v>100.89980391219092</c:v>
                </c:pt>
                <c:pt idx="1323">
                  <c:v>100.90267583387531</c:v>
                </c:pt>
                <c:pt idx="1324">
                  <c:v>100.90040408842405</c:v>
                </c:pt>
                <c:pt idx="1325">
                  <c:v>100.90162471825695</c:v>
                </c:pt>
                <c:pt idx="1326">
                  <c:v>100.90100647356235</c:v>
                </c:pt>
                <c:pt idx="1327">
                  <c:v>100.89875803411782</c:v>
                </c:pt>
                <c:pt idx="1328">
                  <c:v>100.90200664203191</c:v>
                </c:pt>
                <c:pt idx="1329">
                  <c:v>100.89944804415647</c:v>
                </c:pt>
                <c:pt idx="1330">
                  <c:v>100.90955403013426</c:v>
                </c:pt>
                <c:pt idx="1331">
                  <c:v>100.90960866376149</c:v>
                </c:pt>
                <c:pt idx="1332">
                  <c:v>100.90983818213118</c:v>
                </c:pt>
                <c:pt idx="1333">
                  <c:v>100.90702525185284</c:v>
                </c:pt>
                <c:pt idx="1334">
                  <c:v>100.90323325635104</c:v>
                </c:pt>
                <c:pt idx="1335">
                  <c:v>100.90437283184225</c:v>
                </c:pt>
                <c:pt idx="1336">
                  <c:v>100.90161547853856</c:v>
                </c:pt>
                <c:pt idx="1337">
                  <c:v>100.89888508132631</c:v>
                </c:pt>
                <c:pt idx="1338">
                  <c:v>100.90224441229994</c:v>
                </c:pt>
                <c:pt idx="1339">
                  <c:v>100.90210280373832</c:v>
                </c:pt>
                <c:pt idx="1340">
                  <c:v>100.90523363640476</c:v>
                </c:pt>
                <c:pt idx="1341">
                  <c:v>100.90554553651938</c:v>
                </c:pt>
                <c:pt idx="1342">
                  <c:v>100.90477705558838</c:v>
                </c:pt>
                <c:pt idx="1343">
                  <c:v>100.90378874856486</c:v>
                </c:pt>
                <c:pt idx="1344">
                  <c:v>100.90400916380298</c:v>
                </c:pt>
                <c:pt idx="1345">
                  <c:v>100.90877024908552</c:v>
                </c:pt>
                <c:pt idx="1346">
                  <c:v>100.90954621993869</c:v>
                </c:pt>
                <c:pt idx="1347">
                  <c:v>100.90901589507513</c:v>
                </c:pt>
                <c:pt idx="1348">
                  <c:v>100.91167418525232</c:v>
                </c:pt>
                <c:pt idx="1349">
                  <c:v>100.90969438337859</c:v>
                </c:pt>
                <c:pt idx="1350">
                  <c:v>100.90997378711701</c:v>
                </c:pt>
                <c:pt idx="1351">
                  <c:v>100.90906328674365</c:v>
                </c:pt>
                <c:pt idx="1352">
                  <c:v>100.90935836974863</c:v>
                </c:pt>
                <c:pt idx="1353">
                  <c:v>100.90759527170077</c:v>
                </c:pt>
                <c:pt idx="1354">
                  <c:v>100.90668982718688</c:v>
                </c:pt>
                <c:pt idx="1355">
                  <c:v>100.90773770203022</c:v>
                </c:pt>
                <c:pt idx="1356">
                  <c:v>100.90346511842226</c:v>
                </c:pt>
                <c:pt idx="1357">
                  <c:v>100.9041540854607</c:v>
                </c:pt>
                <c:pt idx="1358">
                  <c:v>100.90524220905513</c:v>
                </c:pt>
                <c:pt idx="1359">
                  <c:v>100.91066479041406</c:v>
                </c:pt>
                <c:pt idx="1360">
                  <c:v>100.91023608552209</c:v>
                </c:pt>
                <c:pt idx="1361">
                  <c:v>100.90909485377072</c:v>
                </c:pt>
                <c:pt idx="1362">
                  <c:v>100.90991572067423</c:v>
                </c:pt>
                <c:pt idx="1363">
                  <c:v>100.90889323766037</c:v>
                </c:pt>
                <c:pt idx="1364">
                  <c:v>100.90879407923379</c:v>
                </c:pt>
                <c:pt idx="1365">
                  <c:v>100.90913822266556</c:v>
                </c:pt>
                <c:pt idx="1366">
                  <c:v>100.90849530465167</c:v>
                </c:pt>
                <c:pt idx="1367">
                  <c:v>100.91167418525232</c:v>
                </c:pt>
                <c:pt idx="1368">
                  <c:v>100.91200806417741</c:v>
                </c:pt>
                <c:pt idx="1369">
                  <c:v>100.91271197033457</c:v>
                </c:pt>
                <c:pt idx="1370">
                  <c:v>100.90622622084956</c:v>
                </c:pt>
                <c:pt idx="1371">
                  <c:v>100.9062346148682</c:v>
                </c:pt>
                <c:pt idx="1372">
                  <c:v>100.90435536888239</c:v>
                </c:pt>
                <c:pt idx="1373">
                  <c:v>100.90285184326454</c:v>
                </c:pt>
                <c:pt idx="1374">
                  <c:v>100.90071090047394</c:v>
                </c:pt>
                <c:pt idx="1375">
                  <c:v>100.89920615828723</c:v>
                </c:pt>
                <c:pt idx="1376">
                  <c:v>100.90022384150117</c:v>
                </c:pt>
                <c:pt idx="1377">
                  <c:v>100.8954121112276</c:v>
                </c:pt>
                <c:pt idx="1378">
                  <c:v>100.89838975652343</c:v>
                </c:pt>
                <c:pt idx="1379">
                  <c:v>100.8977998926777</c:v>
                </c:pt>
                <c:pt idx="1380">
                  <c:v>100.89766510355608</c:v>
                </c:pt>
                <c:pt idx="1381">
                  <c:v>100.89456467035733</c:v>
                </c:pt>
                <c:pt idx="1382">
                  <c:v>100.89523428514278</c:v>
                </c:pt>
                <c:pt idx="1383">
                  <c:v>100.89656874845717</c:v>
                </c:pt>
                <c:pt idx="1384">
                  <c:v>100.89331907526224</c:v>
                </c:pt>
                <c:pt idx="1385">
                  <c:v>100.89176482744368</c:v>
                </c:pt>
                <c:pt idx="1386">
                  <c:v>100.8886053065348</c:v>
                </c:pt>
                <c:pt idx="1387">
                  <c:v>100.88956246705324</c:v>
                </c:pt>
                <c:pt idx="1388">
                  <c:v>100.89042887029289</c:v>
                </c:pt>
                <c:pt idx="1389">
                  <c:v>100.89362242307301</c:v>
                </c:pt>
                <c:pt idx="1390">
                  <c:v>100.88538133274976</c:v>
                </c:pt>
                <c:pt idx="1391">
                  <c:v>100.87923679963109</c:v>
                </c:pt>
                <c:pt idx="1392">
                  <c:v>100.88051103633148</c:v>
                </c:pt>
                <c:pt idx="1393">
                  <c:v>100.87115621156211</c:v>
                </c:pt>
                <c:pt idx="1394">
                  <c:v>100.85843638083654</c:v>
                </c:pt>
                <c:pt idx="1395">
                  <c:v>100.85868465430016</c:v>
                </c:pt>
                <c:pt idx="1396">
                  <c:v>100.85417971740794</c:v>
                </c:pt>
                <c:pt idx="1397">
                  <c:v>100.86076958862232</c:v>
                </c:pt>
                <c:pt idx="1398">
                  <c:v>100.86129502118644</c:v>
                </c:pt>
                <c:pt idx="1399">
                  <c:v>100.86498678868338</c:v>
                </c:pt>
                <c:pt idx="1400">
                  <c:v>100.87580033198957</c:v>
                </c:pt>
                <c:pt idx="1401">
                  <c:v>100.87437788571086</c:v>
                </c:pt>
                <c:pt idx="1402">
                  <c:v>100.87423460199304</c:v>
                </c:pt>
                <c:pt idx="1403">
                  <c:v>100.88213120288061</c:v>
                </c:pt>
                <c:pt idx="1404">
                  <c:v>100.88177868066136</c:v>
                </c:pt>
                <c:pt idx="1405">
                  <c:v>100.88296089385474</c:v>
                </c:pt>
                <c:pt idx="1406">
                  <c:v>100.88822493730993</c:v>
                </c:pt>
                <c:pt idx="1407">
                  <c:v>100.88993380266891</c:v>
                </c:pt>
                <c:pt idx="1408">
                  <c:v>100.89084562079925</c:v>
                </c:pt>
                <c:pt idx="1409">
                  <c:v>100.88757713979072</c:v>
                </c:pt>
                <c:pt idx="1410">
                  <c:v>100.88876499946905</c:v>
                </c:pt>
                <c:pt idx="1411">
                  <c:v>100.89297026668029</c:v>
                </c:pt>
                <c:pt idx="1412">
                  <c:v>100.89579188221249</c:v>
                </c:pt>
                <c:pt idx="1413">
                  <c:v>100.89794924253495</c:v>
                </c:pt>
                <c:pt idx="1414">
                  <c:v>100.89659427443237</c:v>
                </c:pt>
                <c:pt idx="1415">
                  <c:v>100.89962629359908</c:v>
                </c:pt>
                <c:pt idx="1416">
                  <c:v>100.89789453163077</c:v>
                </c:pt>
                <c:pt idx="1417">
                  <c:v>100.89903614457832</c:v>
                </c:pt>
                <c:pt idx="1418">
                  <c:v>100.90262607483152</c:v>
                </c:pt>
                <c:pt idx="1419">
                  <c:v>100.90404873133645</c:v>
                </c:pt>
                <c:pt idx="1420">
                  <c:v>100.90560086513766</c:v>
                </c:pt>
                <c:pt idx="1421">
                  <c:v>100.90745648908914</c:v>
                </c:pt>
                <c:pt idx="1422">
                  <c:v>100.9099853914239</c:v>
                </c:pt>
                <c:pt idx="1423">
                  <c:v>100.91209298422289</c:v>
                </c:pt>
                <c:pt idx="1424">
                  <c:v>100.91056181693989</c:v>
                </c:pt>
                <c:pt idx="1425">
                  <c:v>100.90587653877257</c:v>
                </c:pt>
                <c:pt idx="1426">
                  <c:v>100.90801317233809</c:v>
                </c:pt>
                <c:pt idx="1427">
                  <c:v>100.90901589507513</c:v>
                </c:pt>
                <c:pt idx="1428">
                  <c:v>100.90896449832704</c:v>
                </c:pt>
                <c:pt idx="1429">
                  <c:v>100.90766450702984</c:v>
                </c:pt>
                <c:pt idx="1430">
                  <c:v>100.90882186534361</c:v>
                </c:pt>
                <c:pt idx="1431">
                  <c:v>100.9118228881687</c:v>
                </c:pt>
                <c:pt idx="1432">
                  <c:v>100.9151787521762</c:v>
                </c:pt>
                <c:pt idx="1433">
                  <c:v>100.91799428504325</c:v>
                </c:pt>
                <c:pt idx="1434">
                  <c:v>100.92106849521512</c:v>
                </c:pt>
                <c:pt idx="1435">
                  <c:v>100.91854587869362</c:v>
                </c:pt>
                <c:pt idx="1436">
                  <c:v>100.91622345743193</c:v>
                </c:pt>
                <c:pt idx="1437">
                  <c:v>100.91617317541613</c:v>
                </c:pt>
                <c:pt idx="1438">
                  <c:v>100.9154628359293</c:v>
                </c:pt>
                <c:pt idx="1439">
                  <c:v>100.91769143126547</c:v>
                </c:pt>
                <c:pt idx="1440">
                  <c:v>100.91681886762487</c:v>
                </c:pt>
                <c:pt idx="1441">
                  <c:v>100.91768496326274</c:v>
                </c:pt>
                <c:pt idx="1442">
                  <c:v>100.91748069954309</c:v>
                </c:pt>
                <c:pt idx="1443">
                  <c:v>100.91530905121883</c:v>
                </c:pt>
                <c:pt idx="1444">
                  <c:v>100.91618994279314</c:v>
                </c:pt>
                <c:pt idx="1445">
                  <c:v>100.91562286036489</c:v>
                </c:pt>
                <c:pt idx="1446">
                  <c:v>100.91743842364532</c:v>
                </c:pt>
                <c:pt idx="1447">
                  <c:v>100.91680565483281</c:v>
                </c:pt>
                <c:pt idx="1448">
                  <c:v>100.9174351698589</c:v>
                </c:pt>
                <c:pt idx="1449">
                  <c:v>100.91668986360202</c:v>
                </c:pt>
                <c:pt idx="1450">
                  <c:v>100.91542529570869</c:v>
                </c:pt>
                <c:pt idx="1451">
                  <c:v>100.91298388436617</c:v>
                </c:pt>
                <c:pt idx="1452">
                  <c:v>100.91335814722912</c:v>
                </c:pt>
                <c:pt idx="1453">
                  <c:v>100.90982265840221</c:v>
                </c:pt>
                <c:pt idx="1454">
                  <c:v>100.90586808051761</c:v>
                </c:pt>
                <c:pt idx="1455">
                  <c:v>100.90095967475062</c:v>
                </c:pt>
                <c:pt idx="1456">
                  <c:v>100.90252640394547</c:v>
                </c:pt>
                <c:pt idx="1457">
                  <c:v>100.89972238177293</c:v>
                </c:pt>
                <c:pt idx="1458">
                  <c:v>100.89961186448799</c:v>
                </c:pt>
                <c:pt idx="1459">
                  <c:v>100.89974157733538</c:v>
                </c:pt>
                <c:pt idx="1460">
                  <c:v>100.8989289849479</c:v>
                </c:pt>
                <c:pt idx="1461">
                  <c:v>100.8990896392274</c:v>
                </c:pt>
                <c:pt idx="1462">
                  <c:v>100.89941907916847</c:v>
                </c:pt>
                <c:pt idx="1463">
                  <c:v>100.89763510212059</c:v>
                </c:pt>
                <c:pt idx="1464">
                  <c:v>100.90079083203106</c:v>
                </c:pt>
                <c:pt idx="1465">
                  <c:v>100.9026532224339</c:v>
                </c:pt>
                <c:pt idx="1466">
                  <c:v>100.90489377156347</c:v>
                </c:pt>
                <c:pt idx="1467">
                  <c:v>100.90310794561096</c:v>
                </c:pt>
                <c:pt idx="1468">
                  <c:v>100.90385939149191</c:v>
                </c:pt>
                <c:pt idx="1469">
                  <c:v>100.90459058202022</c:v>
                </c:pt>
                <c:pt idx="1470">
                  <c:v>100.90693852167733</c:v>
                </c:pt>
                <c:pt idx="1471">
                  <c:v>100.90607065997131</c:v>
                </c:pt>
                <c:pt idx="1472">
                  <c:v>100.90615060699727</c:v>
                </c:pt>
                <c:pt idx="1473">
                  <c:v>100.90458189105483</c:v>
                </c:pt>
                <c:pt idx="1474">
                  <c:v>100.9043204238217</c:v>
                </c:pt>
                <c:pt idx="1475">
                  <c:v>100.90433353121148</c:v>
                </c:pt>
                <c:pt idx="1476">
                  <c:v>100.90506615914447</c:v>
                </c:pt>
                <c:pt idx="1477">
                  <c:v>100.90983042093484</c:v>
                </c:pt>
                <c:pt idx="1478">
                  <c:v>100.91104789402173</c:v>
                </c:pt>
                <c:pt idx="1479">
                  <c:v>100.90865887687478</c:v>
                </c:pt>
                <c:pt idx="1480">
                  <c:v>100.90424608071667</c:v>
                </c:pt>
                <c:pt idx="1481">
                  <c:v>100.90384174048745</c:v>
                </c:pt>
                <c:pt idx="1482">
                  <c:v>100.90254000744325</c:v>
                </c:pt>
                <c:pt idx="1483">
                  <c:v>100.90376665135507</c:v>
                </c:pt>
                <c:pt idx="1484">
                  <c:v>100.90386821456431</c:v>
                </c:pt>
                <c:pt idx="1485">
                  <c:v>100.90277068733467</c:v>
                </c:pt>
                <c:pt idx="1486">
                  <c:v>100.90464269458353</c:v>
                </c:pt>
                <c:pt idx="1487">
                  <c:v>100.90460361550021</c:v>
                </c:pt>
                <c:pt idx="1488">
                  <c:v>100.89347096511746</c:v>
                </c:pt>
                <c:pt idx="1489">
                  <c:v>100.89332993890021</c:v>
                </c:pt>
                <c:pt idx="1490">
                  <c:v>100.89153507636551</c:v>
                </c:pt>
                <c:pt idx="1491">
                  <c:v>100.89448501636868</c:v>
                </c:pt>
                <c:pt idx="1492">
                  <c:v>100.89617919619407</c:v>
                </c:pt>
                <c:pt idx="1493">
                  <c:v>100.90032827441838</c:v>
                </c:pt>
                <c:pt idx="1494">
                  <c:v>100.90130959110608</c:v>
                </c:pt>
                <c:pt idx="1495">
                  <c:v>100.90323325635104</c:v>
                </c:pt>
                <c:pt idx="1496">
                  <c:v>100.90209365361248</c:v>
                </c:pt>
                <c:pt idx="1497">
                  <c:v>100.90230367468756</c:v>
                </c:pt>
                <c:pt idx="1498">
                  <c:v>100.90298230990089</c:v>
                </c:pt>
                <c:pt idx="1499">
                  <c:v>100.90335824338038</c:v>
                </c:pt>
                <c:pt idx="1500">
                  <c:v>100.90679775780764</c:v>
                </c:pt>
                <c:pt idx="1501">
                  <c:v>100.90674382372579</c:v>
                </c:pt>
                <c:pt idx="1502">
                  <c:v>100.90585539028446</c:v>
                </c:pt>
                <c:pt idx="1503">
                  <c:v>100.90543041574504</c:v>
                </c:pt>
                <c:pt idx="1504">
                  <c:v>100.90494555353902</c:v>
                </c:pt>
                <c:pt idx="1505">
                  <c:v>100.90740331491713</c:v>
                </c:pt>
                <c:pt idx="1506">
                  <c:v>100.90699635976205</c:v>
                </c:pt>
                <c:pt idx="1507">
                  <c:v>100.90825888947276</c:v>
                </c:pt>
                <c:pt idx="1508">
                  <c:v>100.90498866213152</c:v>
                </c:pt>
                <c:pt idx="1509">
                  <c:v>100.90574526476807</c:v>
                </c:pt>
                <c:pt idx="1510">
                  <c:v>100.90891700360854</c:v>
                </c:pt>
                <c:pt idx="1511">
                  <c:v>100.90871857435405</c:v>
                </c:pt>
                <c:pt idx="1512">
                  <c:v>100.90831108582432</c:v>
                </c:pt>
                <c:pt idx="1513">
                  <c:v>100.90915398291487</c:v>
                </c:pt>
                <c:pt idx="1514">
                  <c:v>100.91077132756932</c:v>
                </c:pt>
                <c:pt idx="1515">
                  <c:v>100.90891700360854</c:v>
                </c:pt>
                <c:pt idx="1516">
                  <c:v>100.90779049295774</c:v>
                </c:pt>
                <c:pt idx="1517">
                  <c:v>100.90721466849728</c:v>
                </c:pt>
                <c:pt idx="1518">
                  <c:v>100.90915398291487</c:v>
                </c:pt>
                <c:pt idx="1519">
                  <c:v>100.90892492283615</c:v>
                </c:pt>
                <c:pt idx="1520">
                  <c:v>100.9073664662186</c:v>
                </c:pt>
                <c:pt idx="1521">
                  <c:v>100.9085472324079</c:v>
                </c:pt>
                <c:pt idx="1522">
                  <c:v>100.90715710170618</c:v>
                </c:pt>
                <c:pt idx="1523">
                  <c:v>100.90685162954071</c:v>
                </c:pt>
                <c:pt idx="1524">
                  <c:v>100.90714064092904</c:v>
                </c:pt>
                <c:pt idx="1525">
                  <c:v>100.90713240835143</c:v>
                </c:pt>
                <c:pt idx="1526">
                  <c:v>100.9063100934663</c:v>
                </c:pt>
                <c:pt idx="1527">
                  <c:v>100.90615481096577</c:v>
                </c:pt>
                <c:pt idx="1528">
                  <c:v>100.90626817592054</c:v>
                </c:pt>
                <c:pt idx="1529">
                  <c:v>100.90688888888889</c:v>
                </c:pt>
                <c:pt idx="1530">
                  <c:v>100.90602431256448</c:v>
                </c:pt>
                <c:pt idx="1531">
                  <c:v>100.90682262942536</c:v>
                </c:pt>
                <c:pt idx="1532">
                  <c:v>100.90589345072321</c:v>
                </c:pt>
                <c:pt idx="1533">
                  <c:v>100.90518645908762</c:v>
                </c:pt>
                <c:pt idx="1534">
                  <c:v>100.90476839856358</c:v>
                </c:pt>
                <c:pt idx="1535">
                  <c:v>100.90264869888476</c:v>
                </c:pt>
                <c:pt idx="1536">
                  <c:v>100.90087063499574</c:v>
                </c:pt>
                <c:pt idx="1537">
                  <c:v>100.9011839064195</c:v>
                </c:pt>
                <c:pt idx="1538">
                  <c:v>100.89565174079793</c:v>
                </c:pt>
                <c:pt idx="1539">
                  <c:v>100.89407422388513</c:v>
                </c:pt>
                <c:pt idx="1540">
                  <c:v>100.89671153182468</c:v>
                </c:pt>
                <c:pt idx="1541">
                  <c:v>100.89613801992961</c:v>
                </c:pt>
                <c:pt idx="1542">
                  <c:v>100.89384880421565</c:v>
                </c:pt>
                <c:pt idx="1543">
                  <c:v>100.89227130148609</c:v>
                </c:pt>
                <c:pt idx="1544">
                  <c:v>100.89435199193142</c:v>
                </c:pt>
                <c:pt idx="1545">
                  <c:v>100.89313950522826</c:v>
                </c:pt>
                <c:pt idx="1546">
                  <c:v>100.89333536988951</c:v>
                </c:pt>
                <c:pt idx="1547">
                  <c:v>100.89546951402056</c:v>
                </c:pt>
                <c:pt idx="1548">
                  <c:v>100.89800389483933</c:v>
                </c:pt>
                <c:pt idx="1549">
                  <c:v>100.89846854705826</c:v>
                </c:pt>
                <c:pt idx="1550">
                  <c:v>100.8976250977326</c:v>
                </c:pt>
                <c:pt idx="1551">
                  <c:v>100.89791443329111</c:v>
                </c:pt>
                <c:pt idx="1552">
                  <c:v>100.89851281306012</c:v>
                </c:pt>
                <c:pt idx="1553">
                  <c:v>100.89901181007471</c:v>
                </c:pt>
                <c:pt idx="1554">
                  <c:v>100.89975596918512</c:v>
                </c:pt>
                <c:pt idx="1555">
                  <c:v>100.89820708420388</c:v>
                </c:pt>
                <c:pt idx="1556">
                  <c:v>100.89843409123964</c:v>
                </c:pt>
                <c:pt idx="1557">
                  <c:v>100.895615346288</c:v>
                </c:pt>
                <c:pt idx="1558">
                  <c:v>100.89731902171249</c:v>
                </c:pt>
                <c:pt idx="1559">
                  <c:v>100.90196537201685</c:v>
                </c:pt>
                <c:pt idx="1560">
                  <c:v>100.90090345773615</c:v>
                </c:pt>
                <c:pt idx="1561">
                  <c:v>100.89950110332917</c:v>
                </c:pt>
                <c:pt idx="1562">
                  <c:v>100.89577114427861</c:v>
                </c:pt>
                <c:pt idx="1563">
                  <c:v>100.89344387365851</c:v>
                </c:pt>
                <c:pt idx="1564">
                  <c:v>100.89574521025131</c:v>
                </c:pt>
                <c:pt idx="1565">
                  <c:v>100.89530234882558</c:v>
                </c:pt>
                <c:pt idx="1566">
                  <c:v>100.89603493623146</c:v>
                </c:pt>
                <c:pt idx="1567">
                  <c:v>100.8953755493408</c:v>
                </c:pt>
                <c:pt idx="1568">
                  <c:v>100.89338964938172</c:v>
                </c:pt>
                <c:pt idx="1569">
                  <c:v>100.89198803877088</c:v>
                </c:pt>
                <c:pt idx="1570">
                  <c:v>100.894776494224</c:v>
                </c:pt>
                <c:pt idx="1571">
                  <c:v>100.89708194144232</c:v>
                </c:pt>
                <c:pt idx="1572">
                  <c:v>100.894776494224</c:v>
                </c:pt>
                <c:pt idx="1573">
                  <c:v>100.89529711629767</c:v>
                </c:pt>
                <c:pt idx="1574">
                  <c:v>100.89667587295324</c:v>
                </c:pt>
                <c:pt idx="1575">
                  <c:v>100.89646140160127</c:v>
                </c:pt>
                <c:pt idx="1576">
                  <c:v>100.8964102056962</c:v>
                </c:pt>
                <c:pt idx="1577">
                  <c:v>100.89730895544336</c:v>
                </c:pt>
                <c:pt idx="1578">
                  <c:v>100.89523428514278</c:v>
                </c:pt>
                <c:pt idx="1579">
                  <c:v>100.89404743842614</c:v>
                </c:pt>
                <c:pt idx="1580">
                  <c:v>100.89019340636301</c:v>
                </c:pt>
                <c:pt idx="1581">
                  <c:v>100.88857568343794</c:v>
                </c:pt>
                <c:pt idx="1582">
                  <c:v>100.88821897342866</c:v>
                </c:pt>
                <c:pt idx="1583">
                  <c:v>100.89006087321579</c:v>
                </c:pt>
                <c:pt idx="1584">
                  <c:v>100.89156875938099</c:v>
                </c:pt>
                <c:pt idx="1585">
                  <c:v>100.89253103519032</c:v>
                </c:pt>
                <c:pt idx="1586">
                  <c:v>100.88977165105756</c:v>
                </c:pt>
                <c:pt idx="1587">
                  <c:v>100.88697059616941</c:v>
                </c:pt>
                <c:pt idx="1588">
                  <c:v>100.8888947815019</c:v>
                </c:pt>
                <c:pt idx="1589">
                  <c:v>100.88454119592174</c:v>
                </c:pt>
                <c:pt idx="1590">
                  <c:v>100.88599880285139</c:v>
                </c:pt>
                <c:pt idx="1591">
                  <c:v>100.88609797205459</c:v>
                </c:pt>
                <c:pt idx="1592">
                  <c:v>100.88895367327467</c:v>
                </c:pt>
                <c:pt idx="1593">
                  <c:v>100.88676899794616</c:v>
                </c:pt>
                <c:pt idx="1594">
                  <c:v>100.88646217212226</c:v>
                </c:pt>
                <c:pt idx="1595">
                  <c:v>100.89041167547209</c:v>
                </c:pt>
                <c:pt idx="1596">
                  <c:v>100.89152946049498</c:v>
                </c:pt>
                <c:pt idx="1597">
                  <c:v>100.89346554792779</c:v>
                </c:pt>
                <c:pt idx="1598">
                  <c:v>100.89317764633897</c:v>
                </c:pt>
                <c:pt idx="1599">
                  <c:v>100.88948673313288</c:v>
                </c:pt>
                <c:pt idx="1600">
                  <c:v>100.88938753959873</c:v>
                </c:pt>
                <c:pt idx="1601">
                  <c:v>100.88481416318452</c:v>
                </c:pt>
                <c:pt idx="1602">
                  <c:v>100.88455392075825</c:v>
                </c:pt>
                <c:pt idx="1603">
                  <c:v>100.88784796573876</c:v>
                </c:pt>
                <c:pt idx="1604">
                  <c:v>100.88727468388485</c:v>
                </c:pt>
                <c:pt idx="1605">
                  <c:v>100.89153507636551</c:v>
                </c:pt>
                <c:pt idx="1606">
                  <c:v>100.89104997659784</c:v>
                </c:pt>
                <c:pt idx="1607">
                  <c:v>100.89098761577688</c:v>
                </c:pt>
                <c:pt idx="1608">
                  <c:v>100.89112924180222</c:v>
                </c:pt>
                <c:pt idx="1609">
                  <c:v>100.89427201614939</c:v>
                </c:pt>
                <c:pt idx="1610">
                  <c:v>100.89455936383311</c:v>
                </c:pt>
                <c:pt idx="1611">
                  <c:v>100.89396700070857</c:v>
                </c:pt>
                <c:pt idx="1612">
                  <c:v>100.89653810064695</c:v>
                </c:pt>
                <c:pt idx="1613">
                  <c:v>100.89666058304148</c:v>
                </c:pt>
                <c:pt idx="1614">
                  <c:v>100.89965994539969</c:v>
                </c:pt>
                <c:pt idx="1615">
                  <c:v>100.89913336543091</c:v>
                </c:pt>
                <c:pt idx="1616">
                  <c:v>100.89949628208204</c:v>
                </c:pt>
                <c:pt idx="1617">
                  <c:v>100.90179994375175</c:v>
                </c:pt>
                <c:pt idx="1618">
                  <c:v>100.90456885163759</c:v>
                </c:pt>
                <c:pt idx="1619">
                  <c:v>100.90466005278967</c:v>
                </c:pt>
                <c:pt idx="1620">
                  <c:v>100.9024128936091</c:v>
                </c:pt>
                <c:pt idx="1621">
                  <c:v>100.90196078431373</c:v>
                </c:pt>
                <c:pt idx="1622">
                  <c:v>100.90345177197106</c:v>
                </c:pt>
                <c:pt idx="1623">
                  <c:v>100.90770518525045</c:v>
                </c:pt>
                <c:pt idx="1624">
                  <c:v>100.90760749724366</c:v>
                </c:pt>
                <c:pt idx="1625">
                  <c:v>100.90851927863412</c:v>
                </c:pt>
                <c:pt idx="1626">
                  <c:v>100.90941715669318</c:v>
                </c:pt>
                <c:pt idx="1627">
                  <c:v>100.90886153043024</c:v>
                </c:pt>
                <c:pt idx="1628">
                  <c:v>100.90880598964002</c:v>
                </c:pt>
                <c:pt idx="1629">
                  <c:v>100.90875038111416</c:v>
                </c:pt>
                <c:pt idx="1630">
                  <c:v>100.91188222923239</c:v>
                </c:pt>
                <c:pt idx="1631">
                  <c:v>100.91107054928263</c:v>
                </c:pt>
                <c:pt idx="1632">
                  <c:v>100.91210773619734</c:v>
                </c:pt>
                <c:pt idx="1633">
                  <c:v>100.91405480800788</c:v>
                </c:pt>
                <c:pt idx="1634">
                  <c:v>100.91439545621705</c:v>
                </c:pt>
                <c:pt idx="1635">
                  <c:v>100.91583641330548</c:v>
                </c:pt>
                <c:pt idx="1636">
                  <c:v>100.91771729311496</c:v>
                </c:pt>
                <c:pt idx="1637">
                  <c:v>100.91767202420718</c:v>
                </c:pt>
                <c:pt idx="1638">
                  <c:v>100.91703298879253</c:v>
                </c:pt>
                <c:pt idx="1639">
                  <c:v>100.91717730776833</c:v>
                </c:pt>
                <c:pt idx="1640">
                  <c:v>100.91641064517417</c:v>
                </c:pt>
                <c:pt idx="1641">
                  <c:v>100.91684197991506</c:v>
                </c:pt>
                <c:pt idx="1642">
                  <c:v>100.91594447119242</c:v>
                </c:pt>
                <c:pt idx="1643">
                  <c:v>100.91671635857682</c:v>
                </c:pt>
                <c:pt idx="1644">
                  <c:v>100.91664345680977</c:v>
                </c:pt>
                <c:pt idx="1645">
                  <c:v>100.91872599604298</c:v>
                </c:pt>
                <c:pt idx="1646">
                  <c:v>100.9186344570452</c:v>
                </c:pt>
                <c:pt idx="1647">
                  <c:v>100.92006257631257</c:v>
                </c:pt>
                <c:pt idx="1648">
                  <c:v>100.92217682020802</c:v>
                </c:pt>
                <c:pt idx="1649">
                  <c:v>100.92218549195854</c:v>
                </c:pt>
                <c:pt idx="1650">
                  <c:v>100.92533856022808</c:v>
                </c:pt>
                <c:pt idx="1651">
                  <c:v>100.92543953306286</c:v>
                </c:pt>
                <c:pt idx="1652">
                  <c:v>100.9251143837575</c:v>
                </c:pt>
                <c:pt idx="1653">
                  <c:v>100.92210448038669</c:v>
                </c:pt>
                <c:pt idx="1654">
                  <c:v>100.92304301509753</c:v>
                </c:pt>
                <c:pt idx="1655">
                  <c:v>100.92447456649482</c:v>
                </c:pt>
                <c:pt idx="1656">
                  <c:v>100.9234031662462</c:v>
                </c:pt>
                <c:pt idx="1657">
                  <c:v>100.91816086565882</c:v>
                </c:pt>
                <c:pt idx="1658">
                  <c:v>100.91848249027237</c:v>
                </c:pt>
                <c:pt idx="1659">
                  <c:v>100.91491694756935</c:v>
                </c:pt>
                <c:pt idx="1660">
                  <c:v>100.91619664786592</c:v>
                </c:pt>
                <c:pt idx="1661">
                  <c:v>100.91620670346373</c:v>
                </c:pt>
                <c:pt idx="1662">
                  <c:v>100.91636058767168</c:v>
                </c:pt>
                <c:pt idx="1663">
                  <c:v>100.91672297968756</c:v>
                </c:pt>
                <c:pt idx="1664">
                  <c:v>100.91660363839019</c:v>
                </c:pt>
                <c:pt idx="1665">
                  <c:v>100.91572468723601</c:v>
                </c:pt>
                <c:pt idx="1666">
                  <c:v>100.91513752177259</c:v>
                </c:pt>
                <c:pt idx="1667">
                  <c:v>100.91445487954267</c:v>
                </c:pt>
                <c:pt idx="1668">
                  <c:v>100.91403012023473</c:v>
                </c:pt>
                <c:pt idx="1669">
                  <c:v>100.91489620993622</c:v>
                </c:pt>
                <c:pt idx="1670">
                  <c:v>100.91879844961241</c:v>
                </c:pt>
                <c:pt idx="1671">
                  <c:v>100.91807766003207</c:v>
                </c:pt>
                <c:pt idx="1672">
                  <c:v>100.9200534249189</c:v>
                </c:pt>
                <c:pt idx="1673">
                  <c:v>100.91988527724665</c:v>
                </c:pt>
                <c:pt idx="1674">
                  <c:v>100.92001374465485</c:v>
                </c:pt>
                <c:pt idx="1675">
                  <c:v>100.91642731769586</c:v>
                </c:pt>
                <c:pt idx="1676">
                  <c:v>100.91784635896632</c:v>
                </c:pt>
                <c:pt idx="1677">
                  <c:v>100.91777219561975</c:v>
                </c:pt>
                <c:pt idx="1678">
                  <c:v>100.9203906368749</c:v>
                </c:pt>
                <c:pt idx="1679">
                  <c:v>100.9224705795278</c:v>
                </c:pt>
                <c:pt idx="1680">
                  <c:v>100.92449089926113</c:v>
                </c:pt>
                <c:pt idx="1681">
                  <c:v>100.92447184368015</c:v>
                </c:pt>
                <c:pt idx="1682">
                  <c:v>100.92461859527921</c:v>
                </c:pt>
                <c:pt idx="1683">
                  <c:v>100.92472152353575</c:v>
                </c:pt>
                <c:pt idx="1684">
                  <c:v>100.9298204475412</c:v>
                </c:pt>
                <c:pt idx="1685">
                  <c:v>100.93101745143234</c:v>
                </c:pt>
                <c:pt idx="1686">
                  <c:v>100.92898305084746</c:v>
                </c:pt>
                <c:pt idx="1687">
                  <c:v>100.92986273853364</c:v>
                </c:pt>
                <c:pt idx="1688">
                  <c:v>100.9307529582865</c:v>
                </c:pt>
                <c:pt idx="1689">
                  <c:v>100.93293639361055</c:v>
                </c:pt>
                <c:pt idx="1690">
                  <c:v>100.93213695701468</c:v>
                </c:pt>
                <c:pt idx="1691">
                  <c:v>100.92942325832098</c:v>
                </c:pt>
                <c:pt idx="1692">
                  <c:v>100.93108552631578</c:v>
                </c:pt>
                <c:pt idx="1693">
                  <c:v>100.93050026539278</c:v>
                </c:pt>
                <c:pt idx="1694">
                  <c:v>100.93022481265612</c:v>
                </c:pt>
                <c:pt idx="1695">
                  <c:v>100.93142838439383</c:v>
                </c:pt>
                <c:pt idx="1696">
                  <c:v>100.93074609103832</c:v>
                </c:pt>
                <c:pt idx="1697">
                  <c:v>100.93144633507853</c:v>
                </c:pt>
                <c:pt idx="1698">
                  <c:v>100.93198714410934</c:v>
                </c:pt>
                <c:pt idx="1699">
                  <c:v>100.93323560342904</c:v>
                </c:pt>
                <c:pt idx="1700">
                  <c:v>100.93245639488023</c:v>
                </c:pt>
                <c:pt idx="1701">
                  <c:v>100.9321193662314</c:v>
                </c:pt>
                <c:pt idx="1702">
                  <c:v>100.93329512529054</c:v>
                </c:pt>
                <c:pt idx="1703">
                  <c:v>100.93510516370846</c:v>
                </c:pt>
                <c:pt idx="1704">
                  <c:v>100.93430336479663</c:v>
                </c:pt>
                <c:pt idx="1705">
                  <c:v>100.93264098771783</c:v>
                </c:pt>
                <c:pt idx="1706">
                  <c:v>100.92909361673323</c:v>
                </c:pt>
                <c:pt idx="1707">
                  <c:v>100.93205772660937</c:v>
                </c:pt>
                <c:pt idx="1708">
                  <c:v>100.93180116540252</c:v>
                </c:pt>
                <c:pt idx="1709">
                  <c:v>100.93478802216273</c:v>
                </c:pt>
                <c:pt idx="1710">
                  <c:v>100.93558206752353</c:v>
                </c:pt>
                <c:pt idx="1711">
                  <c:v>100.93515939337667</c:v>
                </c:pt>
                <c:pt idx="1712">
                  <c:v>100.93550075428712</c:v>
                </c:pt>
                <c:pt idx="1713">
                  <c:v>100.93367734582753</c:v>
                </c:pt>
                <c:pt idx="1714">
                  <c:v>100.93391375666383</c:v>
                </c:pt>
                <c:pt idx="1715">
                  <c:v>100.93156055012903</c:v>
                </c:pt>
                <c:pt idx="1716">
                  <c:v>100.93307992078196</c:v>
                </c:pt>
                <c:pt idx="1717">
                  <c:v>100.93259981340283</c:v>
                </c:pt>
                <c:pt idx="1718">
                  <c:v>100.93249556951828</c:v>
                </c:pt>
                <c:pt idx="1719">
                  <c:v>100.93105377476469</c:v>
                </c:pt>
                <c:pt idx="1720">
                  <c:v>100.93246728128425</c:v>
                </c:pt>
                <c:pt idx="1721">
                  <c:v>100.93387621121737</c:v>
                </c:pt>
                <c:pt idx="1722">
                  <c:v>100.93556621762933</c:v>
                </c:pt>
                <c:pt idx="1723">
                  <c:v>100.93748134885109</c:v>
                </c:pt>
                <c:pt idx="1724">
                  <c:v>100.93856485147063</c:v>
                </c:pt>
                <c:pt idx="1725">
                  <c:v>100.9384493345477</c:v>
                </c:pt>
                <c:pt idx="1726">
                  <c:v>100.93835515668677</c:v>
                </c:pt>
                <c:pt idx="1727">
                  <c:v>100.93968098583439</c:v>
                </c:pt>
                <c:pt idx="1728">
                  <c:v>100.94062632846818</c:v>
                </c:pt>
                <c:pt idx="1729">
                  <c:v>100.9417489225636</c:v>
                </c:pt>
                <c:pt idx="1730">
                  <c:v>100.94337837837838</c:v>
                </c:pt>
                <c:pt idx="1731">
                  <c:v>100.94136908093586</c:v>
                </c:pt>
                <c:pt idx="1732">
                  <c:v>100.94164507952425</c:v>
                </c:pt>
                <c:pt idx="1733">
                  <c:v>100.94427450458838</c:v>
                </c:pt>
                <c:pt idx="1734">
                  <c:v>100.94496400987758</c:v>
                </c:pt>
                <c:pt idx="1735">
                  <c:v>100.9441839398945</c:v>
                </c:pt>
                <c:pt idx="1736">
                  <c:v>100.94359181475498</c:v>
                </c:pt>
                <c:pt idx="1737">
                  <c:v>100.94334775554354</c:v>
                </c:pt>
                <c:pt idx="1738">
                  <c:v>100.94371910595315</c:v>
                </c:pt>
                <c:pt idx="1739">
                  <c:v>100.94434112646121</c:v>
                </c:pt>
                <c:pt idx="1740">
                  <c:v>100.94524450484828</c:v>
                </c:pt>
                <c:pt idx="1741">
                  <c:v>100.94536445429652</c:v>
                </c:pt>
                <c:pt idx="1742">
                  <c:v>100.94450184110838</c:v>
                </c:pt>
                <c:pt idx="1743">
                  <c:v>100.94218616331374</c:v>
                </c:pt>
                <c:pt idx="1744">
                  <c:v>100.94356750350178</c:v>
                </c:pt>
                <c:pt idx="1745">
                  <c:v>100.94192654192655</c:v>
                </c:pt>
                <c:pt idx="1746">
                  <c:v>100.94206465529162</c:v>
                </c:pt>
                <c:pt idx="1747">
                  <c:v>100.94058760138392</c:v>
                </c:pt>
                <c:pt idx="1748">
                  <c:v>100.93595035005656</c:v>
                </c:pt>
                <c:pt idx="1749">
                  <c:v>100.93216332610174</c:v>
                </c:pt>
                <c:pt idx="1750">
                  <c:v>100.93311410510185</c:v>
                </c:pt>
                <c:pt idx="1751">
                  <c:v>100.93371302009176</c:v>
                </c:pt>
                <c:pt idx="1752">
                  <c:v>100.93597579610048</c:v>
                </c:pt>
                <c:pt idx="1753">
                  <c:v>100.93642267540665</c:v>
                </c:pt>
                <c:pt idx="1754">
                  <c:v>100.93522154540676</c:v>
                </c:pt>
                <c:pt idx="1755">
                  <c:v>100.93608517908353</c:v>
                </c:pt>
                <c:pt idx="1756">
                  <c:v>100.93444315799356</c:v>
                </c:pt>
                <c:pt idx="1757">
                  <c:v>100.93617475018279</c:v>
                </c:pt>
                <c:pt idx="1758">
                  <c:v>100.93558998954683</c:v>
                </c:pt>
                <c:pt idx="1759">
                  <c:v>100.93649975751697</c:v>
                </c:pt>
                <c:pt idx="1760">
                  <c:v>100.93620584652862</c:v>
                </c:pt>
                <c:pt idx="1761">
                  <c:v>100.93883568842695</c:v>
                </c:pt>
                <c:pt idx="1762">
                  <c:v>100.9383097762073</c:v>
                </c:pt>
                <c:pt idx="1763">
                  <c:v>100.93907226988513</c:v>
                </c:pt>
                <c:pt idx="1764">
                  <c:v>100.93736171739521</c:v>
                </c:pt>
                <c:pt idx="1765">
                  <c:v>100.93747575133554</c:v>
                </c:pt>
                <c:pt idx="1766">
                  <c:v>100.93523356107212</c:v>
                </c:pt>
                <c:pt idx="1767">
                  <c:v>100.93444315799356</c:v>
                </c:pt>
                <c:pt idx="1768">
                  <c:v>100.93571450489429</c:v>
                </c:pt>
                <c:pt idx="1769">
                  <c:v>100.93964101529862</c:v>
                </c:pt>
                <c:pt idx="1770">
                  <c:v>100.94130172872713</c:v>
                </c:pt>
                <c:pt idx="1771">
                  <c:v>100.94101416223216</c:v>
                </c:pt>
                <c:pt idx="1772">
                  <c:v>100.94263731449537</c:v>
                </c:pt>
                <c:pt idx="1773">
                  <c:v>100.9423706434132</c:v>
                </c:pt>
                <c:pt idx="1774">
                  <c:v>100.94105233539673</c:v>
                </c:pt>
                <c:pt idx="1775">
                  <c:v>100.94145918909101</c:v>
                </c:pt>
                <c:pt idx="1776">
                  <c:v>100.94241341396372</c:v>
                </c:pt>
                <c:pt idx="1777">
                  <c:v>100.94217978086274</c:v>
                </c:pt>
                <c:pt idx="1778">
                  <c:v>100.94227218869692</c:v>
                </c:pt>
                <c:pt idx="1779">
                  <c:v>100.94046942486929</c:v>
                </c:pt>
                <c:pt idx="1780">
                  <c:v>100.93970528981754</c:v>
                </c:pt>
                <c:pt idx="1781">
                  <c:v>100.93799206772036</c:v>
                </c:pt>
                <c:pt idx="1782">
                  <c:v>100.93862604365022</c:v>
                </c:pt>
                <c:pt idx="1783">
                  <c:v>100.94061286390566</c:v>
                </c:pt>
                <c:pt idx="1784">
                  <c:v>100.94063978692658</c:v>
                </c:pt>
                <c:pt idx="1785">
                  <c:v>100.93980749892256</c:v>
                </c:pt>
                <c:pt idx="1786">
                  <c:v>100.93939130937916</c:v>
                </c:pt>
                <c:pt idx="1787">
                  <c:v>100.93968793182864</c:v>
                </c:pt>
                <c:pt idx="1788">
                  <c:v>100.94068180531174</c:v>
                </c:pt>
                <c:pt idx="1789">
                  <c:v>100.94113515032312</c:v>
                </c:pt>
                <c:pt idx="1790">
                  <c:v>100.94105233539673</c:v>
                </c:pt>
                <c:pt idx="1791">
                  <c:v>100.94007265654052</c:v>
                </c:pt>
                <c:pt idx="1792">
                  <c:v>100.93919252314748</c:v>
                </c:pt>
                <c:pt idx="1793">
                  <c:v>100.94024699808905</c:v>
                </c:pt>
                <c:pt idx="1794">
                  <c:v>100.93899242865463</c:v>
                </c:pt>
                <c:pt idx="1795">
                  <c:v>100.94239599659051</c:v>
                </c:pt>
                <c:pt idx="1796">
                  <c:v>100.9422467263956</c:v>
                </c:pt>
                <c:pt idx="1797">
                  <c:v>100.94279551101766</c:v>
                </c:pt>
                <c:pt idx="1798">
                  <c:v>100.94452388518165</c:v>
                </c:pt>
                <c:pt idx="1799">
                  <c:v>100.94484084147336</c:v>
                </c:pt>
                <c:pt idx="1800">
                  <c:v>100.94558441558442</c:v>
                </c:pt>
                <c:pt idx="1801">
                  <c:v>100.94414822713944</c:v>
                </c:pt>
                <c:pt idx="1802">
                  <c:v>100.94397047417827</c:v>
                </c:pt>
                <c:pt idx="1803">
                  <c:v>100.94283453394455</c:v>
                </c:pt>
                <c:pt idx="1804">
                  <c:v>100.94032869064912</c:v>
                </c:pt>
                <c:pt idx="1805">
                  <c:v>100.9392736021334</c:v>
                </c:pt>
                <c:pt idx="1806">
                  <c:v>100.93931933381607</c:v>
                </c:pt>
                <c:pt idx="1807">
                  <c:v>100.93855764436753</c:v>
                </c:pt>
                <c:pt idx="1808">
                  <c:v>100.9383097762073</c:v>
                </c:pt>
                <c:pt idx="1809">
                  <c:v>100.93858106127236</c:v>
                </c:pt>
                <c:pt idx="1810">
                  <c:v>100.93865839018534</c:v>
                </c:pt>
                <c:pt idx="1811">
                  <c:v>100.93982305968863</c:v>
                </c:pt>
                <c:pt idx="1812">
                  <c:v>100.94098757781471</c:v>
                </c:pt>
                <c:pt idx="1813">
                  <c:v>100.94104072270846</c:v>
                </c:pt>
                <c:pt idx="1814">
                  <c:v>100.9412967944407</c:v>
                </c:pt>
                <c:pt idx="1815">
                  <c:v>100.93891059660582</c:v>
                </c:pt>
                <c:pt idx="1816">
                  <c:v>100.94108383250372</c:v>
                </c:pt>
                <c:pt idx="1817">
                  <c:v>100.94091934574168</c:v>
                </c:pt>
                <c:pt idx="1818">
                  <c:v>100.94109874044085</c:v>
                </c:pt>
                <c:pt idx="1819">
                  <c:v>100.94108051860393</c:v>
                </c:pt>
                <c:pt idx="1820">
                  <c:v>100.94024529378208</c:v>
                </c:pt>
                <c:pt idx="1821">
                  <c:v>100.94111033028813</c:v>
                </c:pt>
                <c:pt idx="1822">
                  <c:v>100.9417489225636</c:v>
                </c:pt>
                <c:pt idx="1823">
                  <c:v>100.94045081151758</c:v>
                </c:pt>
                <c:pt idx="1824">
                  <c:v>100.93929295856273</c:v>
                </c:pt>
                <c:pt idx="1825">
                  <c:v>100.9378375170613</c:v>
                </c:pt>
                <c:pt idx="1826">
                  <c:v>100.9378964842592</c:v>
                </c:pt>
                <c:pt idx="1827">
                  <c:v>100.93570464031427</c:v>
                </c:pt>
                <c:pt idx="1828">
                  <c:v>100.93576969065211</c:v>
                </c:pt>
                <c:pt idx="1829">
                  <c:v>100.93470876055723</c:v>
                </c:pt>
                <c:pt idx="1830">
                  <c:v>100.93454761309673</c:v>
                </c:pt>
                <c:pt idx="1831">
                  <c:v>100.93680813199408</c:v>
                </c:pt>
                <c:pt idx="1832">
                  <c:v>100.93475146380965</c:v>
                </c:pt>
                <c:pt idx="1833">
                  <c:v>100.92999398516341</c:v>
                </c:pt>
                <c:pt idx="1834">
                  <c:v>100.93155607827764</c:v>
                </c:pt>
                <c:pt idx="1835">
                  <c:v>100.93080784728186</c:v>
                </c:pt>
                <c:pt idx="1836">
                  <c:v>100.93154713282144</c:v>
                </c:pt>
                <c:pt idx="1837">
                  <c:v>100.93117382305594</c:v>
                </c:pt>
                <c:pt idx="1838">
                  <c:v>100.93085580382191</c:v>
                </c:pt>
                <c:pt idx="1839">
                  <c:v>100.93085580382191</c:v>
                </c:pt>
                <c:pt idx="1840">
                  <c:v>100.93357641090678</c:v>
                </c:pt>
                <c:pt idx="1841">
                  <c:v>100.93213475866537</c:v>
                </c:pt>
                <c:pt idx="1842">
                  <c:v>100.93270157404433</c:v>
                </c:pt>
                <c:pt idx="1843">
                  <c:v>100.93295999999999</c:v>
                </c:pt>
                <c:pt idx="1844">
                  <c:v>100.93350261863196</c:v>
                </c:pt>
                <c:pt idx="1845">
                  <c:v>100.93214355120814</c:v>
                </c:pt>
                <c:pt idx="1846">
                  <c:v>100.934080110758</c:v>
                </c:pt>
                <c:pt idx="1847">
                  <c:v>100.9329814459373</c:v>
                </c:pt>
                <c:pt idx="1848">
                  <c:v>100.93360798605609</c:v>
                </c:pt>
                <c:pt idx="1849">
                  <c:v>100.93387203686753</c:v>
                </c:pt>
                <c:pt idx="1850">
                  <c:v>100.93402613761613</c:v>
                </c:pt>
                <c:pt idx="1851">
                  <c:v>100.9318787799961</c:v>
                </c:pt>
                <c:pt idx="1852">
                  <c:v>100.93216771895742</c:v>
                </c:pt>
                <c:pt idx="1853">
                  <c:v>100.9316543242097</c:v>
                </c:pt>
                <c:pt idx="1854">
                  <c:v>100.93135648754915</c:v>
                </c:pt>
                <c:pt idx="1855">
                  <c:v>100.93101745143234</c:v>
                </c:pt>
                <c:pt idx="1856">
                  <c:v>100.93312264572559</c:v>
                </c:pt>
                <c:pt idx="1857">
                  <c:v>100.93268860043696</c:v>
                </c:pt>
                <c:pt idx="1858">
                  <c:v>100.93351949988893</c:v>
                </c:pt>
                <c:pt idx="1859">
                  <c:v>100.93630476422122</c:v>
                </c:pt>
                <c:pt idx="1860">
                  <c:v>100.93856845438818</c:v>
                </c:pt>
                <c:pt idx="1861">
                  <c:v>100.93820605846091</c:v>
                </c:pt>
                <c:pt idx="1862">
                  <c:v>100.9379975731747</c:v>
                </c:pt>
                <c:pt idx="1863">
                  <c:v>100.93900131023439</c:v>
                </c:pt>
                <c:pt idx="1864">
                  <c:v>100.93817688199015</c:v>
                </c:pt>
                <c:pt idx="1865">
                  <c:v>100.93672606463304</c:v>
                </c:pt>
                <c:pt idx="1866">
                  <c:v>100.93631831722293</c:v>
                </c:pt>
                <c:pt idx="1867">
                  <c:v>100.93683290116384</c:v>
                </c:pt>
                <c:pt idx="1868">
                  <c:v>100.93557810578106</c:v>
                </c:pt>
                <c:pt idx="1869">
                  <c:v>100.93397207601879</c:v>
                </c:pt>
                <c:pt idx="1870">
                  <c:v>100.93277499679117</c:v>
                </c:pt>
                <c:pt idx="1871">
                  <c:v>100.93356798579401</c:v>
                </c:pt>
                <c:pt idx="1872">
                  <c:v>100.93271238156416</c:v>
                </c:pt>
                <c:pt idx="1873">
                  <c:v>100.93463950332263</c:v>
                </c:pt>
                <c:pt idx="1874">
                  <c:v>100.93396375098503</c:v>
                </c:pt>
                <c:pt idx="1875">
                  <c:v>100.93341173479118</c:v>
                </c:pt>
                <c:pt idx="1876">
                  <c:v>100.93382399393518</c:v>
                </c:pt>
                <c:pt idx="1877">
                  <c:v>100.93772480009513</c:v>
                </c:pt>
                <c:pt idx="1878">
                  <c:v>100.93721717761994</c:v>
                </c:pt>
                <c:pt idx="1879">
                  <c:v>100.93742532855435</c:v>
                </c:pt>
                <c:pt idx="1880">
                  <c:v>100.93800858115105</c:v>
                </c:pt>
                <c:pt idx="1881">
                  <c:v>100.93768960799477</c:v>
                </c:pt>
                <c:pt idx="1882">
                  <c:v>100.93839322472505</c:v>
                </c:pt>
                <c:pt idx="1883">
                  <c:v>100.9396531858509</c:v>
                </c:pt>
                <c:pt idx="1884">
                  <c:v>100.93919958208782</c:v>
                </c:pt>
                <c:pt idx="1885">
                  <c:v>100.94014627735558</c:v>
                </c:pt>
                <c:pt idx="1886">
                  <c:v>100.94040846512686</c:v>
                </c:pt>
                <c:pt idx="1887">
                  <c:v>100.94061623061879</c:v>
                </c:pt>
                <c:pt idx="1888">
                  <c:v>100.93943161120588</c:v>
                </c:pt>
                <c:pt idx="1889">
                  <c:v>100.93795166449473</c:v>
                </c:pt>
                <c:pt idx="1890">
                  <c:v>100.93889456030334</c:v>
                </c:pt>
                <c:pt idx="1891">
                  <c:v>100.94006236946757</c:v>
                </c:pt>
                <c:pt idx="1892">
                  <c:v>100.93941935110752</c:v>
                </c:pt>
                <c:pt idx="1893">
                  <c:v>100.94087098868222</c:v>
                </c:pt>
                <c:pt idx="1894">
                  <c:v>100.94001431639226</c:v>
                </c:pt>
                <c:pt idx="1895">
                  <c:v>100.93905454545454</c:v>
                </c:pt>
                <c:pt idx="1896">
                  <c:v>100.93711163809924</c:v>
                </c:pt>
                <c:pt idx="1897">
                  <c:v>100.93726981465402</c:v>
                </c:pt>
                <c:pt idx="1898">
                  <c:v>100.93927536231884</c:v>
                </c:pt>
                <c:pt idx="1899">
                  <c:v>100.93354058941091</c:v>
                </c:pt>
                <c:pt idx="1900">
                  <c:v>100.93251079183042</c:v>
                </c:pt>
                <c:pt idx="1901">
                  <c:v>100.93364583663256</c:v>
                </c:pt>
                <c:pt idx="1902">
                  <c:v>100.935271581289</c:v>
                </c:pt>
                <c:pt idx="1903">
                  <c:v>100.93500046539046</c:v>
                </c:pt>
                <c:pt idx="1904">
                  <c:v>100.93728765360035</c:v>
                </c:pt>
                <c:pt idx="1905">
                  <c:v>100.9375540254553</c:v>
                </c:pt>
                <c:pt idx="1906">
                  <c:v>100.93741972100248</c:v>
                </c:pt>
                <c:pt idx="1907">
                  <c:v>100.93714371437143</c:v>
                </c:pt>
                <c:pt idx="1908">
                  <c:v>100.93948060201635</c:v>
                </c:pt>
                <c:pt idx="1909">
                  <c:v>100.94049140747053</c:v>
                </c:pt>
                <c:pt idx="1910">
                  <c:v>100.94138548486374</c:v>
                </c:pt>
                <c:pt idx="1911">
                  <c:v>100.94031168979173</c:v>
                </c:pt>
                <c:pt idx="1912">
                  <c:v>100.93893196525389</c:v>
                </c:pt>
                <c:pt idx="1913">
                  <c:v>100.93669356057173</c:v>
                </c:pt>
                <c:pt idx="1914">
                  <c:v>100.93748507997135</c:v>
                </c:pt>
                <c:pt idx="1915">
                  <c:v>100.93715314234288</c:v>
                </c:pt>
                <c:pt idx="1916">
                  <c:v>100.93616697135893</c:v>
                </c:pt>
                <c:pt idx="1917">
                  <c:v>100.93695455913331</c:v>
                </c:pt>
                <c:pt idx="1918">
                  <c:v>100.93634153752659</c:v>
                </c:pt>
                <c:pt idx="1919">
                  <c:v>100.93596601155363</c:v>
                </c:pt>
                <c:pt idx="1920">
                  <c:v>100.93936499667159</c:v>
                </c:pt>
                <c:pt idx="1921">
                  <c:v>100.93871401825416</c:v>
                </c:pt>
                <c:pt idx="1922">
                  <c:v>100.93586014756758</c:v>
                </c:pt>
                <c:pt idx="1923">
                  <c:v>100.93565724815724</c:v>
                </c:pt>
                <c:pt idx="1924">
                  <c:v>100.93480628598101</c:v>
                </c:pt>
                <c:pt idx="1925">
                  <c:v>100.93318663094783</c:v>
                </c:pt>
                <c:pt idx="1926">
                  <c:v>100.93253904363226</c:v>
                </c:pt>
                <c:pt idx="1927">
                  <c:v>100.93381354058067</c:v>
                </c:pt>
                <c:pt idx="1928">
                  <c:v>100.93222258168878</c:v>
                </c:pt>
                <c:pt idx="1929">
                  <c:v>100.93052331365656</c:v>
                </c:pt>
                <c:pt idx="1930">
                  <c:v>100.93112630679204</c:v>
                </c:pt>
                <c:pt idx="1931">
                  <c:v>100.92495880793753</c:v>
                </c:pt>
                <c:pt idx="1932">
                  <c:v>100.91872914888664</c:v>
                </c:pt>
                <c:pt idx="1933">
                  <c:v>100.92127907413671</c:v>
                </c:pt>
                <c:pt idx="1934">
                  <c:v>100.91702313054499</c:v>
                </c:pt>
                <c:pt idx="1935">
                  <c:v>100.92169102530558</c:v>
                </c:pt>
                <c:pt idx="1936">
                  <c:v>100.92698822053391</c:v>
                </c:pt>
                <c:pt idx="1937">
                  <c:v>100.93147324349077</c:v>
                </c:pt>
                <c:pt idx="1938">
                  <c:v>100.93000334112931</c:v>
                </c:pt>
                <c:pt idx="1939">
                  <c:v>100.92767382448388</c:v>
                </c:pt>
                <c:pt idx="1940">
                  <c:v>100.9312438464063</c:v>
                </c:pt>
                <c:pt idx="1941">
                  <c:v>100.93038248097564</c:v>
                </c:pt>
                <c:pt idx="1942">
                  <c:v>100.92876088139282</c:v>
                </c:pt>
                <c:pt idx="1943">
                  <c:v>100.93024572151562</c:v>
                </c:pt>
                <c:pt idx="1944">
                  <c:v>100.92805878918993</c:v>
                </c:pt>
                <c:pt idx="1945">
                  <c:v>100.92717856025583</c:v>
                </c:pt>
                <c:pt idx="1946">
                  <c:v>100.92858360320436</c:v>
                </c:pt>
                <c:pt idx="1947">
                  <c:v>100.93018528392429</c:v>
                </c:pt>
                <c:pt idx="1948">
                  <c:v>100.92781835722161</c:v>
                </c:pt>
                <c:pt idx="1949">
                  <c:v>100.92606839114939</c:v>
                </c:pt>
                <c:pt idx="1950">
                  <c:v>100.92609186481337</c:v>
                </c:pt>
                <c:pt idx="1951">
                  <c:v>100.92536249955467</c:v>
                </c:pt>
                <c:pt idx="1952">
                  <c:v>100.92661482415581</c:v>
                </c:pt>
                <c:pt idx="1953">
                  <c:v>100.92875967015217</c:v>
                </c:pt>
                <c:pt idx="1954">
                  <c:v>100.92871725076557</c:v>
                </c:pt>
                <c:pt idx="1955">
                  <c:v>100.93014803947719</c:v>
                </c:pt>
                <c:pt idx="1956">
                  <c:v>100.93043333886767</c:v>
                </c:pt>
                <c:pt idx="1957">
                  <c:v>100.92634909474424</c:v>
                </c:pt>
                <c:pt idx="1958">
                  <c:v>100.92876330375056</c:v>
                </c:pt>
                <c:pt idx="1959">
                  <c:v>100.93080556197773</c:v>
                </c:pt>
                <c:pt idx="1960">
                  <c:v>100.93062224724311</c:v>
                </c:pt>
                <c:pt idx="1961">
                  <c:v>100.93172559882679</c:v>
                </c:pt>
                <c:pt idx="1962">
                  <c:v>100.93131597928004</c:v>
                </c:pt>
                <c:pt idx="1963">
                  <c:v>100.93041254235037</c:v>
                </c:pt>
                <c:pt idx="1964">
                  <c:v>100.92824605267664</c:v>
                </c:pt>
                <c:pt idx="1965">
                  <c:v>100.92627911886832</c:v>
                </c:pt>
                <c:pt idx="1966">
                  <c:v>100.92687098575817</c:v>
                </c:pt>
                <c:pt idx="1967">
                  <c:v>100.92637239052506</c:v>
                </c:pt>
                <c:pt idx="1968">
                  <c:v>100.92431905209162</c:v>
                </c:pt>
                <c:pt idx="1969">
                  <c:v>100.92635945024429</c:v>
                </c:pt>
                <c:pt idx="1970">
                  <c:v>100.92382095196538</c:v>
                </c:pt>
                <c:pt idx="1971">
                  <c:v>100.92492922922564</c:v>
                </c:pt>
                <c:pt idx="1972">
                  <c:v>100.92459960410294</c:v>
                </c:pt>
                <c:pt idx="1973">
                  <c:v>100.92487000179308</c:v>
                </c:pt>
                <c:pt idx="1974">
                  <c:v>100.92617000281929</c:v>
                </c:pt>
                <c:pt idx="1975">
                  <c:v>100.9281845605375</c:v>
                </c:pt>
                <c:pt idx="1976">
                  <c:v>100.92642152214378</c:v>
                </c:pt>
                <c:pt idx="1977">
                  <c:v>100.92820917003633</c:v>
                </c:pt>
                <c:pt idx="1978">
                  <c:v>100.92939947428725</c:v>
                </c:pt>
                <c:pt idx="1979">
                  <c:v>100.92803902036891</c:v>
                </c:pt>
                <c:pt idx="1980">
                  <c:v>100.93442879499217</c:v>
                </c:pt>
                <c:pt idx="1981">
                  <c:v>100.93372140845962</c:v>
                </c:pt>
                <c:pt idx="1982">
                  <c:v>100.93404898318957</c:v>
                </c:pt>
                <c:pt idx="1983">
                  <c:v>100.93691659138814</c:v>
                </c:pt>
                <c:pt idx="1984">
                  <c:v>100.9388802987426</c:v>
                </c:pt>
                <c:pt idx="1985">
                  <c:v>100.93923661465283</c:v>
                </c:pt>
                <c:pt idx="1986">
                  <c:v>100.94143464161914</c:v>
                </c:pt>
                <c:pt idx="1987">
                  <c:v>100.94150822235251</c:v>
                </c:pt>
                <c:pt idx="1988">
                  <c:v>100.9435051101583</c:v>
                </c:pt>
                <c:pt idx="1989">
                  <c:v>100.94057580485038</c:v>
                </c:pt>
                <c:pt idx="1990">
                  <c:v>100.94216222185412</c:v>
                </c:pt>
                <c:pt idx="1991">
                  <c:v>100.93971396506575</c:v>
                </c:pt>
                <c:pt idx="1992">
                  <c:v>100.93720588676078</c:v>
                </c:pt>
                <c:pt idx="1993">
                  <c:v>100.93708897630702</c:v>
                </c:pt>
                <c:pt idx="1994">
                  <c:v>100.93874269005848</c:v>
                </c:pt>
                <c:pt idx="1995">
                  <c:v>100.93918722786647</c:v>
                </c:pt>
                <c:pt idx="1996">
                  <c:v>100.94013088331953</c:v>
                </c:pt>
                <c:pt idx="1997">
                  <c:v>100.93891237789765</c:v>
                </c:pt>
                <c:pt idx="1998">
                  <c:v>100.93747575133554</c:v>
                </c:pt>
                <c:pt idx="1999">
                  <c:v>100.93260631795664</c:v>
                </c:pt>
                <c:pt idx="2000">
                  <c:v>100.93223573554147</c:v>
                </c:pt>
                <c:pt idx="2001">
                  <c:v>100.93217869860797</c:v>
                </c:pt>
                <c:pt idx="2002">
                  <c:v>100.93422498508681</c:v>
                </c:pt>
                <c:pt idx="2003">
                  <c:v>100.93503271622167</c:v>
                </c:pt>
                <c:pt idx="2004">
                  <c:v>100.93431778279408</c:v>
                </c:pt>
                <c:pt idx="2005">
                  <c:v>100.93385115721007</c:v>
                </c:pt>
                <c:pt idx="2006">
                  <c:v>100.9342992442061</c:v>
                </c:pt>
                <c:pt idx="2007">
                  <c:v>100.93244114801676</c:v>
                </c:pt>
                <c:pt idx="2008">
                  <c:v>100.93507700889398</c:v>
                </c:pt>
                <c:pt idx="2009">
                  <c:v>100.93530955689363</c:v>
                </c:pt>
                <c:pt idx="2010">
                  <c:v>100.9345782718671</c:v>
                </c:pt>
                <c:pt idx="2011">
                  <c:v>100.93319089227629</c:v>
                </c:pt>
                <c:pt idx="2012">
                  <c:v>100.9309036939314</c:v>
                </c:pt>
                <c:pt idx="2013">
                  <c:v>100.92956325858185</c:v>
                </c:pt>
                <c:pt idx="2014">
                  <c:v>100.93214355120814</c:v>
                </c:pt>
                <c:pt idx="2015">
                  <c:v>100.93168106962335</c:v>
                </c:pt>
                <c:pt idx="2016">
                  <c:v>100.92950400430715</c:v>
                </c:pt>
                <c:pt idx="2017">
                  <c:v>100.92780094427404</c:v>
                </c:pt>
                <c:pt idx="2018">
                  <c:v>100.9297309988596</c:v>
                </c:pt>
                <c:pt idx="2019">
                  <c:v>100.93036165403537</c:v>
                </c:pt>
                <c:pt idx="2020">
                  <c:v>100.94006408422499</c:v>
                </c:pt>
                <c:pt idx="2021">
                  <c:v>100.93982824482293</c:v>
                </c:pt>
                <c:pt idx="2022">
                  <c:v>100.93874089885669</c:v>
                </c:pt>
                <c:pt idx="2023">
                  <c:v>100.9448059646442</c:v>
                </c:pt>
                <c:pt idx="2024">
                  <c:v>100.94343036128963</c:v>
                </c:pt>
                <c:pt idx="2025">
                  <c:v>100.94055894453113</c:v>
                </c:pt>
                <c:pt idx="2026">
                  <c:v>100.94106725927593</c:v>
                </c:pt>
                <c:pt idx="2027">
                  <c:v>100.94121938217222</c:v>
                </c:pt>
                <c:pt idx="2028">
                  <c:v>100.93973650903233</c:v>
                </c:pt>
                <c:pt idx="2029">
                  <c:v>100.93814402551006</c:v>
                </c:pt>
                <c:pt idx="2030">
                  <c:v>100.93754657922194</c:v>
                </c:pt>
                <c:pt idx="2031">
                  <c:v>100.93142389525369</c:v>
                </c:pt>
                <c:pt idx="2032">
                  <c:v>100.93207755154974</c:v>
                </c:pt>
                <c:pt idx="2033">
                  <c:v>100.93491767629699</c:v>
                </c:pt>
                <c:pt idx="2034">
                  <c:v>100.93486506653402</c:v>
                </c:pt>
                <c:pt idx="2035">
                  <c:v>100.93455170259294</c:v>
                </c:pt>
                <c:pt idx="2036">
                  <c:v>100.93510315346013</c:v>
                </c:pt>
                <c:pt idx="2037">
                  <c:v>100.93438155792903</c:v>
                </c:pt>
                <c:pt idx="2038">
                  <c:v>100.93282242031681</c:v>
                </c:pt>
                <c:pt idx="2039">
                  <c:v>100.93131372741877</c:v>
                </c:pt>
                <c:pt idx="2040">
                  <c:v>100.93089229754247</c:v>
                </c:pt>
                <c:pt idx="2041">
                  <c:v>100.93055095140224</c:v>
                </c:pt>
                <c:pt idx="2042">
                  <c:v>100.92749610659284</c:v>
                </c:pt>
                <c:pt idx="2043">
                  <c:v>100.92537579254827</c:v>
                </c:pt>
                <c:pt idx="2044">
                  <c:v>100.925431571454</c:v>
                </c:pt>
                <c:pt idx="2045">
                  <c:v>100.92041483057287</c:v>
                </c:pt>
                <c:pt idx="2046">
                  <c:v>100.92661996497372</c:v>
                </c:pt>
                <c:pt idx="2047">
                  <c:v>100.92502862868594</c:v>
                </c:pt>
                <c:pt idx="2048">
                  <c:v>100.92789288910305</c:v>
                </c:pt>
                <c:pt idx="2049">
                  <c:v>100.92762385130933</c:v>
                </c:pt>
                <c:pt idx="2050">
                  <c:v>100.92903116531166</c:v>
                </c:pt>
                <c:pt idx="2051">
                  <c:v>100.92894451227785</c:v>
                </c:pt>
                <c:pt idx="2052">
                  <c:v>100.92648090960135</c:v>
                </c:pt>
                <c:pt idx="2053">
                  <c:v>100.92993779680289</c:v>
                </c:pt>
                <c:pt idx="2054">
                  <c:v>100.92977575168437</c:v>
                </c:pt>
                <c:pt idx="2055">
                  <c:v>100.9299565362755</c:v>
                </c:pt>
                <c:pt idx="2056">
                  <c:v>100.93009209823812</c:v>
                </c:pt>
                <c:pt idx="2057">
                  <c:v>100.93039635868301</c:v>
                </c:pt>
                <c:pt idx="2058">
                  <c:v>100.9323276697461</c:v>
                </c:pt>
                <c:pt idx="2059">
                  <c:v>100.93187434963579</c:v>
                </c:pt>
                <c:pt idx="2060">
                  <c:v>100.92087472145636</c:v>
                </c:pt>
                <c:pt idx="2061">
                  <c:v>100.93257161248793</c:v>
                </c:pt>
                <c:pt idx="2062">
                  <c:v>100.9304032954621</c:v>
                </c:pt>
                <c:pt idx="2063">
                  <c:v>100.92893487109905</c:v>
                </c:pt>
                <c:pt idx="2064">
                  <c:v>100.92566440762161</c:v>
                </c:pt>
                <c:pt idx="2065">
                  <c:v>100.92002290513457</c:v>
                </c:pt>
                <c:pt idx="2066">
                  <c:v>100.91638729246488</c:v>
                </c:pt>
                <c:pt idx="2067">
                  <c:v>100.92028158295281</c:v>
                </c:pt>
                <c:pt idx="2068">
                  <c:v>100.91844440984117</c:v>
                </c:pt>
                <c:pt idx="2069">
                  <c:v>100.91694088728542</c:v>
                </c:pt>
                <c:pt idx="2070">
                  <c:v>100.91904320272046</c:v>
                </c:pt>
                <c:pt idx="2071">
                  <c:v>100.91929581262761</c:v>
                </c:pt>
                <c:pt idx="2072">
                  <c:v>100.92425611916555</c:v>
                </c:pt>
                <c:pt idx="2073">
                  <c:v>100.92291559349474</c:v>
                </c:pt>
                <c:pt idx="2074">
                  <c:v>100.92061687696564</c:v>
                </c:pt>
                <c:pt idx="2075">
                  <c:v>100.91942307692308</c:v>
                </c:pt>
                <c:pt idx="2076">
                  <c:v>100.91971642077026</c:v>
                </c:pt>
                <c:pt idx="2077">
                  <c:v>100.92877541306861</c:v>
                </c:pt>
                <c:pt idx="2078">
                  <c:v>100.92738301559793</c:v>
                </c:pt>
                <c:pt idx="2079">
                  <c:v>100.93346249126596</c:v>
                </c:pt>
                <c:pt idx="2080">
                  <c:v>100.93668782109398</c:v>
                </c:pt>
                <c:pt idx="2081">
                  <c:v>100.9374346722413</c:v>
                </c:pt>
                <c:pt idx="2082">
                  <c:v>100.93649590785087</c:v>
                </c:pt>
                <c:pt idx="2083">
                  <c:v>100.93789280208703</c:v>
                </c:pt>
                <c:pt idx="2084">
                  <c:v>100.93914836760776</c:v>
                </c:pt>
                <c:pt idx="2085">
                  <c:v>100.93952253110476</c:v>
                </c:pt>
                <c:pt idx="2086">
                  <c:v>100.93863503222028</c:v>
                </c:pt>
                <c:pt idx="2087">
                  <c:v>100.9385738579722</c:v>
                </c:pt>
                <c:pt idx="2088">
                  <c:v>100.93982651654412</c:v>
                </c:pt>
                <c:pt idx="2089">
                  <c:v>100.9403813318156</c:v>
                </c:pt>
                <c:pt idx="2090">
                  <c:v>100.94022995064334</c:v>
                </c:pt>
                <c:pt idx="2091">
                  <c:v>100.93676044433711</c:v>
                </c:pt>
                <c:pt idx="2092">
                  <c:v>100.93815132996782</c:v>
                </c:pt>
                <c:pt idx="2093">
                  <c:v>100.9390988372093</c:v>
                </c:pt>
                <c:pt idx="2094">
                  <c:v>100.93987487085295</c:v>
                </c:pt>
                <c:pt idx="2095">
                  <c:v>100.94087098868222</c:v>
                </c:pt>
                <c:pt idx="2096">
                  <c:v>100.94073047217586</c:v>
                </c:pt>
                <c:pt idx="2097">
                  <c:v>100.93971049526606</c:v>
                </c:pt>
                <c:pt idx="2098">
                  <c:v>100.93805257399687</c:v>
                </c:pt>
                <c:pt idx="2099">
                  <c:v>100.93570266703496</c:v>
                </c:pt>
                <c:pt idx="2100">
                  <c:v>100.93945086705202</c:v>
                </c:pt>
                <c:pt idx="2101">
                  <c:v>100.93908467085369</c:v>
                </c:pt>
                <c:pt idx="2102">
                  <c:v>100.9397763532354</c:v>
                </c:pt>
                <c:pt idx="2103">
                  <c:v>100.93859366298327</c:v>
                </c:pt>
                <c:pt idx="2104">
                  <c:v>100.94022483451266</c:v>
                </c:pt>
                <c:pt idx="2105">
                  <c:v>100.94156043404278</c:v>
                </c:pt>
                <c:pt idx="2106">
                  <c:v>100.94175701973867</c:v>
                </c:pt>
                <c:pt idx="2107">
                  <c:v>100.94229603922217</c:v>
                </c:pt>
                <c:pt idx="2108">
                  <c:v>100.94147472518263</c:v>
                </c:pt>
                <c:pt idx="2109">
                  <c:v>100.94262631795152</c:v>
                </c:pt>
                <c:pt idx="2110">
                  <c:v>100.94287817646418</c:v>
                </c:pt>
                <c:pt idx="2111">
                  <c:v>100.94285324604473</c:v>
                </c:pt>
                <c:pt idx="2112">
                  <c:v>100.94439873669684</c:v>
                </c:pt>
                <c:pt idx="2113">
                  <c:v>100.94271417243171</c:v>
                </c:pt>
                <c:pt idx="2114">
                  <c:v>100.93987141955111</c:v>
                </c:pt>
                <c:pt idx="2115">
                  <c:v>100.93783936148117</c:v>
                </c:pt>
                <c:pt idx="2116">
                  <c:v>100.93708141874643</c:v>
                </c:pt>
                <c:pt idx="2117">
                  <c:v>100.93357219861754</c:v>
                </c:pt>
                <c:pt idx="2118">
                  <c:v>100.93448416049036</c:v>
                </c:pt>
                <c:pt idx="2119">
                  <c:v>100.92907681370392</c:v>
                </c:pt>
                <c:pt idx="2120">
                  <c:v>100.93575393296329</c:v>
                </c:pt>
                <c:pt idx="2121">
                  <c:v>100.9337297947047</c:v>
                </c:pt>
                <c:pt idx="2122">
                  <c:v>100.93725102584838</c:v>
                </c:pt>
                <c:pt idx="2123">
                  <c:v>100.93704927884616</c:v>
                </c:pt>
                <c:pt idx="2124">
                  <c:v>100.93244550496581</c:v>
                </c:pt>
                <c:pt idx="2125">
                  <c:v>100.9302503662272</c:v>
                </c:pt>
                <c:pt idx="2126">
                  <c:v>100.9340552110548</c:v>
                </c:pt>
                <c:pt idx="2127">
                  <c:v>100.93745521853356</c:v>
                </c:pt>
                <c:pt idx="2128">
                  <c:v>100.93752795586701</c:v>
                </c:pt>
                <c:pt idx="2129">
                  <c:v>100.93811479041739</c:v>
                </c:pt>
                <c:pt idx="2130">
                  <c:v>100.93927008145636</c:v>
                </c:pt>
                <c:pt idx="2131">
                  <c:v>100.93967056384265</c:v>
                </c:pt>
                <c:pt idx="2132">
                  <c:v>100.9373504784689</c:v>
                </c:pt>
                <c:pt idx="2133">
                  <c:v>100.93917486862352</c:v>
                </c:pt>
                <c:pt idx="2134">
                  <c:v>100.93945961566247</c:v>
                </c:pt>
                <c:pt idx="2135">
                  <c:v>100.93967924908583</c:v>
                </c:pt>
                <c:pt idx="2136">
                  <c:v>100.93068881095745</c:v>
                </c:pt>
                <c:pt idx="2137">
                  <c:v>100.92991435835675</c:v>
                </c:pt>
                <c:pt idx="2138">
                  <c:v>100.92715323898605</c:v>
                </c:pt>
                <c:pt idx="2139">
                  <c:v>100.92813282563205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4-40BB-A60F-F40FB1B7ABF1}"/>
            </c:ext>
          </c:extLst>
        </c:ser>
        <c:ser>
          <c:idx val="1"/>
          <c:order val="1"/>
          <c:tx>
            <c:v>Amazon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'Perf Historique'!$G$33:$G$2172</c:f>
              <c:numCache>
                <c:formatCode>m/d/yyyy</c:formatCode>
                <c:ptCount val="2140"/>
                <c:pt idx="0">
                  <c:v>40385</c:v>
                </c:pt>
                <c:pt idx="1">
                  <c:v>40386</c:v>
                </c:pt>
                <c:pt idx="2">
                  <c:v>40387</c:v>
                </c:pt>
                <c:pt idx="3">
                  <c:v>40388</c:v>
                </c:pt>
                <c:pt idx="4">
                  <c:v>40389</c:v>
                </c:pt>
                <c:pt idx="5">
                  <c:v>40392</c:v>
                </c:pt>
                <c:pt idx="6">
                  <c:v>40393</c:v>
                </c:pt>
                <c:pt idx="7">
                  <c:v>40394</c:v>
                </c:pt>
                <c:pt idx="8">
                  <c:v>40395</c:v>
                </c:pt>
                <c:pt idx="9">
                  <c:v>40396</c:v>
                </c:pt>
                <c:pt idx="10">
                  <c:v>40399</c:v>
                </c:pt>
                <c:pt idx="11">
                  <c:v>40400</c:v>
                </c:pt>
                <c:pt idx="12">
                  <c:v>40401</c:v>
                </c:pt>
                <c:pt idx="13">
                  <c:v>40402</c:v>
                </c:pt>
                <c:pt idx="14">
                  <c:v>40403</c:v>
                </c:pt>
                <c:pt idx="15">
                  <c:v>40406</c:v>
                </c:pt>
                <c:pt idx="16">
                  <c:v>40407</c:v>
                </c:pt>
                <c:pt idx="17">
                  <c:v>40408</c:v>
                </c:pt>
                <c:pt idx="18">
                  <c:v>40409</c:v>
                </c:pt>
                <c:pt idx="19">
                  <c:v>40410</c:v>
                </c:pt>
                <c:pt idx="20">
                  <c:v>40413</c:v>
                </c:pt>
                <c:pt idx="21">
                  <c:v>40414</c:v>
                </c:pt>
                <c:pt idx="22">
                  <c:v>40415</c:v>
                </c:pt>
                <c:pt idx="23">
                  <c:v>40416</c:v>
                </c:pt>
                <c:pt idx="24">
                  <c:v>40417</c:v>
                </c:pt>
                <c:pt idx="25">
                  <c:v>40420</c:v>
                </c:pt>
                <c:pt idx="26">
                  <c:v>40421</c:v>
                </c:pt>
                <c:pt idx="27">
                  <c:v>40422</c:v>
                </c:pt>
                <c:pt idx="28">
                  <c:v>40423</c:v>
                </c:pt>
                <c:pt idx="29">
                  <c:v>40424</c:v>
                </c:pt>
                <c:pt idx="30">
                  <c:v>40428</c:v>
                </c:pt>
                <c:pt idx="31">
                  <c:v>40429</c:v>
                </c:pt>
                <c:pt idx="32">
                  <c:v>40430</c:v>
                </c:pt>
                <c:pt idx="33">
                  <c:v>40431</c:v>
                </c:pt>
                <c:pt idx="34">
                  <c:v>40434</c:v>
                </c:pt>
                <c:pt idx="35">
                  <c:v>40435</c:v>
                </c:pt>
                <c:pt idx="36">
                  <c:v>40436</c:v>
                </c:pt>
                <c:pt idx="37">
                  <c:v>40437</c:v>
                </c:pt>
                <c:pt idx="38">
                  <c:v>40438</c:v>
                </c:pt>
                <c:pt idx="39">
                  <c:v>40441</c:v>
                </c:pt>
                <c:pt idx="40">
                  <c:v>40442</c:v>
                </c:pt>
                <c:pt idx="41">
                  <c:v>40443</c:v>
                </c:pt>
                <c:pt idx="42">
                  <c:v>40444</c:v>
                </c:pt>
                <c:pt idx="43">
                  <c:v>40445</c:v>
                </c:pt>
                <c:pt idx="44">
                  <c:v>40448</c:v>
                </c:pt>
                <c:pt idx="45">
                  <c:v>40449</c:v>
                </c:pt>
                <c:pt idx="46">
                  <c:v>40450</c:v>
                </c:pt>
                <c:pt idx="47">
                  <c:v>40451</c:v>
                </c:pt>
                <c:pt idx="48">
                  <c:v>40452</c:v>
                </c:pt>
                <c:pt idx="49">
                  <c:v>40455</c:v>
                </c:pt>
                <c:pt idx="50">
                  <c:v>40456</c:v>
                </c:pt>
                <c:pt idx="51">
                  <c:v>40457</c:v>
                </c:pt>
                <c:pt idx="52">
                  <c:v>40458</c:v>
                </c:pt>
                <c:pt idx="53">
                  <c:v>40459</c:v>
                </c:pt>
                <c:pt idx="54">
                  <c:v>40462</c:v>
                </c:pt>
                <c:pt idx="55">
                  <c:v>40463</c:v>
                </c:pt>
                <c:pt idx="56">
                  <c:v>40464</c:v>
                </c:pt>
                <c:pt idx="57">
                  <c:v>40465</c:v>
                </c:pt>
                <c:pt idx="58">
                  <c:v>40466</c:v>
                </c:pt>
                <c:pt idx="59">
                  <c:v>40469</c:v>
                </c:pt>
                <c:pt idx="60">
                  <c:v>40470</c:v>
                </c:pt>
                <c:pt idx="61">
                  <c:v>40471</c:v>
                </c:pt>
                <c:pt idx="62">
                  <c:v>40472</c:v>
                </c:pt>
                <c:pt idx="63">
                  <c:v>40473</c:v>
                </c:pt>
                <c:pt idx="64">
                  <c:v>40476</c:v>
                </c:pt>
                <c:pt idx="65">
                  <c:v>40477</c:v>
                </c:pt>
                <c:pt idx="66">
                  <c:v>40478</c:v>
                </c:pt>
                <c:pt idx="67">
                  <c:v>40479</c:v>
                </c:pt>
                <c:pt idx="68">
                  <c:v>40480</c:v>
                </c:pt>
                <c:pt idx="69">
                  <c:v>40483</c:v>
                </c:pt>
                <c:pt idx="70">
                  <c:v>40484</c:v>
                </c:pt>
                <c:pt idx="71">
                  <c:v>40485</c:v>
                </c:pt>
                <c:pt idx="72">
                  <c:v>40486</c:v>
                </c:pt>
                <c:pt idx="73">
                  <c:v>40487</c:v>
                </c:pt>
                <c:pt idx="74">
                  <c:v>40490</c:v>
                </c:pt>
                <c:pt idx="75">
                  <c:v>40491</c:v>
                </c:pt>
                <c:pt idx="76">
                  <c:v>40492</c:v>
                </c:pt>
                <c:pt idx="77">
                  <c:v>40493</c:v>
                </c:pt>
                <c:pt idx="78">
                  <c:v>40494</c:v>
                </c:pt>
                <c:pt idx="79">
                  <c:v>40497</c:v>
                </c:pt>
                <c:pt idx="80">
                  <c:v>40498</c:v>
                </c:pt>
                <c:pt idx="81">
                  <c:v>40499</c:v>
                </c:pt>
                <c:pt idx="82">
                  <c:v>40500</c:v>
                </c:pt>
                <c:pt idx="83">
                  <c:v>40501</c:v>
                </c:pt>
                <c:pt idx="84">
                  <c:v>40504</c:v>
                </c:pt>
                <c:pt idx="85">
                  <c:v>40505</c:v>
                </c:pt>
                <c:pt idx="86">
                  <c:v>40506</c:v>
                </c:pt>
                <c:pt idx="87">
                  <c:v>40508</c:v>
                </c:pt>
                <c:pt idx="88">
                  <c:v>40511</c:v>
                </c:pt>
                <c:pt idx="89">
                  <c:v>40512</c:v>
                </c:pt>
                <c:pt idx="90">
                  <c:v>40513</c:v>
                </c:pt>
                <c:pt idx="91">
                  <c:v>40514</c:v>
                </c:pt>
                <c:pt idx="92">
                  <c:v>40515</c:v>
                </c:pt>
                <c:pt idx="93">
                  <c:v>40518</c:v>
                </c:pt>
                <c:pt idx="94">
                  <c:v>40519</c:v>
                </c:pt>
                <c:pt idx="95">
                  <c:v>40520</c:v>
                </c:pt>
                <c:pt idx="96">
                  <c:v>40521</c:v>
                </c:pt>
                <c:pt idx="97">
                  <c:v>40522</c:v>
                </c:pt>
                <c:pt idx="98">
                  <c:v>40525</c:v>
                </c:pt>
                <c:pt idx="99">
                  <c:v>40526</c:v>
                </c:pt>
                <c:pt idx="100">
                  <c:v>40527</c:v>
                </c:pt>
                <c:pt idx="101">
                  <c:v>40528</c:v>
                </c:pt>
                <c:pt idx="102">
                  <c:v>40529</c:v>
                </c:pt>
                <c:pt idx="103">
                  <c:v>40532</c:v>
                </c:pt>
                <c:pt idx="104">
                  <c:v>40533</c:v>
                </c:pt>
                <c:pt idx="105">
                  <c:v>40534</c:v>
                </c:pt>
                <c:pt idx="106">
                  <c:v>40535</c:v>
                </c:pt>
                <c:pt idx="107">
                  <c:v>40539</c:v>
                </c:pt>
                <c:pt idx="108">
                  <c:v>40540</c:v>
                </c:pt>
                <c:pt idx="109">
                  <c:v>40541</c:v>
                </c:pt>
                <c:pt idx="110">
                  <c:v>40542</c:v>
                </c:pt>
                <c:pt idx="111">
                  <c:v>40543</c:v>
                </c:pt>
                <c:pt idx="112">
                  <c:v>40546</c:v>
                </c:pt>
                <c:pt idx="113">
                  <c:v>40547</c:v>
                </c:pt>
                <c:pt idx="114">
                  <c:v>40548</c:v>
                </c:pt>
                <c:pt idx="115">
                  <c:v>40549</c:v>
                </c:pt>
                <c:pt idx="116">
                  <c:v>40550</c:v>
                </c:pt>
                <c:pt idx="117">
                  <c:v>40553</c:v>
                </c:pt>
                <c:pt idx="118">
                  <c:v>40554</c:v>
                </c:pt>
                <c:pt idx="119">
                  <c:v>40555</c:v>
                </c:pt>
                <c:pt idx="120">
                  <c:v>40556</c:v>
                </c:pt>
                <c:pt idx="121">
                  <c:v>40557</c:v>
                </c:pt>
                <c:pt idx="122">
                  <c:v>40561</c:v>
                </c:pt>
                <c:pt idx="123">
                  <c:v>40562</c:v>
                </c:pt>
                <c:pt idx="124">
                  <c:v>40563</c:v>
                </c:pt>
                <c:pt idx="125">
                  <c:v>40564</c:v>
                </c:pt>
                <c:pt idx="126">
                  <c:v>40567</c:v>
                </c:pt>
                <c:pt idx="127">
                  <c:v>40568</c:v>
                </c:pt>
                <c:pt idx="128">
                  <c:v>40569</c:v>
                </c:pt>
                <c:pt idx="129">
                  <c:v>40570</c:v>
                </c:pt>
                <c:pt idx="130">
                  <c:v>40571</c:v>
                </c:pt>
                <c:pt idx="131">
                  <c:v>40574</c:v>
                </c:pt>
                <c:pt idx="132">
                  <c:v>40575</c:v>
                </c:pt>
                <c:pt idx="133">
                  <c:v>40576</c:v>
                </c:pt>
                <c:pt idx="134">
                  <c:v>40577</c:v>
                </c:pt>
                <c:pt idx="135">
                  <c:v>40578</c:v>
                </c:pt>
                <c:pt idx="136">
                  <c:v>40581</c:v>
                </c:pt>
                <c:pt idx="137">
                  <c:v>40582</c:v>
                </c:pt>
                <c:pt idx="138">
                  <c:v>40583</c:v>
                </c:pt>
                <c:pt idx="139">
                  <c:v>40584</c:v>
                </c:pt>
                <c:pt idx="140">
                  <c:v>40585</c:v>
                </c:pt>
                <c:pt idx="141">
                  <c:v>40588</c:v>
                </c:pt>
                <c:pt idx="142">
                  <c:v>40589</c:v>
                </c:pt>
                <c:pt idx="143">
                  <c:v>40590</c:v>
                </c:pt>
                <c:pt idx="144">
                  <c:v>40591</c:v>
                </c:pt>
                <c:pt idx="145">
                  <c:v>40592</c:v>
                </c:pt>
                <c:pt idx="146">
                  <c:v>40596</c:v>
                </c:pt>
                <c:pt idx="147">
                  <c:v>40597</c:v>
                </c:pt>
                <c:pt idx="148">
                  <c:v>40598</c:v>
                </c:pt>
                <c:pt idx="149">
                  <c:v>40599</c:v>
                </c:pt>
                <c:pt idx="150">
                  <c:v>40602</c:v>
                </c:pt>
                <c:pt idx="151">
                  <c:v>40603</c:v>
                </c:pt>
                <c:pt idx="152">
                  <c:v>40604</c:v>
                </c:pt>
                <c:pt idx="153">
                  <c:v>40605</c:v>
                </c:pt>
                <c:pt idx="154">
                  <c:v>40606</c:v>
                </c:pt>
                <c:pt idx="155">
                  <c:v>40609</c:v>
                </c:pt>
                <c:pt idx="156">
                  <c:v>40610</c:v>
                </c:pt>
                <c:pt idx="157">
                  <c:v>40611</c:v>
                </c:pt>
                <c:pt idx="158">
                  <c:v>40612</c:v>
                </c:pt>
                <c:pt idx="159">
                  <c:v>40613</c:v>
                </c:pt>
                <c:pt idx="160">
                  <c:v>40616</c:v>
                </c:pt>
                <c:pt idx="161">
                  <c:v>40617</c:v>
                </c:pt>
                <c:pt idx="162">
                  <c:v>40618</c:v>
                </c:pt>
                <c:pt idx="163">
                  <c:v>40619</c:v>
                </c:pt>
                <c:pt idx="164">
                  <c:v>40620</c:v>
                </c:pt>
                <c:pt idx="165">
                  <c:v>40623</c:v>
                </c:pt>
                <c:pt idx="166">
                  <c:v>40624</c:v>
                </c:pt>
                <c:pt idx="167">
                  <c:v>40625</c:v>
                </c:pt>
                <c:pt idx="168">
                  <c:v>40626</c:v>
                </c:pt>
                <c:pt idx="169">
                  <c:v>40627</c:v>
                </c:pt>
                <c:pt idx="170">
                  <c:v>40630</c:v>
                </c:pt>
                <c:pt idx="171">
                  <c:v>40631</c:v>
                </c:pt>
                <c:pt idx="172">
                  <c:v>40632</c:v>
                </c:pt>
                <c:pt idx="173">
                  <c:v>40633</c:v>
                </c:pt>
                <c:pt idx="174">
                  <c:v>40634</c:v>
                </c:pt>
                <c:pt idx="175">
                  <c:v>40637</c:v>
                </c:pt>
                <c:pt idx="176">
                  <c:v>40638</c:v>
                </c:pt>
                <c:pt idx="177">
                  <c:v>40639</c:v>
                </c:pt>
                <c:pt idx="178">
                  <c:v>40640</c:v>
                </c:pt>
                <c:pt idx="179">
                  <c:v>40641</c:v>
                </c:pt>
                <c:pt idx="180">
                  <c:v>40644</c:v>
                </c:pt>
                <c:pt idx="181">
                  <c:v>40645</c:v>
                </c:pt>
                <c:pt idx="182">
                  <c:v>40646</c:v>
                </c:pt>
                <c:pt idx="183">
                  <c:v>40647</c:v>
                </c:pt>
                <c:pt idx="184">
                  <c:v>40648</c:v>
                </c:pt>
                <c:pt idx="185">
                  <c:v>40651</c:v>
                </c:pt>
                <c:pt idx="186">
                  <c:v>40652</c:v>
                </c:pt>
                <c:pt idx="187">
                  <c:v>40653</c:v>
                </c:pt>
                <c:pt idx="188">
                  <c:v>40654</c:v>
                </c:pt>
                <c:pt idx="189">
                  <c:v>40658</c:v>
                </c:pt>
                <c:pt idx="190">
                  <c:v>40659</c:v>
                </c:pt>
                <c:pt idx="191">
                  <c:v>40660</c:v>
                </c:pt>
                <c:pt idx="192">
                  <c:v>40661</c:v>
                </c:pt>
                <c:pt idx="193">
                  <c:v>40662</c:v>
                </c:pt>
                <c:pt idx="194">
                  <c:v>40665</c:v>
                </c:pt>
                <c:pt idx="195">
                  <c:v>40666</c:v>
                </c:pt>
                <c:pt idx="196">
                  <c:v>40667</c:v>
                </c:pt>
                <c:pt idx="197">
                  <c:v>40668</c:v>
                </c:pt>
                <c:pt idx="198">
                  <c:v>40669</c:v>
                </c:pt>
                <c:pt idx="199">
                  <c:v>40672</c:v>
                </c:pt>
                <c:pt idx="200">
                  <c:v>40673</c:v>
                </c:pt>
                <c:pt idx="201">
                  <c:v>40674</c:v>
                </c:pt>
                <c:pt idx="202">
                  <c:v>40675</c:v>
                </c:pt>
                <c:pt idx="203">
                  <c:v>40676</c:v>
                </c:pt>
                <c:pt idx="204">
                  <c:v>40679</c:v>
                </c:pt>
                <c:pt idx="205">
                  <c:v>40680</c:v>
                </c:pt>
                <c:pt idx="206">
                  <c:v>40681</c:v>
                </c:pt>
                <c:pt idx="207">
                  <c:v>40682</c:v>
                </c:pt>
                <c:pt idx="208">
                  <c:v>40683</c:v>
                </c:pt>
                <c:pt idx="209">
                  <c:v>40686</c:v>
                </c:pt>
                <c:pt idx="210">
                  <c:v>40687</c:v>
                </c:pt>
                <c:pt idx="211">
                  <c:v>40688</c:v>
                </c:pt>
                <c:pt idx="212">
                  <c:v>40689</c:v>
                </c:pt>
                <c:pt idx="213">
                  <c:v>40690</c:v>
                </c:pt>
                <c:pt idx="214">
                  <c:v>40694</c:v>
                </c:pt>
                <c:pt idx="215">
                  <c:v>40695</c:v>
                </c:pt>
                <c:pt idx="216">
                  <c:v>40696</c:v>
                </c:pt>
                <c:pt idx="217">
                  <c:v>40697</c:v>
                </c:pt>
                <c:pt idx="218">
                  <c:v>40700</c:v>
                </c:pt>
                <c:pt idx="219">
                  <c:v>40701</c:v>
                </c:pt>
                <c:pt idx="220">
                  <c:v>40702</c:v>
                </c:pt>
                <c:pt idx="221">
                  <c:v>40703</c:v>
                </c:pt>
                <c:pt idx="222">
                  <c:v>40704</c:v>
                </c:pt>
                <c:pt idx="223">
                  <c:v>40707</c:v>
                </c:pt>
                <c:pt idx="224">
                  <c:v>40708</c:v>
                </c:pt>
                <c:pt idx="225">
                  <c:v>40709</c:v>
                </c:pt>
                <c:pt idx="226">
                  <c:v>40710</c:v>
                </c:pt>
                <c:pt idx="227">
                  <c:v>40711</c:v>
                </c:pt>
                <c:pt idx="228">
                  <c:v>40714</c:v>
                </c:pt>
                <c:pt idx="229">
                  <c:v>40715</c:v>
                </c:pt>
                <c:pt idx="230">
                  <c:v>40716</c:v>
                </c:pt>
                <c:pt idx="231">
                  <c:v>40717</c:v>
                </c:pt>
                <c:pt idx="232">
                  <c:v>40718</c:v>
                </c:pt>
                <c:pt idx="233">
                  <c:v>40721</c:v>
                </c:pt>
                <c:pt idx="234">
                  <c:v>40722</c:v>
                </c:pt>
                <c:pt idx="235">
                  <c:v>40723</c:v>
                </c:pt>
                <c:pt idx="236">
                  <c:v>40724</c:v>
                </c:pt>
                <c:pt idx="237">
                  <c:v>40725</c:v>
                </c:pt>
                <c:pt idx="238">
                  <c:v>40729</c:v>
                </c:pt>
                <c:pt idx="239">
                  <c:v>40730</c:v>
                </c:pt>
                <c:pt idx="240">
                  <c:v>40731</c:v>
                </c:pt>
                <c:pt idx="241">
                  <c:v>40732</c:v>
                </c:pt>
                <c:pt idx="242">
                  <c:v>40735</c:v>
                </c:pt>
                <c:pt idx="243">
                  <c:v>40736</c:v>
                </c:pt>
                <c:pt idx="244">
                  <c:v>40737</c:v>
                </c:pt>
                <c:pt idx="245">
                  <c:v>40738</c:v>
                </c:pt>
                <c:pt idx="246">
                  <c:v>40739</c:v>
                </c:pt>
                <c:pt idx="247">
                  <c:v>40742</c:v>
                </c:pt>
                <c:pt idx="248">
                  <c:v>40743</c:v>
                </c:pt>
                <c:pt idx="249">
                  <c:v>40744</c:v>
                </c:pt>
                <c:pt idx="250">
                  <c:v>40745</c:v>
                </c:pt>
                <c:pt idx="251">
                  <c:v>40746</c:v>
                </c:pt>
                <c:pt idx="252">
                  <c:v>40749</c:v>
                </c:pt>
                <c:pt idx="253">
                  <c:v>40750</c:v>
                </c:pt>
                <c:pt idx="254">
                  <c:v>40751</c:v>
                </c:pt>
                <c:pt idx="255">
                  <c:v>40752</c:v>
                </c:pt>
                <c:pt idx="256">
                  <c:v>40753</c:v>
                </c:pt>
                <c:pt idx="257">
                  <c:v>40756</c:v>
                </c:pt>
                <c:pt idx="258">
                  <c:v>40757</c:v>
                </c:pt>
                <c:pt idx="259">
                  <c:v>40758</c:v>
                </c:pt>
                <c:pt idx="260">
                  <c:v>40759</c:v>
                </c:pt>
                <c:pt idx="261">
                  <c:v>40760</c:v>
                </c:pt>
                <c:pt idx="262">
                  <c:v>40763</c:v>
                </c:pt>
                <c:pt idx="263">
                  <c:v>40764</c:v>
                </c:pt>
                <c:pt idx="264">
                  <c:v>40765</c:v>
                </c:pt>
                <c:pt idx="265">
                  <c:v>40766</c:v>
                </c:pt>
                <c:pt idx="266">
                  <c:v>40767</c:v>
                </c:pt>
                <c:pt idx="267">
                  <c:v>40770</c:v>
                </c:pt>
                <c:pt idx="268">
                  <c:v>40771</c:v>
                </c:pt>
                <c:pt idx="269">
                  <c:v>40772</c:v>
                </c:pt>
                <c:pt idx="270">
                  <c:v>40773</c:v>
                </c:pt>
                <c:pt idx="271">
                  <c:v>40774</c:v>
                </c:pt>
                <c:pt idx="272">
                  <c:v>40777</c:v>
                </c:pt>
                <c:pt idx="273">
                  <c:v>40778</c:v>
                </c:pt>
                <c:pt idx="274">
                  <c:v>40779</c:v>
                </c:pt>
                <c:pt idx="275">
                  <c:v>40780</c:v>
                </c:pt>
                <c:pt idx="276">
                  <c:v>40781</c:v>
                </c:pt>
                <c:pt idx="277">
                  <c:v>40784</c:v>
                </c:pt>
                <c:pt idx="278">
                  <c:v>40785</c:v>
                </c:pt>
                <c:pt idx="279">
                  <c:v>40786</c:v>
                </c:pt>
                <c:pt idx="280">
                  <c:v>40787</c:v>
                </c:pt>
                <c:pt idx="281">
                  <c:v>40788</c:v>
                </c:pt>
                <c:pt idx="282">
                  <c:v>40792</c:v>
                </c:pt>
                <c:pt idx="283">
                  <c:v>40793</c:v>
                </c:pt>
                <c:pt idx="284">
                  <c:v>40794</c:v>
                </c:pt>
                <c:pt idx="285">
                  <c:v>40795</c:v>
                </c:pt>
                <c:pt idx="286">
                  <c:v>40798</c:v>
                </c:pt>
                <c:pt idx="287">
                  <c:v>40799</c:v>
                </c:pt>
                <c:pt idx="288">
                  <c:v>40800</c:v>
                </c:pt>
                <c:pt idx="289">
                  <c:v>40801</c:v>
                </c:pt>
                <c:pt idx="290">
                  <c:v>40802</c:v>
                </c:pt>
                <c:pt idx="291">
                  <c:v>40805</c:v>
                </c:pt>
                <c:pt idx="292">
                  <c:v>40806</c:v>
                </c:pt>
                <c:pt idx="293">
                  <c:v>40807</c:v>
                </c:pt>
                <c:pt idx="294">
                  <c:v>40808</c:v>
                </c:pt>
                <c:pt idx="295">
                  <c:v>40809</c:v>
                </c:pt>
                <c:pt idx="296">
                  <c:v>40812</c:v>
                </c:pt>
                <c:pt idx="297">
                  <c:v>40813</c:v>
                </c:pt>
                <c:pt idx="298">
                  <c:v>40814</c:v>
                </c:pt>
                <c:pt idx="299">
                  <c:v>40815</c:v>
                </c:pt>
                <c:pt idx="300">
                  <c:v>40816</c:v>
                </c:pt>
                <c:pt idx="301">
                  <c:v>40819</c:v>
                </c:pt>
                <c:pt idx="302">
                  <c:v>40820</c:v>
                </c:pt>
                <c:pt idx="303">
                  <c:v>40821</c:v>
                </c:pt>
                <c:pt idx="304">
                  <c:v>40822</c:v>
                </c:pt>
                <c:pt idx="305">
                  <c:v>40823</c:v>
                </c:pt>
                <c:pt idx="306">
                  <c:v>40826</c:v>
                </c:pt>
                <c:pt idx="307">
                  <c:v>40827</c:v>
                </c:pt>
                <c:pt idx="308">
                  <c:v>40828</c:v>
                </c:pt>
                <c:pt idx="309">
                  <c:v>40829</c:v>
                </c:pt>
                <c:pt idx="310">
                  <c:v>40830</c:v>
                </c:pt>
                <c:pt idx="311">
                  <c:v>40833</c:v>
                </c:pt>
                <c:pt idx="312">
                  <c:v>40834</c:v>
                </c:pt>
                <c:pt idx="313">
                  <c:v>40835</c:v>
                </c:pt>
                <c:pt idx="314">
                  <c:v>40836</c:v>
                </c:pt>
                <c:pt idx="315">
                  <c:v>40837</c:v>
                </c:pt>
                <c:pt idx="316">
                  <c:v>40840</c:v>
                </c:pt>
                <c:pt idx="317">
                  <c:v>40841</c:v>
                </c:pt>
                <c:pt idx="318">
                  <c:v>40842</c:v>
                </c:pt>
                <c:pt idx="319">
                  <c:v>40843</c:v>
                </c:pt>
                <c:pt idx="320">
                  <c:v>40844</c:v>
                </c:pt>
                <c:pt idx="321">
                  <c:v>40847</c:v>
                </c:pt>
                <c:pt idx="322">
                  <c:v>40848</c:v>
                </c:pt>
                <c:pt idx="323">
                  <c:v>40849</c:v>
                </c:pt>
                <c:pt idx="324">
                  <c:v>40850</c:v>
                </c:pt>
                <c:pt idx="325">
                  <c:v>40851</c:v>
                </c:pt>
                <c:pt idx="326">
                  <c:v>40854</c:v>
                </c:pt>
                <c:pt idx="327">
                  <c:v>40855</c:v>
                </c:pt>
                <c:pt idx="328">
                  <c:v>40856</c:v>
                </c:pt>
                <c:pt idx="329">
                  <c:v>40857</c:v>
                </c:pt>
                <c:pt idx="330">
                  <c:v>40858</c:v>
                </c:pt>
                <c:pt idx="331">
                  <c:v>40861</c:v>
                </c:pt>
                <c:pt idx="332">
                  <c:v>40862</c:v>
                </c:pt>
                <c:pt idx="333">
                  <c:v>40863</c:v>
                </c:pt>
                <c:pt idx="334">
                  <c:v>40864</c:v>
                </c:pt>
                <c:pt idx="335">
                  <c:v>40865</c:v>
                </c:pt>
                <c:pt idx="336">
                  <c:v>40868</c:v>
                </c:pt>
                <c:pt idx="337">
                  <c:v>40869</c:v>
                </c:pt>
                <c:pt idx="338">
                  <c:v>40870</c:v>
                </c:pt>
                <c:pt idx="339">
                  <c:v>40872</c:v>
                </c:pt>
                <c:pt idx="340">
                  <c:v>40875</c:v>
                </c:pt>
                <c:pt idx="341">
                  <c:v>40876</c:v>
                </c:pt>
                <c:pt idx="342">
                  <c:v>40877</c:v>
                </c:pt>
                <c:pt idx="343">
                  <c:v>40878</c:v>
                </c:pt>
                <c:pt idx="344">
                  <c:v>40879</c:v>
                </c:pt>
                <c:pt idx="345">
                  <c:v>40882</c:v>
                </c:pt>
                <c:pt idx="346">
                  <c:v>40883</c:v>
                </c:pt>
                <c:pt idx="347">
                  <c:v>40884</c:v>
                </c:pt>
                <c:pt idx="348">
                  <c:v>40885</c:v>
                </c:pt>
                <c:pt idx="349">
                  <c:v>40886</c:v>
                </c:pt>
                <c:pt idx="350">
                  <c:v>40889</c:v>
                </c:pt>
                <c:pt idx="351">
                  <c:v>40890</c:v>
                </c:pt>
                <c:pt idx="352">
                  <c:v>40891</c:v>
                </c:pt>
                <c:pt idx="353">
                  <c:v>40892</c:v>
                </c:pt>
                <c:pt idx="354">
                  <c:v>40893</c:v>
                </c:pt>
                <c:pt idx="355">
                  <c:v>40896</c:v>
                </c:pt>
                <c:pt idx="356">
                  <c:v>40897</c:v>
                </c:pt>
                <c:pt idx="357">
                  <c:v>40898</c:v>
                </c:pt>
                <c:pt idx="358">
                  <c:v>40899</c:v>
                </c:pt>
                <c:pt idx="359">
                  <c:v>40900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40911</c:v>
                </c:pt>
                <c:pt idx="365">
                  <c:v>40912</c:v>
                </c:pt>
                <c:pt idx="366">
                  <c:v>40913</c:v>
                </c:pt>
                <c:pt idx="367">
                  <c:v>40914</c:v>
                </c:pt>
                <c:pt idx="368">
                  <c:v>40917</c:v>
                </c:pt>
                <c:pt idx="369">
                  <c:v>40918</c:v>
                </c:pt>
                <c:pt idx="370">
                  <c:v>40919</c:v>
                </c:pt>
                <c:pt idx="371">
                  <c:v>40920</c:v>
                </c:pt>
                <c:pt idx="372">
                  <c:v>40921</c:v>
                </c:pt>
                <c:pt idx="373">
                  <c:v>40925</c:v>
                </c:pt>
                <c:pt idx="374">
                  <c:v>40926</c:v>
                </c:pt>
                <c:pt idx="375">
                  <c:v>40927</c:v>
                </c:pt>
                <c:pt idx="376">
                  <c:v>40928</c:v>
                </c:pt>
                <c:pt idx="377">
                  <c:v>40931</c:v>
                </c:pt>
                <c:pt idx="378">
                  <c:v>40932</c:v>
                </c:pt>
                <c:pt idx="379">
                  <c:v>40933</c:v>
                </c:pt>
                <c:pt idx="380">
                  <c:v>40934</c:v>
                </c:pt>
                <c:pt idx="381">
                  <c:v>40935</c:v>
                </c:pt>
                <c:pt idx="382">
                  <c:v>40938</c:v>
                </c:pt>
                <c:pt idx="383">
                  <c:v>40939</c:v>
                </c:pt>
                <c:pt idx="384">
                  <c:v>40940</c:v>
                </c:pt>
                <c:pt idx="385">
                  <c:v>40941</c:v>
                </c:pt>
                <c:pt idx="386">
                  <c:v>40942</c:v>
                </c:pt>
                <c:pt idx="387">
                  <c:v>40945</c:v>
                </c:pt>
                <c:pt idx="388">
                  <c:v>40946</c:v>
                </c:pt>
                <c:pt idx="389">
                  <c:v>40947</c:v>
                </c:pt>
                <c:pt idx="390">
                  <c:v>40948</c:v>
                </c:pt>
                <c:pt idx="391">
                  <c:v>40949</c:v>
                </c:pt>
                <c:pt idx="392">
                  <c:v>40952</c:v>
                </c:pt>
                <c:pt idx="393">
                  <c:v>40953</c:v>
                </c:pt>
                <c:pt idx="394">
                  <c:v>40954</c:v>
                </c:pt>
                <c:pt idx="395">
                  <c:v>40955</c:v>
                </c:pt>
                <c:pt idx="396">
                  <c:v>40956</c:v>
                </c:pt>
                <c:pt idx="397">
                  <c:v>40960</c:v>
                </c:pt>
                <c:pt idx="398">
                  <c:v>40961</c:v>
                </c:pt>
                <c:pt idx="399">
                  <c:v>40962</c:v>
                </c:pt>
                <c:pt idx="400">
                  <c:v>40963</c:v>
                </c:pt>
                <c:pt idx="401">
                  <c:v>40966</c:v>
                </c:pt>
                <c:pt idx="402">
                  <c:v>40967</c:v>
                </c:pt>
                <c:pt idx="403">
                  <c:v>40968</c:v>
                </c:pt>
                <c:pt idx="404">
                  <c:v>40969</c:v>
                </c:pt>
                <c:pt idx="405">
                  <c:v>40970</c:v>
                </c:pt>
                <c:pt idx="406">
                  <c:v>40973</c:v>
                </c:pt>
                <c:pt idx="407">
                  <c:v>40974</c:v>
                </c:pt>
                <c:pt idx="408">
                  <c:v>40975</c:v>
                </c:pt>
                <c:pt idx="409">
                  <c:v>40976</c:v>
                </c:pt>
                <c:pt idx="410">
                  <c:v>40977</c:v>
                </c:pt>
                <c:pt idx="411">
                  <c:v>40980</c:v>
                </c:pt>
                <c:pt idx="412">
                  <c:v>40981</c:v>
                </c:pt>
                <c:pt idx="413">
                  <c:v>40982</c:v>
                </c:pt>
                <c:pt idx="414">
                  <c:v>40983</c:v>
                </c:pt>
                <c:pt idx="415">
                  <c:v>40984</c:v>
                </c:pt>
                <c:pt idx="416">
                  <c:v>40987</c:v>
                </c:pt>
                <c:pt idx="417">
                  <c:v>40988</c:v>
                </c:pt>
                <c:pt idx="418">
                  <c:v>40989</c:v>
                </c:pt>
                <c:pt idx="419">
                  <c:v>40990</c:v>
                </c:pt>
                <c:pt idx="420">
                  <c:v>40991</c:v>
                </c:pt>
                <c:pt idx="421">
                  <c:v>40994</c:v>
                </c:pt>
                <c:pt idx="422">
                  <c:v>40995</c:v>
                </c:pt>
                <c:pt idx="423">
                  <c:v>40996</c:v>
                </c:pt>
                <c:pt idx="424">
                  <c:v>40997</c:v>
                </c:pt>
                <c:pt idx="425">
                  <c:v>40998</c:v>
                </c:pt>
                <c:pt idx="426">
                  <c:v>41001</c:v>
                </c:pt>
                <c:pt idx="427">
                  <c:v>41002</c:v>
                </c:pt>
                <c:pt idx="428">
                  <c:v>41003</c:v>
                </c:pt>
                <c:pt idx="429">
                  <c:v>41004</c:v>
                </c:pt>
                <c:pt idx="430">
                  <c:v>41008</c:v>
                </c:pt>
                <c:pt idx="431">
                  <c:v>41009</c:v>
                </c:pt>
                <c:pt idx="432">
                  <c:v>41010</c:v>
                </c:pt>
                <c:pt idx="433">
                  <c:v>41011</c:v>
                </c:pt>
                <c:pt idx="434">
                  <c:v>41012</c:v>
                </c:pt>
                <c:pt idx="435">
                  <c:v>41015</c:v>
                </c:pt>
                <c:pt idx="436">
                  <c:v>41016</c:v>
                </c:pt>
                <c:pt idx="437">
                  <c:v>41017</c:v>
                </c:pt>
                <c:pt idx="438">
                  <c:v>41018</c:v>
                </c:pt>
                <c:pt idx="439">
                  <c:v>41019</c:v>
                </c:pt>
                <c:pt idx="440">
                  <c:v>41022</c:v>
                </c:pt>
                <c:pt idx="441">
                  <c:v>41023</c:v>
                </c:pt>
                <c:pt idx="442">
                  <c:v>41024</c:v>
                </c:pt>
                <c:pt idx="443">
                  <c:v>41025</c:v>
                </c:pt>
                <c:pt idx="444">
                  <c:v>41026</c:v>
                </c:pt>
                <c:pt idx="445">
                  <c:v>41029</c:v>
                </c:pt>
                <c:pt idx="446">
                  <c:v>41030</c:v>
                </c:pt>
                <c:pt idx="447">
                  <c:v>41031</c:v>
                </c:pt>
                <c:pt idx="448">
                  <c:v>41032</c:v>
                </c:pt>
                <c:pt idx="449">
                  <c:v>41033</c:v>
                </c:pt>
                <c:pt idx="450">
                  <c:v>41036</c:v>
                </c:pt>
                <c:pt idx="451">
                  <c:v>41037</c:v>
                </c:pt>
                <c:pt idx="452">
                  <c:v>41038</c:v>
                </c:pt>
                <c:pt idx="453">
                  <c:v>41039</c:v>
                </c:pt>
                <c:pt idx="454">
                  <c:v>41040</c:v>
                </c:pt>
                <c:pt idx="455">
                  <c:v>41043</c:v>
                </c:pt>
                <c:pt idx="456">
                  <c:v>41044</c:v>
                </c:pt>
                <c:pt idx="457">
                  <c:v>41045</c:v>
                </c:pt>
                <c:pt idx="458">
                  <c:v>41046</c:v>
                </c:pt>
                <c:pt idx="459">
                  <c:v>41047</c:v>
                </c:pt>
                <c:pt idx="460">
                  <c:v>41050</c:v>
                </c:pt>
                <c:pt idx="461">
                  <c:v>41051</c:v>
                </c:pt>
                <c:pt idx="462">
                  <c:v>41052</c:v>
                </c:pt>
                <c:pt idx="463">
                  <c:v>41053</c:v>
                </c:pt>
                <c:pt idx="464">
                  <c:v>41054</c:v>
                </c:pt>
                <c:pt idx="465">
                  <c:v>41058</c:v>
                </c:pt>
                <c:pt idx="466">
                  <c:v>41059</c:v>
                </c:pt>
                <c:pt idx="467">
                  <c:v>41060</c:v>
                </c:pt>
                <c:pt idx="468">
                  <c:v>41061</c:v>
                </c:pt>
                <c:pt idx="469">
                  <c:v>41064</c:v>
                </c:pt>
                <c:pt idx="470">
                  <c:v>41065</c:v>
                </c:pt>
                <c:pt idx="471">
                  <c:v>41066</c:v>
                </c:pt>
                <c:pt idx="472">
                  <c:v>41067</c:v>
                </c:pt>
                <c:pt idx="473">
                  <c:v>41068</c:v>
                </c:pt>
                <c:pt idx="474">
                  <c:v>41071</c:v>
                </c:pt>
                <c:pt idx="475">
                  <c:v>41072</c:v>
                </c:pt>
                <c:pt idx="476">
                  <c:v>41073</c:v>
                </c:pt>
                <c:pt idx="477">
                  <c:v>41074</c:v>
                </c:pt>
                <c:pt idx="478">
                  <c:v>41075</c:v>
                </c:pt>
                <c:pt idx="479">
                  <c:v>41078</c:v>
                </c:pt>
                <c:pt idx="480">
                  <c:v>41079</c:v>
                </c:pt>
                <c:pt idx="481">
                  <c:v>41080</c:v>
                </c:pt>
                <c:pt idx="482">
                  <c:v>41081</c:v>
                </c:pt>
                <c:pt idx="483">
                  <c:v>41082</c:v>
                </c:pt>
                <c:pt idx="484">
                  <c:v>41085</c:v>
                </c:pt>
                <c:pt idx="485">
                  <c:v>41086</c:v>
                </c:pt>
                <c:pt idx="486">
                  <c:v>41087</c:v>
                </c:pt>
                <c:pt idx="487">
                  <c:v>41088</c:v>
                </c:pt>
                <c:pt idx="488">
                  <c:v>41089</c:v>
                </c:pt>
                <c:pt idx="489">
                  <c:v>41092</c:v>
                </c:pt>
                <c:pt idx="490">
                  <c:v>41093</c:v>
                </c:pt>
                <c:pt idx="491">
                  <c:v>41095</c:v>
                </c:pt>
                <c:pt idx="492">
                  <c:v>41096</c:v>
                </c:pt>
                <c:pt idx="493">
                  <c:v>41099</c:v>
                </c:pt>
                <c:pt idx="494">
                  <c:v>41100</c:v>
                </c:pt>
                <c:pt idx="495">
                  <c:v>41101</c:v>
                </c:pt>
                <c:pt idx="496">
                  <c:v>41102</c:v>
                </c:pt>
                <c:pt idx="497">
                  <c:v>41103</c:v>
                </c:pt>
                <c:pt idx="498">
                  <c:v>41106</c:v>
                </c:pt>
                <c:pt idx="499">
                  <c:v>41107</c:v>
                </c:pt>
                <c:pt idx="500">
                  <c:v>41108</c:v>
                </c:pt>
                <c:pt idx="501">
                  <c:v>41109</c:v>
                </c:pt>
                <c:pt idx="502">
                  <c:v>41110</c:v>
                </c:pt>
                <c:pt idx="503">
                  <c:v>41113</c:v>
                </c:pt>
                <c:pt idx="504">
                  <c:v>41114</c:v>
                </c:pt>
                <c:pt idx="505">
                  <c:v>41115</c:v>
                </c:pt>
                <c:pt idx="506">
                  <c:v>41116</c:v>
                </c:pt>
                <c:pt idx="507">
                  <c:v>41117</c:v>
                </c:pt>
                <c:pt idx="508">
                  <c:v>41120</c:v>
                </c:pt>
                <c:pt idx="509">
                  <c:v>41121</c:v>
                </c:pt>
                <c:pt idx="510">
                  <c:v>41122</c:v>
                </c:pt>
                <c:pt idx="511">
                  <c:v>41123</c:v>
                </c:pt>
                <c:pt idx="512">
                  <c:v>41124</c:v>
                </c:pt>
                <c:pt idx="513">
                  <c:v>41127</c:v>
                </c:pt>
                <c:pt idx="514">
                  <c:v>41128</c:v>
                </c:pt>
                <c:pt idx="515">
                  <c:v>41129</c:v>
                </c:pt>
                <c:pt idx="516">
                  <c:v>41130</c:v>
                </c:pt>
                <c:pt idx="517">
                  <c:v>41131</c:v>
                </c:pt>
                <c:pt idx="518">
                  <c:v>41134</c:v>
                </c:pt>
                <c:pt idx="519">
                  <c:v>41135</c:v>
                </c:pt>
                <c:pt idx="520">
                  <c:v>41136</c:v>
                </c:pt>
                <c:pt idx="521">
                  <c:v>41137</c:v>
                </c:pt>
                <c:pt idx="522">
                  <c:v>41138</c:v>
                </c:pt>
                <c:pt idx="523">
                  <c:v>41141</c:v>
                </c:pt>
                <c:pt idx="524">
                  <c:v>41142</c:v>
                </c:pt>
                <c:pt idx="525">
                  <c:v>41143</c:v>
                </c:pt>
                <c:pt idx="526">
                  <c:v>41144</c:v>
                </c:pt>
                <c:pt idx="527">
                  <c:v>41145</c:v>
                </c:pt>
                <c:pt idx="528">
                  <c:v>41148</c:v>
                </c:pt>
                <c:pt idx="529">
                  <c:v>41149</c:v>
                </c:pt>
                <c:pt idx="530">
                  <c:v>41150</c:v>
                </c:pt>
                <c:pt idx="531">
                  <c:v>41151</c:v>
                </c:pt>
                <c:pt idx="532">
                  <c:v>41152</c:v>
                </c:pt>
                <c:pt idx="533">
                  <c:v>41156</c:v>
                </c:pt>
                <c:pt idx="534">
                  <c:v>41157</c:v>
                </c:pt>
                <c:pt idx="535">
                  <c:v>41158</c:v>
                </c:pt>
                <c:pt idx="536">
                  <c:v>41159</c:v>
                </c:pt>
                <c:pt idx="537">
                  <c:v>41162</c:v>
                </c:pt>
                <c:pt idx="538">
                  <c:v>41163</c:v>
                </c:pt>
                <c:pt idx="539">
                  <c:v>41164</c:v>
                </c:pt>
                <c:pt idx="540">
                  <c:v>41165</c:v>
                </c:pt>
                <c:pt idx="541">
                  <c:v>41166</c:v>
                </c:pt>
                <c:pt idx="542">
                  <c:v>41169</c:v>
                </c:pt>
                <c:pt idx="543">
                  <c:v>41170</c:v>
                </c:pt>
                <c:pt idx="544">
                  <c:v>41171</c:v>
                </c:pt>
                <c:pt idx="545">
                  <c:v>41172</c:v>
                </c:pt>
                <c:pt idx="546">
                  <c:v>41173</c:v>
                </c:pt>
                <c:pt idx="547">
                  <c:v>41176</c:v>
                </c:pt>
                <c:pt idx="548">
                  <c:v>41177</c:v>
                </c:pt>
                <c:pt idx="549">
                  <c:v>41178</c:v>
                </c:pt>
                <c:pt idx="550">
                  <c:v>41179</c:v>
                </c:pt>
                <c:pt idx="551">
                  <c:v>41180</c:v>
                </c:pt>
                <c:pt idx="552">
                  <c:v>41183</c:v>
                </c:pt>
                <c:pt idx="553">
                  <c:v>41184</c:v>
                </c:pt>
                <c:pt idx="554">
                  <c:v>41185</c:v>
                </c:pt>
                <c:pt idx="555">
                  <c:v>41186</c:v>
                </c:pt>
                <c:pt idx="556">
                  <c:v>41187</c:v>
                </c:pt>
                <c:pt idx="557">
                  <c:v>41190</c:v>
                </c:pt>
                <c:pt idx="558">
                  <c:v>41191</c:v>
                </c:pt>
                <c:pt idx="559">
                  <c:v>41192</c:v>
                </c:pt>
                <c:pt idx="560">
                  <c:v>41193</c:v>
                </c:pt>
                <c:pt idx="561">
                  <c:v>41194</c:v>
                </c:pt>
                <c:pt idx="562">
                  <c:v>41197</c:v>
                </c:pt>
                <c:pt idx="563">
                  <c:v>41198</c:v>
                </c:pt>
                <c:pt idx="564">
                  <c:v>41199</c:v>
                </c:pt>
                <c:pt idx="565">
                  <c:v>41200</c:v>
                </c:pt>
                <c:pt idx="566">
                  <c:v>41201</c:v>
                </c:pt>
                <c:pt idx="567">
                  <c:v>41204</c:v>
                </c:pt>
                <c:pt idx="568">
                  <c:v>41205</c:v>
                </c:pt>
                <c:pt idx="569">
                  <c:v>41206</c:v>
                </c:pt>
                <c:pt idx="570">
                  <c:v>41207</c:v>
                </c:pt>
                <c:pt idx="571">
                  <c:v>41208</c:v>
                </c:pt>
                <c:pt idx="572">
                  <c:v>41213</c:v>
                </c:pt>
                <c:pt idx="573">
                  <c:v>41214</c:v>
                </c:pt>
                <c:pt idx="574">
                  <c:v>41215</c:v>
                </c:pt>
                <c:pt idx="575">
                  <c:v>41218</c:v>
                </c:pt>
                <c:pt idx="576">
                  <c:v>41219</c:v>
                </c:pt>
                <c:pt idx="577">
                  <c:v>41220</c:v>
                </c:pt>
                <c:pt idx="578">
                  <c:v>41221</c:v>
                </c:pt>
                <c:pt idx="579">
                  <c:v>41222</c:v>
                </c:pt>
                <c:pt idx="580">
                  <c:v>41225</c:v>
                </c:pt>
                <c:pt idx="581">
                  <c:v>41226</c:v>
                </c:pt>
                <c:pt idx="582">
                  <c:v>41227</c:v>
                </c:pt>
                <c:pt idx="583">
                  <c:v>41228</c:v>
                </c:pt>
                <c:pt idx="584">
                  <c:v>41229</c:v>
                </c:pt>
                <c:pt idx="585">
                  <c:v>41232</c:v>
                </c:pt>
                <c:pt idx="586">
                  <c:v>41233</c:v>
                </c:pt>
                <c:pt idx="587">
                  <c:v>41234</c:v>
                </c:pt>
                <c:pt idx="588">
                  <c:v>41236</c:v>
                </c:pt>
                <c:pt idx="589">
                  <c:v>41239</c:v>
                </c:pt>
                <c:pt idx="590">
                  <c:v>41240</c:v>
                </c:pt>
                <c:pt idx="591">
                  <c:v>41241</c:v>
                </c:pt>
                <c:pt idx="592">
                  <c:v>41242</c:v>
                </c:pt>
                <c:pt idx="593">
                  <c:v>41243</c:v>
                </c:pt>
                <c:pt idx="594">
                  <c:v>41246</c:v>
                </c:pt>
                <c:pt idx="595">
                  <c:v>41247</c:v>
                </c:pt>
                <c:pt idx="596">
                  <c:v>41248</c:v>
                </c:pt>
                <c:pt idx="597">
                  <c:v>41249</c:v>
                </c:pt>
                <c:pt idx="598">
                  <c:v>41250</c:v>
                </c:pt>
                <c:pt idx="599">
                  <c:v>41253</c:v>
                </c:pt>
                <c:pt idx="600">
                  <c:v>41254</c:v>
                </c:pt>
                <c:pt idx="601">
                  <c:v>41255</c:v>
                </c:pt>
                <c:pt idx="602">
                  <c:v>41256</c:v>
                </c:pt>
                <c:pt idx="603">
                  <c:v>41257</c:v>
                </c:pt>
                <c:pt idx="604">
                  <c:v>41260</c:v>
                </c:pt>
                <c:pt idx="605">
                  <c:v>41261</c:v>
                </c:pt>
                <c:pt idx="606">
                  <c:v>41262</c:v>
                </c:pt>
                <c:pt idx="607">
                  <c:v>41263</c:v>
                </c:pt>
                <c:pt idx="608">
                  <c:v>41264</c:v>
                </c:pt>
                <c:pt idx="609">
                  <c:v>41267</c:v>
                </c:pt>
                <c:pt idx="610">
                  <c:v>41269</c:v>
                </c:pt>
                <c:pt idx="611">
                  <c:v>41270</c:v>
                </c:pt>
                <c:pt idx="612">
                  <c:v>41271</c:v>
                </c:pt>
                <c:pt idx="613">
                  <c:v>41274</c:v>
                </c:pt>
                <c:pt idx="614">
                  <c:v>41276</c:v>
                </c:pt>
                <c:pt idx="615">
                  <c:v>41277</c:v>
                </c:pt>
                <c:pt idx="616">
                  <c:v>41278</c:v>
                </c:pt>
                <c:pt idx="617">
                  <c:v>41281</c:v>
                </c:pt>
                <c:pt idx="618">
                  <c:v>41282</c:v>
                </c:pt>
                <c:pt idx="619">
                  <c:v>41283</c:v>
                </c:pt>
                <c:pt idx="620">
                  <c:v>41284</c:v>
                </c:pt>
                <c:pt idx="621">
                  <c:v>41285</c:v>
                </c:pt>
                <c:pt idx="622">
                  <c:v>41288</c:v>
                </c:pt>
                <c:pt idx="623">
                  <c:v>41289</c:v>
                </c:pt>
                <c:pt idx="624">
                  <c:v>41290</c:v>
                </c:pt>
                <c:pt idx="625">
                  <c:v>41291</c:v>
                </c:pt>
                <c:pt idx="626">
                  <c:v>41292</c:v>
                </c:pt>
                <c:pt idx="627">
                  <c:v>41296</c:v>
                </c:pt>
                <c:pt idx="628">
                  <c:v>41297</c:v>
                </c:pt>
                <c:pt idx="629">
                  <c:v>41298</c:v>
                </c:pt>
                <c:pt idx="630">
                  <c:v>41299</c:v>
                </c:pt>
                <c:pt idx="631">
                  <c:v>41302</c:v>
                </c:pt>
                <c:pt idx="632">
                  <c:v>41303</c:v>
                </c:pt>
                <c:pt idx="633">
                  <c:v>41304</c:v>
                </c:pt>
                <c:pt idx="634">
                  <c:v>41305</c:v>
                </c:pt>
                <c:pt idx="635">
                  <c:v>41306</c:v>
                </c:pt>
                <c:pt idx="636">
                  <c:v>41309</c:v>
                </c:pt>
                <c:pt idx="637">
                  <c:v>41310</c:v>
                </c:pt>
                <c:pt idx="638">
                  <c:v>41311</c:v>
                </c:pt>
                <c:pt idx="639">
                  <c:v>41312</c:v>
                </c:pt>
                <c:pt idx="640">
                  <c:v>41313</c:v>
                </c:pt>
                <c:pt idx="641">
                  <c:v>41316</c:v>
                </c:pt>
                <c:pt idx="642">
                  <c:v>41317</c:v>
                </c:pt>
                <c:pt idx="643">
                  <c:v>41318</c:v>
                </c:pt>
                <c:pt idx="644">
                  <c:v>41319</c:v>
                </c:pt>
                <c:pt idx="645">
                  <c:v>41320</c:v>
                </c:pt>
                <c:pt idx="646">
                  <c:v>41324</c:v>
                </c:pt>
                <c:pt idx="647">
                  <c:v>41325</c:v>
                </c:pt>
                <c:pt idx="648">
                  <c:v>41326</c:v>
                </c:pt>
                <c:pt idx="649">
                  <c:v>41327</c:v>
                </c:pt>
                <c:pt idx="650">
                  <c:v>41330</c:v>
                </c:pt>
                <c:pt idx="651">
                  <c:v>41331</c:v>
                </c:pt>
                <c:pt idx="652">
                  <c:v>41332</c:v>
                </c:pt>
                <c:pt idx="653">
                  <c:v>41333</c:v>
                </c:pt>
                <c:pt idx="654">
                  <c:v>41334</c:v>
                </c:pt>
                <c:pt idx="655">
                  <c:v>41337</c:v>
                </c:pt>
                <c:pt idx="656">
                  <c:v>41338</c:v>
                </c:pt>
                <c:pt idx="657">
                  <c:v>41339</c:v>
                </c:pt>
                <c:pt idx="658">
                  <c:v>41340</c:v>
                </c:pt>
                <c:pt idx="659">
                  <c:v>41341</c:v>
                </c:pt>
                <c:pt idx="660">
                  <c:v>41344</c:v>
                </c:pt>
                <c:pt idx="661">
                  <c:v>41345</c:v>
                </c:pt>
                <c:pt idx="662">
                  <c:v>41346</c:v>
                </c:pt>
                <c:pt idx="663">
                  <c:v>41347</c:v>
                </c:pt>
                <c:pt idx="664">
                  <c:v>41348</c:v>
                </c:pt>
                <c:pt idx="665">
                  <c:v>41351</c:v>
                </c:pt>
                <c:pt idx="666">
                  <c:v>41352</c:v>
                </c:pt>
                <c:pt idx="667">
                  <c:v>41353</c:v>
                </c:pt>
                <c:pt idx="668">
                  <c:v>41354</c:v>
                </c:pt>
                <c:pt idx="669">
                  <c:v>41355</c:v>
                </c:pt>
                <c:pt idx="670">
                  <c:v>41358</c:v>
                </c:pt>
                <c:pt idx="671">
                  <c:v>41359</c:v>
                </c:pt>
                <c:pt idx="672">
                  <c:v>41360</c:v>
                </c:pt>
                <c:pt idx="673">
                  <c:v>41361</c:v>
                </c:pt>
                <c:pt idx="674">
                  <c:v>41365</c:v>
                </c:pt>
                <c:pt idx="675">
                  <c:v>41366</c:v>
                </c:pt>
                <c:pt idx="676">
                  <c:v>41367</c:v>
                </c:pt>
                <c:pt idx="677">
                  <c:v>41368</c:v>
                </c:pt>
                <c:pt idx="678">
                  <c:v>41369</c:v>
                </c:pt>
                <c:pt idx="679">
                  <c:v>41372</c:v>
                </c:pt>
                <c:pt idx="680">
                  <c:v>41373</c:v>
                </c:pt>
                <c:pt idx="681">
                  <c:v>41374</c:v>
                </c:pt>
                <c:pt idx="682">
                  <c:v>41375</c:v>
                </c:pt>
                <c:pt idx="683">
                  <c:v>41376</c:v>
                </c:pt>
                <c:pt idx="684">
                  <c:v>41379</c:v>
                </c:pt>
                <c:pt idx="685">
                  <c:v>41380</c:v>
                </c:pt>
                <c:pt idx="686">
                  <c:v>41381</c:v>
                </c:pt>
                <c:pt idx="687">
                  <c:v>41382</c:v>
                </c:pt>
                <c:pt idx="688">
                  <c:v>41383</c:v>
                </c:pt>
                <c:pt idx="689">
                  <c:v>41386</c:v>
                </c:pt>
                <c:pt idx="690">
                  <c:v>41387</c:v>
                </c:pt>
                <c:pt idx="691">
                  <c:v>41388</c:v>
                </c:pt>
                <c:pt idx="692">
                  <c:v>41389</c:v>
                </c:pt>
                <c:pt idx="693">
                  <c:v>41390</c:v>
                </c:pt>
                <c:pt idx="694">
                  <c:v>41393</c:v>
                </c:pt>
                <c:pt idx="695">
                  <c:v>41394</c:v>
                </c:pt>
                <c:pt idx="696">
                  <c:v>41395</c:v>
                </c:pt>
                <c:pt idx="697">
                  <c:v>41396</c:v>
                </c:pt>
                <c:pt idx="698">
                  <c:v>41397</c:v>
                </c:pt>
                <c:pt idx="699">
                  <c:v>41400</c:v>
                </c:pt>
                <c:pt idx="700">
                  <c:v>41401</c:v>
                </c:pt>
                <c:pt idx="701">
                  <c:v>41402</c:v>
                </c:pt>
                <c:pt idx="702">
                  <c:v>41403</c:v>
                </c:pt>
                <c:pt idx="703">
                  <c:v>41404</c:v>
                </c:pt>
                <c:pt idx="704">
                  <c:v>41407</c:v>
                </c:pt>
                <c:pt idx="705">
                  <c:v>41408</c:v>
                </c:pt>
                <c:pt idx="706">
                  <c:v>41409</c:v>
                </c:pt>
                <c:pt idx="707">
                  <c:v>41410</c:v>
                </c:pt>
                <c:pt idx="708">
                  <c:v>41411</c:v>
                </c:pt>
                <c:pt idx="709">
                  <c:v>41414</c:v>
                </c:pt>
                <c:pt idx="710">
                  <c:v>41415</c:v>
                </c:pt>
                <c:pt idx="711">
                  <c:v>41416</c:v>
                </c:pt>
                <c:pt idx="712">
                  <c:v>41417</c:v>
                </c:pt>
                <c:pt idx="713">
                  <c:v>41418</c:v>
                </c:pt>
                <c:pt idx="714">
                  <c:v>41422</c:v>
                </c:pt>
                <c:pt idx="715">
                  <c:v>41423</c:v>
                </c:pt>
                <c:pt idx="716">
                  <c:v>41424</c:v>
                </c:pt>
                <c:pt idx="717">
                  <c:v>41425</c:v>
                </c:pt>
                <c:pt idx="718">
                  <c:v>41428</c:v>
                </c:pt>
                <c:pt idx="719">
                  <c:v>41429</c:v>
                </c:pt>
                <c:pt idx="720">
                  <c:v>41430</c:v>
                </c:pt>
                <c:pt idx="721">
                  <c:v>41431</c:v>
                </c:pt>
                <c:pt idx="722">
                  <c:v>41432</c:v>
                </c:pt>
                <c:pt idx="723">
                  <c:v>41435</c:v>
                </c:pt>
                <c:pt idx="724">
                  <c:v>41436</c:v>
                </c:pt>
                <c:pt idx="725">
                  <c:v>41437</c:v>
                </c:pt>
                <c:pt idx="726">
                  <c:v>41438</c:v>
                </c:pt>
                <c:pt idx="727">
                  <c:v>41439</c:v>
                </c:pt>
                <c:pt idx="728">
                  <c:v>41442</c:v>
                </c:pt>
                <c:pt idx="729">
                  <c:v>41443</c:v>
                </c:pt>
                <c:pt idx="730">
                  <c:v>41444</c:v>
                </c:pt>
                <c:pt idx="731">
                  <c:v>41445</c:v>
                </c:pt>
                <c:pt idx="732">
                  <c:v>41446</c:v>
                </c:pt>
                <c:pt idx="733">
                  <c:v>41449</c:v>
                </c:pt>
                <c:pt idx="734">
                  <c:v>41450</c:v>
                </c:pt>
                <c:pt idx="735">
                  <c:v>41451</c:v>
                </c:pt>
                <c:pt idx="736">
                  <c:v>41452</c:v>
                </c:pt>
                <c:pt idx="737">
                  <c:v>41453</c:v>
                </c:pt>
                <c:pt idx="738">
                  <c:v>41456</c:v>
                </c:pt>
                <c:pt idx="739">
                  <c:v>41457</c:v>
                </c:pt>
                <c:pt idx="740">
                  <c:v>41458</c:v>
                </c:pt>
                <c:pt idx="741">
                  <c:v>41460</c:v>
                </c:pt>
                <c:pt idx="742">
                  <c:v>41463</c:v>
                </c:pt>
                <c:pt idx="743">
                  <c:v>41464</c:v>
                </c:pt>
                <c:pt idx="744">
                  <c:v>41465</c:v>
                </c:pt>
                <c:pt idx="745">
                  <c:v>41466</c:v>
                </c:pt>
                <c:pt idx="746">
                  <c:v>41467</c:v>
                </c:pt>
                <c:pt idx="747">
                  <c:v>41470</c:v>
                </c:pt>
                <c:pt idx="748">
                  <c:v>41471</c:v>
                </c:pt>
                <c:pt idx="749">
                  <c:v>41472</c:v>
                </c:pt>
                <c:pt idx="750">
                  <c:v>41473</c:v>
                </c:pt>
                <c:pt idx="751">
                  <c:v>41474</c:v>
                </c:pt>
                <c:pt idx="752">
                  <c:v>41477</c:v>
                </c:pt>
                <c:pt idx="753">
                  <c:v>41478</c:v>
                </c:pt>
                <c:pt idx="754">
                  <c:v>41479</c:v>
                </c:pt>
                <c:pt idx="755">
                  <c:v>41480</c:v>
                </c:pt>
                <c:pt idx="756">
                  <c:v>41481</c:v>
                </c:pt>
                <c:pt idx="757">
                  <c:v>41484</c:v>
                </c:pt>
                <c:pt idx="758">
                  <c:v>41485</c:v>
                </c:pt>
                <c:pt idx="759">
                  <c:v>41486</c:v>
                </c:pt>
                <c:pt idx="760">
                  <c:v>41487</c:v>
                </c:pt>
                <c:pt idx="761">
                  <c:v>41488</c:v>
                </c:pt>
                <c:pt idx="762">
                  <c:v>41491</c:v>
                </c:pt>
                <c:pt idx="763">
                  <c:v>41492</c:v>
                </c:pt>
                <c:pt idx="764">
                  <c:v>41493</c:v>
                </c:pt>
                <c:pt idx="765">
                  <c:v>41494</c:v>
                </c:pt>
                <c:pt idx="766">
                  <c:v>41495</c:v>
                </c:pt>
                <c:pt idx="767">
                  <c:v>41498</c:v>
                </c:pt>
                <c:pt idx="768">
                  <c:v>41499</c:v>
                </c:pt>
                <c:pt idx="769">
                  <c:v>41500</c:v>
                </c:pt>
                <c:pt idx="770">
                  <c:v>41501</c:v>
                </c:pt>
                <c:pt idx="771">
                  <c:v>41502</c:v>
                </c:pt>
                <c:pt idx="772">
                  <c:v>41505</c:v>
                </c:pt>
                <c:pt idx="773">
                  <c:v>41506</c:v>
                </c:pt>
                <c:pt idx="774">
                  <c:v>41507</c:v>
                </c:pt>
                <c:pt idx="775">
                  <c:v>41508</c:v>
                </c:pt>
                <c:pt idx="776">
                  <c:v>41509</c:v>
                </c:pt>
                <c:pt idx="777">
                  <c:v>41512</c:v>
                </c:pt>
                <c:pt idx="778">
                  <c:v>41513</c:v>
                </c:pt>
                <c:pt idx="779">
                  <c:v>41514</c:v>
                </c:pt>
                <c:pt idx="780">
                  <c:v>41515</c:v>
                </c:pt>
                <c:pt idx="781">
                  <c:v>41516</c:v>
                </c:pt>
                <c:pt idx="782">
                  <c:v>41520</c:v>
                </c:pt>
                <c:pt idx="783">
                  <c:v>41521</c:v>
                </c:pt>
                <c:pt idx="784">
                  <c:v>41522</c:v>
                </c:pt>
                <c:pt idx="785">
                  <c:v>41523</c:v>
                </c:pt>
                <c:pt idx="786">
                  <c:v>41526</c:v>
                </c:pt>
                <c:pt idx="787">
                  <c:v>41527</c:v>
                </c:pt>
                <c:pt idx="788">
                  <c:v>41528</c:v>
                </c:pt>
                <c:pt idx="789">
                  <c:v>41529</c:v>
                </c:pt>
                <c:pt idx="790">
                  <c:v>41530</c:v>
                </c:pt>
                <c:pt idx="791">
                  <c:v>41533</c:v>
                </c:pt>
                <c:pt idx="792">
                  <c:v>41534</c:v>
                </c:pt>
                <c:pt idx="793">
                  <c:v>41535</c:v>
                </c:pt>
                <c:pt idx="794">
                  <c:v>41536</c:v>
                </c:pt>
                <c:pt idx="795">
                  <c:v>41537</c:v>
                </c:pt>
                <c:pt idx="796">
                  <c:v>41540</c:v>
                </c:pt>
                <c:pt idx="797">
                  <c:v>41541</c:v>
                </c:pt>
                <c:pt idx="798">
                  <c:v>41542</c:v>
                </c:pt>
                <c:pt idx="799">
                  <c:v>41543</c:v>
                </c:pt>
                <c:pt idx="800">
                  <c:v>41544</c:v>
                </c:pt>
                <c:pt idx="801">
                  <c:v>41547</c:v>
                </c:pt>
                <c:pt idx="802">
                  <c:v>41548</c:v>
                </c:pt>
                <c:pt idx="803">
                  <c:v>41549</c:v>
                </c:pt>
                <c:pt idx="804">
                  <c:v>41550</c:v>
                </c:pt>
                <c:pt idx="805">
                  <c:v>41551</c:v>
                </c:pt>
                <c:pt idx="806">
                  <c:v>41554</c:v>
                </c:pt>
                <c:pt idx="807">
                  <c:v>41555</c:v>
                </c:pt>
                <c:pt idx="808">
                  <c:v>41556</c:v>
                </c:pt>
                <c:pt idx="809">
                  <c:v>41557</c:v>
                </c:pt>
                <c:pt idx="810">
                  <c:v>41558</c:v>
                </c:pt>
                <c:pt idx="811">
                  <c:v>41561</c:v>
                </c:pt>
                <c:pt idx="812">
                  <c:v>41562</c:v>
                </c:pt>
                <c:pt idx="813">
                  <c:v>41563</c:v>
                </c:pt>
                <c:pt idx="814">
                  <c:v>41564</c:v>
                </c:pt>
                <c:pt idx="815">
                  <c:v>41565</c:v>
                </c:pt>
                <c:pt idx="816">
                  <c:v>41568</c:v>
                </c:pt>
                <c:pt idx="817">
                  <c:v>41569</c:v>
                </c:pt>
                <c:pt idx="818">
                  <c:v>41570</c:v>
                </c:pt>
                <c:pt idx="819">
                  <c:v>41571</c:v>
                </c:pt>
                <c:pt idx="820">
                  <c:v>41572</c:v>
                </c:pt>
                <c:pt idx="821">
                  <c:v>41575</c:v>
                </c:pt>
                <c:pt idx="822">
                  <c:v>41576</c:v>
                </c:pt>
                <c:pt idx="823">
                  <c:v>41577</c:v>
                </c:pt>
                <c:pt idx="824">
                  <c:v>41578</c:v>
                </c:pt>
                <c:pt idx="825">
                  <c:v>41579</c:v>
                </c:pt>
                <c:pt idx="826">
                  <c:v>41582</c:v>
                </c:pt>
                <c:pt idx="827">
                  <c:v>41583</c:v>
                </c:pt>
                <c:pt idx="828">
                  <c:v>41584</c:v>
                </c:pt>
                <c:pt idx="829">
                  <c:v>41585</c:v>
                </c:pt>
                <c:pt idx="830">
                  <c:v>41586</c:v>
                </c:pt>
                <c:pt idx="831">
                  <c:v>41589</c:v>
                </c:pt>
                <c:pt idx="832">
                  <c:v>41590</c:v>
                </c:pt>
                <c:pt idx="833">
                  <c:v>41591</c:v>
                </c:pt>
                <c:pt idx="834">
                  <c:v>41592</c:v>
                </c:pt>
                <c:pt idx="835">
                  <c:v>41593</c:v>
                </c:pt>
                <c:pt idx="836">
                  <c:v>41596</c:v>
                </c:pt>
                <c:pt idx="837">
                  <c:v>41597</c:v>
                </c:pt>
                <c:pt idx="838">
                  <c:v>41598</c:v>
                </c:pt>
                <c:pt idx="839">
                  <c:v>41599</c:v>
                </c:pt>
                <c:pt idx="840">
                  <c:v>41600</c:v>
                </c:pt>
                <c:pt idx="841">
                  <c:v>41603</c:v>
                </c:pt>
                <c:pt idx="842">
                  <c:v>41604</c:v>
                </c:pt>
                <c:pt idx="843">
                  <c:v>41605</c:v>
                </c:pt>
                <c:pt idx="844">
                  <c:v>41607</c:v>
                </c:pt>
                <c:pt idx="845">
                  <c:v>41610</c:v>
                </c:pt>
                <c:pt idx="846">
                  <c:v>41611</c:v>
                </c:pt>
                <c:pt idx="847">
                  <c:v>41612</c:v>
                </c:pt>
                <c:pt idx="848">
                  <c:v>41613</c:v>
                </c:pt>
                <c:pt idx="849">
                  <c:v>41614</c:v>
                </c:pt>
                <c:pt idx="850">
                  <c:v>41617</c:v>
                </c:pt>
                <c:pt idx="851">
                  <c:v>41618</c:v>
                </c:pt>
                <c:pt idx="852">
                  <c:v>41619</c:v>
                </c:pt>
                <c:pt idx="853">
                  <c:v>41620</c:v>
                </c:pt>
                <c:pt idx="854">
                  <c:v>41621</c:v>
                </c:pt>
                <c:pt idx="855">
                  <c:v>41624</c:v>
                </c:pt>
                <c:pt idx="856">
                  <c:v>41625</c:v>
                </c:pt>
                <c:pt idx="857">
                  <c:v>41626</c:v>
                </c:pt>
                <c:pt idx="858">
                  <c:v>41627</c:v>
                </c:pt>
                <c:pt idx="859">
                  <c:v>41628</c:v>
                </c:pt>
                <c:pt idx="860">
                  <c:v>41631</c:v>
                </c:pt>
                <c:pt idx="861">
                  <c:v>41632</c:v>
                </c:pt>
                <c:pt idx="862">
                  <c:v>41634</c:v>
                </c:pt>
                <c:pt idx="863">
                  <c:v>41635</c:v>
                </c:pt>
                <c:pt idx="864">
                  <c:v>41638</c:v>
                </c:pt>
                <c:pt idx="865">
                  <c:v>41639</c:v>
                </c:pt>
                <c:pt idx="866">
                  <c:v>41641</c:v>
                </c:pt>
                <c:pt idx="867">
                  <c:v>41642</c:v>
                </c:pt>
                <c:pt idx="868">
                  <c:v>41645</c:v>
                </c:pt>
                <c:pt idx="869">
                  <c:v>41646</c:v>
                </c:pt>
                <c:pt idx="870">
                  <c:v>41647</c:v>
                </c:pt>
                <c:pt idx="871">
                  <c:v>41648</c:v>
                </c:pt>
                <c:pt idx="872">
                  <c:v>41649</c:v>
                </c:pt>
                <c:pt idx="873">
                  <c:v>41652</c:v>
                </c:pt>
                <c:pt idx="874">
                  <c:v>41653</c:v>
                </c:pt>
                <c:pt idx="875">
                  <c:v>41654</c:v>
                </c:pt>
                <c:pt idx="876">
                  <c:v>41655</c:v>
                </c:pt>
                <c:pt idx="877">
                  <c:v>41656</c:v>
                </c:pt>
                <c:pt idx="878">
                  <c:v>41660</c:v>
                </c:pt>
                <c:pt idx="879">
                  <c:v>41661</c:v>
                </c:pt>
                <c:pt idx="880">
                  <c:v>41662</c:v>
                </c:pt>
                <c:pt idx="881">
                  <c:v>41663</c:v>
                </c:pt>
                <c:pt idx="882">
                  <c:v>41666</c:v>
                </c:pt>
                <c:pt idx="883">
                  <c:v>41667</c:v>
                </c:pt>
                <c:pt idx="884">
                  <c:v>41668</c:v>
                </c:pt>
                <c:pt idx="885">
                  <c:v>41669</c:v>
                </c:pt>
                <c:pt idx="886">
                  <c:v>41670</c:v>
                </c:pt>
                <c:pt idx="887">
                  <c:v>41673</c:v>
                </c:pt>
                <c:pt idx="888">
                  <c:v>41674</c:v>
                </c:pt>
                <c:pt idx="889">
                  <c:v>41675</c:v>
                </c:pt>
                <c:pt idx="890">
                  <c:v>41676</c:v>
                </c:pt>
                <c:pt idx="891">
                  <c:v>41677</c:v>
                </c:pt>
                <c:pt idx="892">
                  <c:v>41680</c:v>
                </c:pt>
                <c:pt idx="893">
                  <c:v>41681</c:v>
                </c:pt>
                <c:pt idx="894">
                  <c:v>41682</c:v>
                </c:pt>
                <c:pt idx="895">
                  <c:v>41683</c:v>
                </c:pt>
                <c:pt idx="896">
                  <c:v>41684</c:v>
                </c:pt>
                <c:pt idx="897">
                  <c:v>41688</c:v>
                </c:pt>
                <c:pt idx="898">
                  <c:v>41689</c:v>
                </c:pt>
                <c:pt idx="899">
                  <c:v>41690</c:v>
                </c:pt>
                <c:pt idx="900">
                  <c:v>41691</c:v>
                </c:pt>
                <c:pt idx="901">
                  <c:v>41694</c:v>
                </c:pt>
                <c:pt idx="902">
                  <c:v>41695</c:v>
                </c:pt>
                <c:pt idx="903">
                  <c:v>41696</c:v>
                </c:pt>
                <c:pt idx="904">
                  <c:v>41697</c:v>
                </c:pt>
                <c:pt idx="905">
                  <c:v>41698</c:v>
                </c:pt>
                <c:pt idx="906">
                  <c:v>41701</c:v>
                </c:pt>
                <c:pt idx="907">
                  <c:v>41702</c:v>
                </c:pt>
                <c:pt idx="908">
                  <c:v>41703</c:v>
                </c:pt>
                <c:pt idx="909">
                  <c:v>41704</c:v>
                </c:pt>
                <c:pt idx="910">
                  <c:v>41705</c:v>
                </c:pt>
                <c:pt idx="911">
                  <c:v>41708</c:v>
                </c:pt>
                <c:pt idx="912">
                  <c:v>41709</c:v>
                </c:pt>
                <c:pt idx="913">
                  <c:v>41710</c:v>
                </c:pt>
                <c:pt idx="914">
                  <c:v>41711</c:v>
                </c:pt>
                <c:pt idx="915">
                  <c:v>41712</c:v>
                </c:pt>
                <c:pt idx="916">
                  <c:v>41715</c:v>
                </c:pt>
                <c:pt idx="917">
                  <c:v>41716</c:v>
                </c:pt>
                <c:pt idx="918">
                  <c:v>41717</c:v>
                </c:pt>
                <c:pt idx="919">
                  <c:v>41718</c:v>
                </c:pt>
                <c:pt idx="920">
                  <c:v>41719</c:v>
                </c:pt>
                <c:pt idx="921">
                  <c:v>41722</c:v>
                </c:pt>
                <c:pt idx="922">
                  <c:v>41723</c:v>
                </c:pt>
                <c:pt idx="923">
                  <c:v>41724</c:v>
                </c:pt>
                <c:pt idx="924">
                  <c:v>41725</c:v>
                </c:pt>
                <c:pt idx="925">
                  <c:v>41726</c:v>
                </c:pt>
                <c:pt idx="926">
                  <c:v>41729</c:v>
                </c:pt>
                <c:pt idx="927">
                  <c:v>41730</c:v>
                </c:pt>
                <c:pt idx="928">
                  <c:v>41731</c:v>
                </c:pt>
                <c:pt idx="929">
                  <c:v>41732</c:v>
                </c:pt>
                <c:pt idx="930">
                  <c:v>41733</c:v>
                </c:pt>
                <c:pt idx="931">
                  <c:v>41736</c:v>
                </c:pt>
                <c:pt idx="932">
                  <c:v>41737</c:v>
                </c:pt>
                <c:pt idx="933">
                  <c:v>41738</c:v>
                </c:pt>
                <c:pt idx="934">
                  <c:v>41739</c:v>
                </c:pt>
                <c:pt idx="935">
                  <c:v>41740</c:v>
                </c:pt>
                <c:pt idx="936">
                  <c:v>41743</c:v>
                </c:pt>
                <c:pt idx="937">
                  <c:v>41744</c:v>
                </c:pt>
                <c:pt idx="938">
                  <c:v>41745</c:v>
                </c:pt>
                <c:pt idx="939">
                  <c:v>41746</c:v>
                </c:pt>
                <c:pt idx="940">
                  <c:v>41750</c:v>
                </c:pt>
                <c:pt idx="941">
                  <c:v>41751</c:v>
                </c:pt>
                <c:pt idx="942">
                  <c:v>41752</c:v>
                </c:pt>
                <c:pt idx="943">
                  <c:v>41753</c:v>
                </c:pt>
                <c:pt idx="944">
                  <c:v>41754</c:v>
                </c:pt>
                <c:pt idx="945">
                  <c:v>41757</c:v>
                </c:pt>
                <c:pt idx="946">
                  <c:v>41758</c:v>
                </c:pt>
                <c:pt idx="947">
                  <c:v>41759</c:v>
                </c:pt>
                <c:pt idx="948">
                  <c:v>41760</c:v>
                </c:pt>
                <c:pt idx="949">
                  <c:v>41761</c:v>
                </c:pt>
                <c:pt idx="950">
                  <c:v>41764</c:v>
                </c:pt>
                <c:pt idx="951">
                  <c:v>41765</c:v>
                </c:pt>
                <c:pt idx="952">
                  <c:v>41766</c:v>
                </c:pt>
                <c:pt idx="953">
                  <c:v>41767</c:v>
                </c:pt>
                <c:pt idx="954">
                  <c:v>41768</c:v>
                </c:pt>
                <c:pt idx="955">
                  <c:v>41771</c:v>
                </c:pt>
                <c:pt idx="956">
                  <c:v>41772</c:v>
                </c:pt>
                <c:pt idx="957">
                  <c:v>41773</c:v>
                </c:pt>
                <c:pt idx="958">
                  <c:v>41774</c:v>
                </c:pt>
                <c:pt idx="959">
                  <c:v>41775</c:v>
                </c:pt>
                <c:pt idx="960">
                  <c:v>41778</c:v>
                </c:pt>
                <c:pt idx="961">
                  <c:v>41779</c:v>
                </c:pt>
                <c:pt idx="962">
                  <c:v>41780</c:v>
                </c:pt>
                <c:pt idx="963">
                  <c:v>41781</c:v>
                </c:pt>
                <c:pt idx="964">
                  <c:v>41782</c:v>
                </c:pt>
                <c:pt idx="965">
                  <c:v>41786</c:v>
                </c:pt>
                <c:pt idx="966">
                  <c:v>41787</c:v>
                </c:pt>
                <c:pt idx="967">
                  <c:v>41788</c:v>
                </c:pt>
                <c:pt idx="968">
                  <c:v>41789</c:v>
                </c:pt>
                <c:pt idx="969">
                  <c:v>41792</c:v>
                </c:pt>
                <c:pt idx="970">
                  <c:v>41793</c:v>
                </c:pt>
                <c:pt idx="971">
                  <c:v>41794</c:v>
                </c:pt>
                <c:pt idx="972">
                  <c:v>41795</c:v>
                </c:pt>
                <c:pt idx="973">
                  <c:v>41796</c:v>
                </c:pt>
                <c:pt idx="974">
                  <c:v>41799</c:v>
                </c:pt>
                <c:pt idx="975">
                  <c:v>41800</c:v>
                </c:pt>
                <c:pt idx="976">
                  <c:v>41801</c:v>
                </c:pt>
                <c:pt idx="977">
                  <c:v>41802</c:v>
                </c:pt>
                <c:pt idx="978">
                  <c:v>41803</c:v>
                </c:pt>
                <c:pt idx="979">
                  <c:v>41806</c:v>
                </c:pt>
                <c:pt idx="980">
                  <c:v>41807</c:v>
                </c:pt>
                <c:pt idx="981">
                  <c:v>41808</c:v>
                </c:pt>
                <c:pt idx="982">
                  <c:v>41809</c:v>
                </c:pt>
                <c:pt idx="983">
                  <c:v>41810</c:v>
                </c:pt>
                <c:pt idx="984">
                  <c:v>41813</c:v>
                </c:pt>
                <c:pt idx="985">
                  <c:v>41814</c:v>
                </c:pt>
                <c:pt idx="986">
                  <c:v>41815</c:v>
                </c:pt>
                <c:pt idx="987">
                  <c:v>41816</c:v>
                </c:pt>
                <c:pt idx="988">
                  <c:v>41817</c:v>
                </c:pt>
                <c:pt idx="989">
                  <c:v>41820</c:v>
                </c:pt>
                <c:pt idx="990">
                  <c:v>41821</c:v>
                </c:pt>
                <c:pt idx="991">
                  <c:v>41822</c:v>
                </c:pt>
                <c:pt idx="992">
                  <c:v>41823</c:v>
                </c:pt>
                <c:pt idx="993">
                  <c:v>41827</c:v>
                </c:pt>
                <c:pt idx="994">
                  <c:v>41828</c:v>
                </c:pt>
                <c:pt idx="995">
                  <c:v>41829</c:v>
                </c:pt>
                <c:pt idx="996">
                  <c:v>41830</c:v>
                </c:pt>
                <c:pt idx="997">
                  <c:v>41831</c:v>
                </c:pt>
                <c:pt idx="998">
                  <c:v>41834</c:v>
                </c:pt>
                <c:pt idx="999">
                  <c:v>41835</c:v>
                </c:pt>
                <c:pt idx="1000">
                  <c:v>41836</c:v>
                </c:pt>
                <c:pt idx="1001">
                  <c:v>41837</c:v>
                </c:pt>
                <c:pt idx="1002">
                  <c:v>41838</c:v>
                </c:pt>
                <c:pt idx="1003">
                  <c:v>41841</c:v>
                </c:pt>
                <c:pt idx="1004">
                  <c:v>41842</c:v>
                </c:pt>
                <c:pt idx="1005">
                  <c:v>41843</c:v>
                </c:pt>
                <c:pt idx="1006">
                  <c:v>41844</c:v>
                </c:pt>
                <c:pt idx="1007">
                  <c:v>41845</c:v>
                </c:pt>
                <c:pt idx="1008">
                  <c:v>41848</c:v>
                </c:pt>
                <c:pt idx="1009">
                  <c:v>41849</c:v>
                </c:pt>
                <c:pt idx="1010">
                  <c:v>41850</c:v>
                </c:pt>
                <c:pt idx="1011">
                  <c:v>41851</c:v>
                </c:pt>
                <c:pt idx="1012">
                  <c:v>41852</c:v>
                </c:pt>
                <c:pt idx="1013">
                  <c:v>41855</c:v>
                </c:pt>
                <c:pt idx="1014">
                  <c:v>41856</c:v>
                </c:pt>
                <c:pt idx="1015">
                  <c:v>41857</c:v>
                </c:pt>
                <c:pt idx="1016">
                  <c:v>41858</c:v>
                </c:pt>
                <c:pt idx="1017">
                  <c:v>41859</c:v>
                </c:pt>
                <c:pt idx="1018">
                  <c:v>41862</c:v>
                </c:pt>
                <c:pt idx="1019">
                  <c:v>41863</c:v>
                </c:pt>
                <c:pt idx="1020">
                  <c:v>41864</c:v>
                </c:pt>
                <c:pt idx="1021">
                  <c:v>41865</c:v>
                </c:pt>
                <c:pt idx="1022">
                  <c:v>41866</c:v>
                </c:pt>
                <c:pt idx="1023">
                  <c:v>41869</c:v>
                </c:pt>
                <c:pt idx="1024">
                  <c:v>41870</c:v>
                </c:pt>
                <c:pt idx="1025">
                  <c:v>41871</c:v>
                </c:pt>
                <c:pt idx="1026">
                  <c:v>41872</c:v>
                </c:pt>
                <c:pt idx="1027">
                  <c:v>41873</c:v>
                </c:pt>
                <c:pt idx="1028">
                  <c:v>41876</c:v>
                </c:pt>
                <c:pt idx="1029">
                  <c:v>41877</c:v>
                </c:pt>
                <c:pt idx="1030">
                  <c:v>41878</c:v>
                </c:pt>
                <c:pt idx="1031">
                  <c:v>41879</c:v>
                </c:pt>
                <c:pt idx="1032">
                  <c:v>41880</c:v>
                </c:pt>
                <c:pt idx="1033">
                  <c:v>41884</c:v>
                </c:pt>
                <c:pt idx="1034">
                  <c:v>41885</c:v>
                </c:pt>
                <c:pt idx="1035">
                  <c:v>41886</c:v>
                </c:pt>
                <c:pt idx="1036">
                  <c:v>41887</c:v>
                </c:pt>
                <c:pt idx="1037">
                  <c:v>41890</c:v>
                </c:pt>
                <c:pt idx="1038">
                  <c:v>41891</c:v>
                </c:pt>
                <c:pt idx="1039">
                  <c:v>41892</c:v>
                </c:pt>
                <c:pt idx="1040">
                  <c:v>41893</c:v>
                </c:pt>
                <c:pt idx="1041">
                  <c:v>41894</c:v>
                </c:pt>
                <c:pt idx="1042">
                  <c:v>41897</c:v>
                </c:pt>
                <c:pt idx="1043">
                  <c:v>41898</c:v>
                </c:pt>
                <c:pt idx="1044">
                  <c:v>41899</c:v>
                </c:pt>
                <c:pt idx="1045">
                  <c:v>41900</c:v>
                </c:pt>
                <c:pt idx="1046">
                  <c:v>41901</c:v>
                </c:pt>
                <c:pt idx="1047">
                  <c:v>41904</c:v>
                </c:pt>
                <c:pt idx="1048">
                  <c:v>41905</c:v>
                </c:pt>
                <c:pt idx="1049">
                  <c:v>41906</c:v>
                </c:pt>
                <c:pt idx="1050">
                  <c:v>41907</c:v>
                </c:pt>
                <c:pt idx="1051">
                  <c:v>41908</c:v>
                </c:pt>
                <c:pt idx="1052">
                  <c:v>41911</c:v>
                </c:pt>
                <c:pt idx="1053">
                  <c:v>41912</c:v>
                </c:pt>
                <c:pt idx="1054">
                  <c:v>41913</c:v>
                </c:pt>
                <c:pt idx="1055">
                  <c:v>41914</c:v>
                </c:pt>
                <c:pt idx="1056">
                  <c:v>41915</c:v>
                </c:pt>
                <c:pt idx="1057">
                  <c:v>41918</c:v>
                </c:pt>
                <c:pt idx="1058">
                  <c:v>41919</c:v>
                </c:pt>
                <c:pt idx="1059">
                  <c:v>41920</c:v>
                </c:pt>
                <c:pt idx="1060">
                  <c:v>41921</c:v>
                </c:pt>
                <c:pt idx="1061">
                  <c:v>41922</c:v>
                </c:pt>
                <c:pt idx="1062">
                  <c:v>41925</c:v>
                </c:pt>
                <c:pt idx="1063">
                  <c:v>41926</c:v>
                </c:pt>
                <c:pt idx="1064">
                  <c:v>41927</c:v>
                </c:pt>
                <c:pt idx="1065">
                  <c:v>41928</c:v>
                </c:pt>
                <c:pt idx="1066">
                  <c:v>41929</c:v>
                </c:pt>
                <c:pt idx="1067">
                  <c:v>41932</c:v>
                </c:pt>
                <c:pt idx="1068">
                  <c:v>41933</c:v>
                </c:pt>
                <c:pt idx="1069">
                  <c:v>41934</c:v>
                </c:pt>
                <c:pt idx="1070">
                  <c:v>41935</c:v>
                </c:pt>
                <c:pt idx="1071">
                  <c:v>41936</c:v>
                </c:pt>
                <c:pt idx="1072">
                  <c:v>41939</c:v>
                </c:pt>
                <c:pt idx="1073">
                  <c:v>41940</c:v>
                </c:pt>
                <c:pt idx="1074">
                  <c:v>41941</c:v>
                </c:pt>
                <c:pt idx="1075">
                  <c:v>41942</c:v>
                </c:pt>
                <c:pt idx="1076">
                  <c:v>41943</c:v>
                </c:pt>
                <c:pt idx="1077">
                  <c:v>41946</c:v>
                </c:pt>
                <c:pt idx="1078">
                  <c:v>41947</c:v>
                </c:pt>
                <c:pt idx="1079">
                  <c:v>41948</c:v>
                </c:pt>
                <c:pt idx="1080">
                  <c:v>41949</c:v>
                </c:pt>
                <c:pt idx="1081">
                  <c:v>41950</c:v>
                </c:pt>
                <c:pt idx="1082">
                  <c:v>41953</c:v>
                </c:pt>
                <c:pt idx="1083">
                  <c:v>41954</c:v>
                </c:pt>
                <c:pt idx="1084">
                  <c:v>41955</c:v>
                </c:pt>
                <c:pt idx="1085">
                  <c:v>41956</c:v>
                </c:pt>
                <c:pt idx="1086">
                  <c:v>41957</c:v>
                </c:pt>
                <c:pt idx="1087">
                  <c:v>41960</c:v>
                </c:pt>
                <c:pt idx="1088">
                  <c:v>41961</c:v>
                </c:pt>
                <c:pt idx="1089">
                  <c:v>41962</c:v>
                </c:pt>
                <c:pt idx="1090">
                  <c:v>41963</c:v>
                </c:pt>
                <c:pt idx="1091">
                  <c:v>41964</c:v>
                </c:pt>
                <c:pt idx="1092">
                  <c:v>41967</c:v>
                </c:pt>
                <c:pt idx="1093">
                  <c:v>41968</c:v>
                </c:pt>
                <c:pt idx="1094">
                  <c:v>41969</c:v>
                </c:pt>
                <c:pt idx="1095">
                  <c:v>41971</c:v>
                </c:pt>
                <c:pt idx="1096">
                  <c:v>41974</c:v>
                </c:pt>
                <c:pt idx="1097">
                  <c:v>41975</c:v>
                </c:pt>
                <c:pt idx="1098">
                  <c:v>41976</c:v>
                </c:pt>
                <c:pt idx="1099">
                  <c:v>41977</c:v>
                </c:pt>
                <c:pt idx="1100">
                  <c:v>41978</c:v>
                </c:pt>
                <c:pt idx="1101">
                  <c:v>41981</c:v>
                </c:pt>
                <c:pt idx="1102">
                  <c:v>41982</c:v>
                </c:pt>
                <c:pt idx="1103">
                  <c:v>41983</c:v>
                </c:pt>
                <c:pt idx="1104">
                  <c:v>41984</c:v>
                </c:pt>
                <c:pt idx="1105">
                  <c:v>41985</c:v>
                </c:pt>
                <c:pt idx="1106">
                  <c:v>41988</c:v>
                </c:pt>
                <c:pt idx="1107">
                  <c:v>41989</c:v>
                </c:pt>
                <c:pt idx="1108">
                  <c:v>41990</c:v>
                </c:pt>
                <c:pt idx="1109">
                  <c:v>41991</c:v>
                </c:pt>
                <c:pt idx="1110">
                  <c:v>41992</c:v>
                </c:pt>
                <c:pt idx="1111">
                  <c:v>41995</c:v>
                </c:pt>
                <c:pt idx="1112">
                  <c:v>41996</c:v>
                </c:pt>
                <c:pt idx="1113">
                  <c:v>41997</c:v>
                </c:pt>
                <c:pt idx="1114">
                  <c:v>41999</c:v>
                </c:pt>
                <c:pt idx="1115">
                  <c:v>42002</c:v>
                </c:pt>
                <c:pt idx="1116">
                  <c:v>42003</c:v>
                </c:pt>
                <c:pt idx="1117">
                  <c:v>42004</c:v>
                </c:pt>
                <c:pt idx="1118">
                  <c:v>42006</c:v>
                </c:pt>
                <c:pt idx="1119">
                  <c:v>42009</c:v>
                </c:pt>
                <c:pt idx="1120">
                  <c:v>42010</c:v>
                </c:pt>
                <c:pt idx="1121">
                  <c:v>42011</c:v>
                </c:pt>
                <c:pt idx="1122">
                  <c:v>42012</c:v>
                </c:pt>
                <c:pt idx="1123">
                  <c:v>42013</c:v>
                </c:pt>
                <c:pt idx="1124">
                  <c:v>42016</c:v>
                </c:pt>
                <c:pt idx="1125">
                  <c:v>42017</c:v>
                </c:pt>
                <c:pt idx="1126">
                  <c:v>42018</c:v>
                </c:pt>
                <c:pt idx="1127">
                  <c:v>42019</c:v>
                </c:pt>
                <c:pt idx="1128">
                  <c:v>42020</c:v>
                </c:pt>
                <c:pt idx="1129">
                  <c:v>42024</c:v>
                </c:pt>
                <c:pt idx="1130">
                  <c:v>42025</c:v>
                </c:pt>
                <c:pt idx="1131">
                  <c:v>42026</c:v>
                </c:pt>
                <c:pt idx="1132">
                  <c:v>42027</c:v>
                </c:pt>
                <c:pt idx="1133">
                  <c:v>42030</c:v>
                </c:pt>
                <c:pt idx="1134">
                  <c:v>42031</c:v>
                </c:pt>
                <c:pt idx="1135">
                  <c:v>42032</c:v>
                </c:pt>
                <c:pt idx="1136">
                  <c:v>42033</c:v>
                </c:pt>
                <c:pt idx="1137">
                  <c:v>42034</c:v>
                </c:pt>
                <c:pt idx="1138">
                  <c:v>42037</c:v>
                </c:pt>
                <c:pt idx="1139">
                  <c:v>42038</c:v>
                </c:pt>
                <c:pt idx="1140">
                  <c:v>42039</c:v>
                </c:pt>
                <c:pt idx="1141">
                  <c:v>42040</c:v>
                </c:pt>
                <c:pt idx="1142">
                  <c:v>42041</c:v>
                </c:pt>
                <c:pt idx="1143">
                  <c:v>42044</c:v>
                </c:pt>
                <c:pt idx="1144">
                  <c:v>42045</c:v>
                </c:pt>
                <c:pt idx="1145">
                  <c:v>42046</c:v>
                </c:pt>
                <c:pt idx="1146">
                  <c:v>42047</c:v>
                </c:pt>
                <c:pt idx="1147">
                  <c:v>42048</c:v>
                </c:pt>
                <c:pt idx="1148">
                  <c:v>42052</c:v>
                </c:pt>
                <c:pt idx="1149">
                  <c:v>42053</c:v>
                </c:pt>
                <c:pt idx="1150">
                  <c:v>42054</c:v>
                </c:pt>
                <c:pt idx="1151">
                  <c:v>42055</c:v>
                </c:pt>
                <c:pt idx="1152">
                  <c:v>42058</c:v>
                </c:pt>
                <c:pt idx="1153">
                  <c:v>42059</c:v>
                </c:pt>
                <c:pt idx="1154">
                  <c:v>42060</c:v>
                </c:pt>
                <c:pt idx="1155">
                  <c:v>42061</c:v>
                </c:pt>
                <c:pt idx="1156">
                  <c:v>42062</c:v>
                </c:pt>
                <c:pt idx="1157">
                  <c:v>42065</c:v>
                </c:pt>
                <c:pt idx="1158">
                  <c:v>42066</c:v>
                </c:pt>
                <c:pt idx="1159">
                  <c:v>42067</c:v>
                </c:pt>
                <c:pt idx="1160">
                  <c:v>42068</c:v>
                </c:pt>
                <c:pt idx="1161">
                  <c:v>42069</c:v>
                </c:pt>
                <c:pt idx="1162">
                  <c:v>42072</c:v>
                </c:pt>
                <c:pt idx="1163">
                  <c:v>42073</c:v>
                </c:pt>
                <c:pt idx="1164">
                  <c:v>42074</c:v>
                </c:pt>
                <c:pt idx="1165">
                  <c:v>42075</c:v>
                </c:pt>
                <c:pt idx="1166">
                  <c:v>42076</c:v>
                </c:pt>
                <c:pt idx="1167">
                  <c:v>42079</c:v>
                </c:pt>
                <c:pt idx="1168">
                  <c:v>42080</c:v>
                </c:pt>
                <c:pt idx="1169">
                  <c:v>42081</c:v>
                </c:pt>
                <c:pt idx="1170">
                  <c:v>42082</c:v>
                </c:pt>
                <c:pt idx="1171">
                  <c:v>42083</c:v>
                </c:pt>
                <c:pt idx="1172">
                  <c:v>42086</c:v>
                </c:pt>
                <c:pt idx="1173">
                  <c:v>42087</c:v>
                </c:pt>
                <c:pt idx="1174">
                  <c:v>42088</c:v>
                </c:pt>
                <c:pt idx="1175">
                  <c:v>42089</c:v>
                </c:pt>
                <c:pt idx="1176">
                  <c:v>42090</c:v>
                </c:pt>
                <c:pt idx="1177">
                  <c:v>42093</c:v>
                </c:pt>
                <c:pt idx="1178">
                  <c:v>42094</c:v>
                </c:pt>
                <c:pt idx="1179">
                  <c:v>42095</c:v>
                </c:pt>
                <c:pt idx="1180">
                  <c:v>42096</c:v>
                </c:pt>
                <c:pt idx="1181">
                  <c:v>42100</c:v>
                </c:pt>
                <c:pt idx="1182">
                  <c:v>42101</c:v>
                </c:pt>
                <c:pt idx="1183">
                  <c:v>42102</c:v>
                </c:pt>
                <c:pt idx="1184">
                  <c:v>42103</c:v>
                </c:pt>
                <c:pt idx="1185">
                  <c:v>42104</c:v>
                </c:pt>
                <c:pt idx="1186">
                  <c:v>42107</c:v>
                </c:pt>
                <c:pt idx="1187">
                  <c:v>42108</c:v>
                </c:pt>
                <c:pt idx="1188">
                  <c:v>42109</c:v>
                </c:pt>
                <c:pt idx="1189">
                  <c:v>42110</c:v>
                </c:pt>
                <c:pt idx="1190">
                  <c:v>42111</c:v>
                </c:pt>
                <c:pt idx="1191">
                  <c:v>42114</c:v>
                </c:pt>
                <c:pt idx="1192">
                  <c:v>42115</c:v>
                </c:pt>
                <c:pt idx="1193">
                  <c:v>42116</c:v>
                </c:pt>
                <c:pt idx="1194">
                  <c:v>42117</c:v>
                </c:pt>
                <c:pt idx="1195">
                  <c:v>42118</c:v>
                </c:pt>
                <c:pt idx="1196">
                  <c:v>42121</c:v>
                </c:pt>
                <c:pt idx="1197">
                  <c:v>42122</c:v>
                </c:pt>
                <c:pt idx="1198">
                  <c:v>42123</c:v>
                </c:pt>
                <c:pt idx="1199">
                  <c:v>42124</c:v>
                </c:pt>
                <c:pt idx="1200">
                  <c:v>42125</c:v>
                </c:pt>
                <c:pt idx="1201">
                  <c:v>42128</c:v>
                </c:pt>
                <c:pt idx="1202">
                  <c:v>42129</c:v>
                </c:pt>
                <c:pt idx="1203">
                  <c:v>42130</c:v>
                </c:pt>
                <c:pt idx="1204">
                  <c:v>42131</c:v>
                </c:pt>
                <c:pt idx="1205">
                  <c:v>42132</c:v>
                </c:pt>
                <c:pt idx="1206">
                  <c:v>42135</c:v>
                </c:pt>
                <c:pt idx="1207">
                  <c:v>42136</c:v>
                </c:pt>
                <c:pt idx="1208">
                  <c:v>42137</c:v>
                </c:pt>
                <c:pt idx="1209">
                  <c:v>42138</c:v>
                </c:pt>
                <c:pt idx="1210">
                  <c:v>42139</c:v>
                </c:pt>
                <c:pt idx="1211">
                  <c:v>42142</c:v>
                </c:pt>
                <c:pt idx="1212">
                  <c:v>42143</c:v>
                </c:pt>
                <c:pt idx="1213">
                  <c:v>42144</c:v>
                </c:pt>
                <c:pt idx="1214">
                  <c:v>42145</c:v>
                </c:pt>
                <c:pt idx="1215">
                  <c:v>42146</c:v>
                </c:pt>
                <c:pt idx="1216">
                  <c:v>42150</c:v>
                </c:pt>
                <c:pt idx="1217">
                  <c:v>42151</c:v>
                </c:pt>
                <c:pt idx="1218">
                  <c:v>42152</c:v>
                </c:pt>
                <c:pt idx="1219">
                  <c:v>42153</c:v>
                </c:pt>
                <c:pt idx="1220">
                  <c:v>42156</c:v>
                </c:pt>
                <c:pt idx="1221">
                  <c:v>42157</c:v>
                </c:pt>
                <c:pt idx="1222">
                  <c:v>42158</c:v>
                </c:pt>
                <c:pt idx="1223">
                  <c:v>42159</c:v>
                </c:pt>
                <c:pt idx="1224">
                  <c:v>42160</c:v>
                </c:pt>
                <c:pt idx="1225">
                  <c:v>42163</c:v>
                </c:pt>
                <c:pt idx="1226">
                  <c:v>42164</c:v>
                </c:pt>
                <c:pt idx="1227">
                  <c:v>42165</c:v>
                </c:pt>
                <c:pt idx="1228">
                  <c:v>42166</c:v>
                </c:pt>
                <c:pt idx="1229">
                  <c:v>42167</c:v>
                </c:pt>
                <c:pt idx="1230">
                  <c:v>42170</c:v>
                </c:pt>
                <c:pt idx="1231">
                  <c:v>42171</c:v>
                </c:pt>
                <c:pt idx="1232">
                  <c:v>42172</c:v>
                </c:pt>
                <c:pt idx="1233">
                  <c:v>42173</c:v>
                </c:pt>
                <c:pt idx="1234">
                  <c:v>42174</c:v>
                </c:pt>
                <c:pt idx="1235">
                  <c:v>42177</c:v>
                </c:pt>
                <c:pt idx="1236">
                  <c:v>42178</c:v>
                </c:pt>
                <c:pt idx="1237">
                  <c:v>42179</c:v>
                </c:pt>
                <c:pt idx="1238">
                  <c:v>42180</c:v>
                </c:pt>
                <c:pt idx="1239">
                  <c:v>42181</c:v>
                </c:pt>
                <c:pt idx="1240">
                  <c:v>42184</c:v>
                </c:pt>
                <c:pt idx="1241">
                  <c:v>42185</c:v>
                </c:pt>
                <c:pt idx="1242">
                  <c:v>42186</c:v>
                </c:pt>
                <c:pt idx="1243">
                  <c:v>42187</c:v>
                </c:pt>
                <c:pt idx="1244">
                  <c:v>42191</c:v>
                </c:pt>
                <c:pt idx="1245">
                  <c:v>42192</c:v>
                </c:pt>
                <c:pt idx="1246">
                  <c:v>42193</c:v>
                </c:pt>
                <c:pt idx="1247">
                  <c:v>42194</c:v>
                </c:pt>
                <c:pt idx="1248">
                  <c:v>42195</c:v>
                </c:pt>
                <c:pt idx="1249">
                  <c:v>42198</c:v>
                </c:pt>
                <c:pt idx="1250">
                  <c:v>42199</c:v>
                </c:pt>
                <c:pt idx="1251">
                  <c:v>42200</c:v>
                </c:pt>
                <c:pt idx="1252">
                  <c:v>42201</c:v>
                </c:pt>
                <c:pt idx="1253">
                  <c:v>42202</c:v>
                </c:pt>
                <c:pt idx="1254">
                  <c:v>42205</c:v>
                </c:pt>
                <c:pt idx="1255">
                  <c:v>42206</c:v>
                </c:pt>
                <c:pt idx="1256">
                  <c:v>42207</c:v>
                </c:pt>
                <c:pt idx="1257">
                  <c:v>42208</c:v>
                </c:pt>
                <c:pt idx="1258">
                  <c:v>42209</c:v>
                </c:pt>
                <c:pt idx="1259">
                  <c:v>42212</c:v>
                </c:pt>
                <c:pt idx="1260">
                  <c:v>42213</c:v>
                </c:pt>
                <c:pt idx="1261">
                  <c:v>42214</c:v>
                </c:pt>
                <c:pt idx="1262">
                  <c:v>42215</c:v>
                </c:pt>
                <c:pt idx="1263">
                  <c:v>42216</c:v>
                </c:pt>
                <c:pt idx="1264">
                  <c:v>42219</c:v>
                </c:pt>
                <c:pt idx="1265">
                  <c:v>42220</c:v>
                </c:pt>
                <c:pt idx="1266">
                  <c:v>42221</c:v>
                </c:pt>
                <c:pt idx="1267">
                  <c:v>42222</c:v>
                </c:pt>
                <c:pt idx="1268">
                  <c:v>42223</c:v>
                </c:pt>
                <c:pt idx="1269">
                  <c:v>42226</c:v>
                </c:pt>
                <c:pt idx="1270">
                  <c:v>42227</c:v>
                </c:pt>
                <c:pt idx="1271">
                  <c:v>42228</c:v>
                </c:pt>
                <c:pt idx="1272">
                  <c:v>42229</c:v>
                </c:pt>
                <c:pt idx="1273">
                  <c:v>42230</c:v>
                </c:pt>
                <c:pt idx="1274">
                  <c:v>42233</c:v>
                </c:pt>
                <c:pt idx="1275">
                  <c:v>42234</c:v>
                </c:pt>
                <c:pt idx="1276">
                  <c:v>42235</c:v>
                </c:pt>
                <c:pt idx="1277">
                  <c:v>42236</c:v>
                </c:pt>
                <c:pt idx="1278">
                  <c:v>42237</c:v>
                </c:pt>
                <c:pt idx="1279">
                  <c:v>42240</c:v>
                </c:pt>
                <c:pt idx="1280">
                  <c:v>42241</c:v>
                </c:pt>
                <c:pt idx="1281">
                  <c:v>42242</c:v>
                </c:pt>
                <c:pt idx="1282">
                  <c:v>42243</c:v>
                </c:pt>
                <c:pt idx="1283">
                  <c:v>42244</c:v>
                </c:pt>
                <c:pt idx="1284">
                  <c:v>42247</c:v>
                </c:pt>
                <c:pt idx="1285">
                  <c:v>42248</c:v>
                </c:pt>
                <c:pt idx="1286">
                  <c:v>42249</c:v>
                </c:pt>
                <c:pt idx="1287">
                  <c:v>42250</c:v>
                </c:pt>
                <c:pt idx="1288">
                  <c:v>42251</c:v>
                </c:pt>
                <c:pt idx="1289">
                  <c:v>42255</c:v>
                </c:pt>
                <c:pt idx="1290">
                  <c:v>42256</c:v>
                </c:pt>
                <c:pt idx="1291">
                  <c:v>42257</c:v>
                </c:pt>
                <c:pt idx="1292">
                  <c:v>42258</c:v>
                </c:pt>
                <c:pt idx="1293">
                  <c:v>42261</c:v>
                </c:pt>
                <c:pt idx="1294">
                  <c:v>42262</c:v>
                </c:pt>
                <c:pt idx="1295">
                  <c:v>42263</c:v>
                </c:pt>
                <c:pt idx="1296">
                  <c:v>42264</c:v>
                </c:pt>
                <c:pt idx="1297">
                  <c:v>42265</c:v>
                </c:pt>
                <c:pt idx="1298">
                  <c:v>42268</c:v>
                </c:pt>
                <c:pt idx="1299">
                  <c:v>42269</c:v>
                </c:pt>
                <c:pt idx="1300">
                  <c:v>42270</c:v>
                </c:pt>
                <c:pt idx="1301">
                  <c:v>42271</c:v>
                </c:pt>
                <c:pt idx="1302">
                  <c:v>42272</c:v>
                </c:pt>
                <c:pt idx="1303">
                  <c:v>42275</c:v>
                </c:pt>
                <c:pt idx="1304">
                  <c:v>42276</c:v>
                </c:pt>
                <c:pt idx="1305">
                  <c:v>42277</c:v>
                </c:pt>
                <c:pt idx="1306">
                  <c:v>42278</c:v>
                </c:pt>
                <c:pt idx="1307">
                  <c:v>42279</c:v>
                </c:pt>
                <c:pt idx="1308">
                  <c:v>42282</c:v>
                </c:pt>
                <c:pt idx="1309">
                  <c:v>42283</c:v>
                </c:pt>
                <c:pt idx="1310">
                  <c:v>42284</c:v>
                </c:pt>
                <c:pt idx="1311">
                  <c:v>42285</c:v>
                </c:pt>
                <c:pt idx="1312">
                  <c:v>42286</c:v>
                </c:pt>
                <c:pt idx="1313">
                  <c:v>42289</c:v>
                </c:pt>
                <c:pt idx="1314">
                  <c:v>42290</c:v>
                </c:pt>
                <c:pt idx="1315">
                  <c:v>42291</c:v>
                </c:pt>
                <c:pt idx="1316">
                  <c:v>42292</c:v>
                </c:pt>
                <c:pt idx="1317">
                  <c:v>42293</c:v>
                </c:pt>
                <c:pt idx="1318">
                  <c:v>42296</c:v>
                </c:pt>
                <c:pt idx="1319">
                  <c:v>42297</c:v>
                </c:pt>
                <c:pt idx="1320">
                  <c:v>42298</c:v>
                </c:pt>
                <c:pt idx="1321">
                  <c:v>42299</c:v>
                </c:pt>
                <c:pt idx="1322">
                  <c:v>42300</c:v>
                </c:pt>
                <c:pt idx="1323">
                  <c:v>42303</c:v>
                </c:pt>
                <c:pt idx="1324">
                  <c:v>42304</c:v>
                </c:pt>
                <c:pt idx="1325">
                  <c:v>42305</c:v>
                </c:pt>
                <c:pt idx="1326">
                  <c:v>42306</c:v>
                </c:pt>
                <c:pt idx="1327">
                  <c:v>42307</c:v>
                </c:pt>
                <c:pt idx="1328">
                  <c:v>42310</c:v>
                </c:pt>
                <c:pt idx="1329">
                  <c:v>42311</c:v>
                </c:pt>
                <c:pt idx="1330">
                  <c:v>42312</c:v>
                </c:pt>
                <c:pt idx="1331">
                  <c:v>42313</c:v>
                </c:pt>
                <c:pt idx="1332">
                  <c:v>42314</c:v>
                </c:pt>
                <c:pt idx="1333">
                  <c:v>42317</c:v>
                </c:pt>
                <c:pt idx="1334">
                  <c:v>42318</c:v>
                </c:pt>
                <c:pt idx="1335">
                  <c:v>42319</c:v>
                </c:pt>
                <c:pt idx="1336">
                  <c:v>42320</c:v>
                </c:pt>
                <c:pt idx="1337">
                  <c:v>42321</c:v>
                </c:pt>
                <c:pt idx="1338">
                  <c:v>42324</c:v>
                </c:pt>
                <c:pt idx="1339">
                  <c:v>42325</c:v>
                </c:pt>
                <c:pt idx="1340">
                  <c:v>42326</c:v>
                </c:pt>
                <c:pt idx="1341">
                  <c:v>42327</c:v>
                </c:pt>
                <c:pt idx="1342">
                  <c:v>42328</c:v>
                </c:pt>
                <c:pt idx="1343">
                  <c:v>42331</c:v>
                </c:pt>
                <c:pt idx="1344">
                  <c:v>42332</c:v>
                </c:pt>
                <c:pt idx="1345">
                  <c:v>42333</c:v>
                </c:pt>
                <c:pt idx="1346">
                  <c:v>42335</c:v>
                </c:pt>
                <c:pt idx="1347">
                  <c:v>42338</c:v>
                </c:pt>
                <c:pt idx="1348">
                  <c:v>42339</c:v>
                </c:pt>
                <c:pt idx="1349">
                  <c:v>42340</c:v>
                </c:pt>
                <c:pt idx="1350">
                  <c:v>42341</c:v>
                </c:pt>
                <c:pt idx="1351">
                  <c:v>42342</c:v>
                </c:pt>
                <c:pt idx="1352">
                  <c:v>42345</c:v>
                </c:pt>
                <c:pt idx="1353">
                  <c:v>42346</c:v>
                </c:pt>
                <c:pt idx="1354">
                  <c:v>42347</c:v>
                </c:pt>
                <c:pt idx="1355">
                  <c:v>42348</c:v>
                </c:pt>
                <c:pt idx="1356">
                  <c:v>42349</c:v>
                </c:pt>
                <c:pt idx="1357">
                  <c:v>42352</c:v>
                </c:pt>
                <c:pt idx="1358">
                  <c:v>42353</c:v>
                </c:pt>
                <c:pt idx="1359">
                  <c:v>42354</c:v>
                </c:pt>
                <c:pt idx="1360">
                  <c:v>42355</c:v>
                </c:pt>
                <c:pt idx="1361">
                  <c:v>42356</c:v>
                </c:pt>
                <c:pt idx="1362">
                  <c:v>42359</c:v>
                </c:pt>
                <c:pt idx="1363">
                  <c:v>42360</c:v>
                </c:pt>
                <c:pt idx="1364">
                  <c:v>42361</c:v>
                </c:pt>
                <c:pt idx="1365">
                  <c:v>42362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42373</c:v>
                </c:pt>
                <c:pt idx="1371">
                  <c:v>42374</c:v>
                </c:pt>
                <c:pt idx="1372">
                  <c:v>42375</c:v>
                </c:pt>
                <c:pt idx="1373">
                  <c:v>42376</c:v>
                </c:pt>
                <c:pt idx="1374">
                  <c:v>42377</c:v>
                </c:pt>
                <c:pt idx="1375">
                  <c:v>42380</c:v>
                </c:pt>
                <c:pt idx="1376">
                  <c:v>42381</c:v>
                </c:pt>
                <c:pt idx="1377">
                  <c:v>42382</c:v>
                </c:pt>
                <c:pt idx="1378">
                  <c:v>42383</c:v>
                </c:pt>
                <c:pt idx="1379">
                  <c:v>42384</c:v>
                </c:pt>
                <c:pt idx="1380">
                  <c:v>42388</c:v>
                </c:pt>
                <c:pt idx="1381">
                  <c:v>42389</c:v>
                </c:pt>
                <c:pt idx="1382">
                  <c:v>42390</c:v>
                </c:pt>
                <c:pt idx="1383">
                  <c:v>42391</c:v>
                </c:pt>
                <c:pt idx="1384">
                  <c:v>42394</c:v>
                </c:pt>
                <c:pt idx="1385">
                  <c:v>42395</c:v>
                </c:pt>
                <c:pt idx="1386">
                  <c:v>42396</c:v>
                </c:pt>
                <c:pt idx="1387">
                  <c:v>42397</c:v>
                </c:pt>
                <c:pt idx="1388">
                  <c:v>42398</c:v>
                </c:pt>
                <c:pt idx="1389">
                  <c:v>42401</c:v>
                </c:pt>
                <c:pt idx="1390">
                  <c:v>42402</c:v>
                </c:pt>
                <c:pt idx="1391">
                  <c:v>42403</c:v>
                </c:pt>
                <c:pt idx="1392">
                  <c:v>42404</c:v>
                </c:pt>
                <c:pt idx="1393">
                  <c:v>42405</c:v>
                </c:pt>
                <c:pt idx="1394">
                  <c:v>42408</c:v>
                </c:pt>
                <c:pt idx="1395">
                  <c:v>42409</c:v>
                </c:pt>
                <c:pt idx="1396">
                  <c:v>42410</c:v>
                </c:pt>
                <c:pt idx="1397">
                  <c:v>42411</c:v>
                </c:pt>
                <c:pt idx="1398">
                  <c:v>42412</c:v>
                </c:pt>
                <c:pt idx="1399">
                  <c:v>42416</c:v>
                </c:pt>
                <c:pt idx="1400">
                  <c:v>42417</c:v>
                </c:pt>
                <c:pt idx="1401">
                  <c:v>42418</c:v>
                </c:pt>
                <c:pt idx="1402">
                  <c:v>42419</c:v>
                </c:pt>
                <c:pt idx="1403">
                  <c:v>42422</c:v>
                </c:pt>
                <c:pt idx="1404">
                  <c:v>42423</c:v>
                </c:pt>
                <c:pt idx="1405">
                  <c:v>42424</c:v>
                </c:pt>
                <c:pt idx="1406">
                  <c:v>42425</c:v>
                </c:pt>
                <c:pt idx="1407">
                  <c:v>42426</c:v>
                </c:pt>
                <c:pt idx="1408">
                  <c:v>42429</c:v>
                </c:pt>
                <c:pt idx="1409">
                  <c:v>42430</c:v>
                </c:pt>
                <c:pt idx="1410">
                  <c:v>42431</c:v>
                </c:pt>
                <c:pt idx="1411">
                  <c:v>42432</c:v>
                </c:pt>
                <c:pt idx="1412">
                  <c:v>42433</c:v>
                </c:pt>
                <c:pt idx="1413">
                  <c:v>42436</c:v>
                </c:pt>
                <c:pt idx="1414">
                  <c:v>42437</c:v>
                </c:pt>
                <c:pt idx="1415">
                  <c:v>42438</c:v>
                </c:pt>
                <c:pt idx="1416">
                  <c:v>42439</c:v>
                </c:pt>
                <c:pt idx="1417">
                  <c:v>42440</c:v>
                </c:pt>
                <c:pt idx="1418">
                  <c:v>42443</c:v>
                </c:pt>
                <c:pt idx="1419">
                  <c:v>42444</c:v>
                </c:pt>
                <c:pt idx="1420">
                  <c:v>42445</c:v>
                </c:pt>
                <c:pt idx="1421">
                  <c:v>42446</c:v>
                </c:pt>
                <c:pt idx="1422">
                  <c:v>42447</c:v>
                </c:pt>
                <c:pt idx="1423">
                  <c:v>42450</c:v>
                </c:pt>
                <c:pt idx="1424">
                  <c:v>42451</c:v>
                </c:pt>
                <c:pt idx="1425">
                  <c:v>42452</c:v>
                </c:pt>
                <c:pt idx="1426">
                  <c:v>42453</c:v>
                </c:pt>
                <c:pt idx="1427">
                  <c:v>42457</c:v>
                </c:pt>
                <c:pt idx="1428">
                  <c:v>42458</c:v>
                </c:pt>
                <c:pt idx="1429">
                  <c:v>42459</c:v>
                </c:pt>
                <c:pt idx="1430">
                  <c:v>42460</c:v>
                </c:pt>
                <c:pt idx="1431">
                  <c:v>42461</c:v>
                </c:pt>
                <c:pt idx="1432">
                  <c:v>42464</c:v>
                </c:pt>
                <c:pt idx="1433">
                  <c:v>42465</c:v>
                </c:pt>
                <c:pt idx="1434">
                  <c:v>42466</c:v>
                </c:pt>
                <c:pt idx="1435">
                  <c:v>42467</c:v>
                </c:pt>
                <c:pt idx="1436">
                  <c:v>42468</c:v>
                </c:pt>
                <c:pt idx="1437">
                  <c:v>42471</c:v>
                </c:pt>
                <c:pt idx="1438">
                  <c:v>42472</c:v>
                </c:pt>
                <c:pt idx="1439">
                  <c:v>42473</c:v>
                </c:pt>
                <c:pt idx="1440">
                  <c:v>42474</c:v>
                </c:pt>
                <c:pt idx="1441">
                  <c:v>42475</c:v>
                </c:pt>
                <c:pt idx="1442">
                  <c:v>42478</c:v>
                </c:pt>
                <c:pt idx="1443">
                  <c:v>42479</c:v>
                </c:pt>
                <c:pt idx="1444">
                  <c:v>42480</c:v>
                </c:pt>
                <c:pt idx="1445">
                  <c:v>42481</c:v>
                </c:pt>
                <c:pt idx="1446">
                  <c:v>42482</c:v>
                </c:pt>
                <c:pt idx="1447">
                  <c:v>42485</c:v>
                </c:pt>
                <c:pt idx="1448">
                  <c:v>42486</c:v>
                </c:pt>
                <c:pt idx="1449">
                  <c:v>42487</c:v>
                </c:pt>
                <c:pt idx="1450">
                  <c:v>42488</c:v>
                </c:pt>
                <c:pt idx="1451">
                  <c:v>42489</c:v>
                </c:pt>
                <c:pt idx="1452">
                  <c:v>42492</c:v>
                </c:pt>
                <c:pt idx="1453">
                  <c:v>42493</c:v>
                </c:pt>
                <c:pt idx="1454">
                  <c:v>42494</c:v>
                </c:pt>
                <c:pt idx="1455">
                  <c:v>42495</c:v>
                </c:pt>
                <c:pt idx="1456">
                  <c:v>42496</c:v>
                </c:pt>
                <c:pt idx="1457">
                  <c:v>42499</c:v>
                </c:pt>
                <c:pt idx="1458">
                  <c:v>42500</c:v>
                </c:pt>
                <c:pt idx="1459">
                  <c:v>42501</c:v>
                </c:pt>
                <c:pt idx="1460">
                  <c:v>42502</c:v>
                </c:pt>
                <c:pt idx="1461">
                  <c:v>42503</c:v>
                </c:pt>
                <c:pt idx="1462">
                  <c:v>42506</c:v>
                </c:pt>
                <c:pt idx="1463">
                  <c:v>42507</c:v>
                </c:pt>
                <c:pt idx="1464">
                  <c:v>42508</c:v>
                </c:pt>
                <c:pt idx="1465">
                  <c:v>42509</c:v>
                </c:pt>
                <c:pt idx="1466">
                  <c:v>42510</c:v>
                </c:pt>
                <c:pt idx="1467">
                  <c:v>42513</c:v>
                </c:pt>
                <c:pt idx="1468">
                  <c:v>42514</c:v>
                </c:pt>
                <c:pt idx="1469">
                  <c:v>42515</c:v>
                </c:pt>
                <c:pt idx="1470">
                  <c:v>42516</c:v>
                </c:pt>
                <c:pt idx="1471">
                  <c:v>42517</c:v>
                </c:pt>
                <c:pt idx="1472">
                  <c:v>42521</c:v>
                </c:pt>
                <c:pt idx="1473">
                  <c:v>42522</c:v>
                </c:pt>
                <c:pt idx="1474">
                  <c:v>42523</c:v>
                </c:pt>
                <c:pt idx="1475">
                  <c:v>42524</c:v>
                </c:pt>
                <c:pt idx="1476">
                  <c:v>42527</c:v>
                </c:pt>
                <c:pt idx="1477">
                  <c:v>42528</c:v>
                </c:pt>
                <c:pt idx="1478">
                  <c:v>42529</c:v>
                </c:pt>
                <c:pt idx="1479">
                  <c:v>42530</c:v>
                </c:pt>
                <c:pt idx="1480">
                  <c:v>42531</c:v>
                </c:pt>
                <c:pt idx="1481">
                  <c:v>42534</c:v>
                </c:pt>
                <c:pt idx="1482">
                  <c:v>42535</c:v>
                </c:pt>
                <c:pt idx="1483">
                  <c:v>42536</c:v>
                </c:pt>
                <c:pt idx="1484">
                  <c:v>42537</c:v>
                </c:pt>
                <c:pt idx="1485">
                  <c:v>42538</c:v>
                </c:pt>
                <c:pt idx="1486">
                  <c:v>42541</c:v>
                </c:pt>
                <c:pt idx="1487">
                  <c:v>42542</c:v>
                </c:pt>
                <c:pt idx="1488">
                  <c:v>42543</c:v>
                </c:pt>
                <c:pt idx="1489">
                  <c:v>42544</c:v>
                </c:pt>
                <c:pt idx="1490">
                  <c:v>42545</c:v>
                </c:pt>
                <c:pt idx="1491">
                  <c:v>42548</c:v>
                </c:pt>
                <c:pt idx="1492">
                  <c:v>42549</c:v>
                </c:pt>
                <c:pt idx="1493">
                  <c:v>42550</c:v>
                </c:pt>
                <c:pt idx="1494">
                  <c:v>42551</c:v>
                </c:pt>
                <c:pt idx="1495">
                  <c:v>42552</c:v>
                </c:pt>
                <c:pt idx="1496">
                  <c:v>42556</c:v>
                </c:pt>
                <c:pt idx="1497">
                  <c:v>42557</c:v>
                </c:pt>
                <c:pt idx="1498">
                  <c:v>42558</c:v>
                </c:pt>
                <c:pt idx="1499">
                  <c:v>42559</c:v>
                </c:pt>
                <c:pt idx="1500">
                  <c:v>42562</c:v>
                </c:pt>
                <c:pt idx="1501">
                  <c:v>42563</c:v>
                </c:pt>
                <c:pt idx="1502">
                  <c:v>42564</c:v>
                </c:pt>
                <c:pt idx="1503">
                  <c:v>42565</c:v>
                </c:pt>
                <c:pt idx="1504">
                  <c:v>42566</c:v>
                </c:pt>
                <c:pt idx="1505">
                  <c:v>42569</c:v>
                </c:pt>
                <c:pt idx="1506">
                  <c:v>42570</c:v>
                </c:pt>
                <c:pt idx="1507">
                  <c:v>42571</c:v>
                </c:pt>
                <c:pt idx="1508">
                  <c:v>42572</c:v>
                </c:pt>
                <c:pt idx="1509">
                  <c:v>42573</c:v>
                </c:pt>
                <c:pt idx="1510">
                  <c:v>42576</c:v>
                </c:pt>
                <c:pt idx="1511">
                  <c:v>42577</c:v>
                </c:pt>
                <c:pt idx="1512">
                  <c:v>42578</c:v>
                </c:pt>
                <c:pt idx="1513">
                  <c:v>42579</c:v>
                </c:pt>
                <c:pt idx="1514">
                  <c:v>42580</c:v>
                </c:pt>
                <c:pt idx="1515">
                  <c:v>42583</c:v>
                </c:pt>
                <c:pt idx="1516">
                  <c:v>42584</c:v>
                </c:pt>
                <c:pt idx="1517">
                  <c:v>42585</c:v>
                </c:pt>
                <c:pt idx="1518">
                  <c:v>42586</c:v>
                </c:pt>
                <c:pt idx="1519">
                  <c:v>42587</c:v>
                </c:pt>
                <c:pt idx="1520">
                  <c:v>42590</c:v>
                </c:pt>
                <c:pt idx="1521">
                  <c:v>42591</c:v>
                </c:pt>
                <c:pt idx="1522">
                  <c:v>42592</c:v>
                </c:pt>
                <c:pt idx="1523">
                  <c:v>42593</c:v>
                </c:pt>
                <c:pt idx="1524">
                  <c:v>42594</c:v>
                </c:pt>
                <c:pt idx="1525">
                  <c:v>42597</c:v>
                </c:pt>
                <c:pt idx="1526">
                  <c:v>42598</c:v>
                </c:pt>
                <c:pt idx="1527">
                  <c:v>42599</c:v>
                </c:pt>
                <c:pt idx="1528">
                  <c:v>42600</c:v>
                </c:pt>
                <c:pt idx="1529">
                  <c:v>42601</c:v>
                </c:pt>
                <c:pt idx="1530">
                  <c:v>42604</c:v>
                </c:pt>
                <c:pt idx="1531">
                  <c:v>42605</c:v>
                </c:pt>
                <c:pt idx="1532">
                  <c:v>42606</c:v>
                </c:pt>
                <c:pt idx="1533">
                  <c:v>42607</c:v>
                </c:pt>
                <c:pt idx="1534">
                  <c:v>42608</c:v>
                </c:pt>
                <c:pt idx="1535">
                  <c:v>42611</c:v>
                </c:pt>
                <c:pt idx="1536">
                  <c:v>42612</c:v>
                </c:pt>
                <c:pt idx="1537">
                  <c:v>42613</c:v>
                </c:pt>
                <c:pt idx="1538">
                  <c:v>42614</c:v>
                </c:pt>
                <c:pt idx="1539">
                  <c:v>42615</c:v>
                </c:pt>
                <c:pt idx="1540">
                  <c:v>42619</c:v>
                </c:pt>
                <c:pt idx="1541">
                  <c:v>42620</c:v>
                </c:pt>
                <c:pt idx="1542">
                  <c:v>42621</c:v>
                </c:pt>
                <c:pt idx="1543">
                  <c:v>42622</c:v>
                </c:pt>
                <c:pt idx="1544">
                  <c:v>42625</c:v>
                </c:pt>
                <c:pt idx="1545">
                  <c:v>42626</c:v>
                </c:pt>
                <c:pt idx="1546">
                  <c:v>42627</c:v>
                </c:pt>
                <c:pt idx="1547">
                  <c:v>42628</c:v>
                </c:pt>
                <c:pt idx="1548">
                  <c:v>42629</c:v>
                </c:pt>
                <c:pt idx="1549">
                  <c:v>42632</c:v>
                </c:pt>
                <c:pt idx="1550">
                  <c:v>42633</c:v>
                </c:pt>
                <c:pt idx="1551">
                  <c:v>42634</c:v>
                </c:pt>
                <c:pt idx="1552">
                  <c:v>42635</c:v>
                </c:pt>
                <c:pt idx="1553">
                  <c:v>42636</c:v>
                </c:pt>
                <c:pt idx="1554">
                  <c:v>42639</c:v>
                </c:pt>
                <c:pt idx="1555">
                  <c:v>42640</c:v>
                </c:pt>
                <c:pt idx="1556">
                  <c:v>42641</c:v>
                </c:pt>
                <c:pt idx="1557">
                  <c:v>42642</c:v>
                </c:pt>
                <c:pt idx="1558">
                  <c:v>42643</c:v>
                </c:pt>
                <c:pt idx="1559">
                  <c:v>42646</c:v>
                </c:pt>
                <c:pt idx="1560">
                  <c:v>42647</c:v>
                </c:pt>
                <c:pt idx="1561">
                  <c:v>42648</c:v>
                </c:pt>
                <c:pt idx="1562">
                  <c:v>42649</c:v>
                </c:pt>
                <c:pt idx="1563">
                  <c:v>42650</c:v>
                </c:pt>
                <c:pt idx="1564">
                  <c:v>42653</c:v>
                </c:pt>
                <c:pt idx="1565">
                  <c:v>42654</c:v>
                </c:pt>
                <c:pt idx="1566">
                  <c:v>42655</c:v>
                </c:pt>
                <c:pt idx="1567">
                  <c:v>42656</c:v>
                </c:pt>
                <c:pt idx="1568">
                  <c:v>42657</c:v>
                </c:pt>
                <c:pt idx="1569">
                  <c:v>42660</c:v>
                </c:pt>
                <c:pt idx="1570">
                  <c:v>42661</c:v>
                </c:pt>
                <c:pt idx="1571">
                  <c:v>42662</c:v>
                </c:pt>
                <c:pt idx="1572">
                  <c:v>42663</c:v>
                </c:pt>
                <c:pt idx="1573">
                  <c:v>42664</c:v>
                </c:pt>
                <c:pt idx="1574">
                  <c:v>42667</c:v>
                </c:pt>
                <c:pt idx="1575">
                  <c:v>42668</c:v>
                </c:pt>
                <c:pt idx="1576">
                  <c:v>42669</c:v>
                </c:pt>
                <c:pt idx="1577">
                  <c:v>42670</c:v>
                </c:pt>
                <c:pt idx="1578">
                  <c:v>42671</c:v>
                </c:pt>
                <c:pt idx="1579">
                  <c:v>42674</c:v>
                </c:pt>
                <c:pt idx="1580">
                  <c:v>42675</c:v>
                </c:pt>
                <c:pt idx="1581">
                  <c:v>42676</c:v>
                </c:pt>
                <c:pt idx="1582">
                  <c:v>42677</c:v>
                </c:pt>
                <c:pt idx="1583">
                  <c:v>42678</c:v>
                </c:pt>
                <c:pt idx="1584">
                  <c:v>42681</c:v>
                </c:pt>
                <c:pt idx="1585">
                  <c:v>42682</c:v>
                </c:pt>
                <c:pt idx="1586">
                  <c:v>42683</c:v>
                </c:pt>
                <c:pt idx="1587">
                  <c:v>42684</c:v>
                </c:pt>
                <c:pt idx="1588">
                  <c:v>42685</c:v>
                </c:pt>
                <c:pt idx="1589">
                  <c:v>42688</c:v>
                </c:pt>
                <c:pt idx="1590">
                  <c:v>42689</c:v>
                </c:pt>
                <c:pt idx="1591">
                  <c:v>42690</c:v>
                </c:pt>
                <c:pt idx="1592">
                  <c:v>42691</c:v>
                </c:pt>
                <c:pt idx="1593">
                  <c:v>42692</c:v>
                </c:pt>
                <c:pt idx="1594">
                  <c:v>42695</c:v>
                </c:pt>
                <c:pt idx="1595">
                  <c:v>42696</c:v>
                </c:pt>
                <c:pt idx="1596">
                  <c:v>42697</c:v>
                </c:pt>
                <c:pt idx="1597">
                  <c:v>42699</c:v>
                </c:pt>
                <c:pt idx="1598">
                  <c:v>42702</c:v>
                </c:pt>
                <c:pt idx="1599">
                  <c:v>42703</c:v>
                </c:pt>
                <c:pt idx="1600">
                  <c:v>42704</c:v>
                </c:pt>
                <c:pt idx="1601">
                  <c:v>42705</c:v>
                </c:pt>
                <c:pt idx="1602">
                  <c:v>42706</c:v>
                </c:pt>
                <c:pt idx="1603">
                  <c:v>42709</c:v>
                </c:pt>
                <c:pt idx="1604">
                  <c:v>42710</c:v>
                </c:pt>
                <c:pt idx="1605">
                  <c:v>42711</c:v>
                </c:pt>
                <c:pt idx="1606">
                  <c:v>42712</c:v>
                </c:pt>
                <c:pt idx="1607">
                  <c:v>42713</c:v>
                </c:pt>
                <c:pt idx="1608">
                  <c:v>42716</c:v>
                </c:pt>
                <c:pt idx="1609">
                  <c:v>42717</c:v>
                </c:pt>
                <c:pt idx="1610">
                  <c:v>42718</c:v>
                </c:pt>
                <c:pt idx="1611">
                  <c:v>42719</c:v>
                </c:pt>
                <c:pt idx="1612">
                  <c:v>42720</c:v>
                </c:pt>
                <c:pt idx="1613">
                  <c:v>42723</c:v>
                </c:pt>
                <c:pt idx="1614">
                  <c:v>42724</c:v>
                </c:pt>
                <c:pt idx="1615">
                  <c:v>42725</c:v>
                </c:pt>
                <c:pt idx="1616">
                  <c:v>42726</c:v>
                </c:pt>
                <c:pt idx="1617">
                  <c:v>42727</c:v>
                </c:pt>
                <c:pt idx="1618">
                  <c:v>42731</c:v>
                </c:pt>
                <c:pt idx="1619">
                  <c:v>42732</c:v>
                </c:pt>
                <c:pt idx="1620">
                  <c:v>42733</c:v>
                </c:pt>
                <c:pt idx="1621">
                  <c:v>42734</c:v>
                </c:pt>
                <c:pt idx="1622">
                  <c:v>42738</c:v>
                </c:pt>
                <c:pt idx="1623">
                  <c:v>42739</c:v>
                </c:pt>
                <c:pt idx="1624">
                  <c:v>42740</c:v>
                </c:pt>
                <c:pt idx="1625">
                  <c:v>42741</c:v>
                </c:pt>
                <c:pt idx="1626">
                  <c:v>42744</c:v>
                </c:pt>
                <c:pt idx="1627">
                  <c:v>42745</c:v>
                </c:pt>
                <c:pt idx="1628">
                  <c:v>42746</c:v>
                </c:pt>
                <c:pt idx="1629">
                  <c:v>42747</c:v>
                </c:pt>
                <c:pt idx="1630">
                  <c:v>42748</c:v>
                </c:pt>
                <c:pt idx="1631">
                  <c:v>42752</c:v>
                </c:pt>
                <c:pt idx="1632">
                  <c:v>42753</c:v>
                </c:pt>
                <c:pt idx="1633">
                  <c:v>42754</c:v>
                </c:pt>
                <c:pt idx="1634">
                  <c:v>42755</c:v>
                </c:pt>
                <c:pt idx="1635">
                  <c:v>42758</c:v>
                </c:pt>
                <c:pt idx="1636">
                  <c:v>42759</c:v>
                </c:pt>
                <c:pt idx="1637">
                  <c:v>42760</c:v>
                </c:pt>
                <c:pt idx="1638">
                  <c:v>42761</c:v>
                </c:pt>
                <c:pt idx="1639">
                  <c:v>42762</c:v>
                </c:pt>
                <c:pt idx="1640">
                  <c:v>42765</c:v>
                </c:pt>
                <c:pt idx="1641">
                  <c:v>42766</c:v>
                </c:pt>
                <c:pt idx="1642">
                  <c:v>42767</c:v>
                </c:pt>
                <c:pt idx="1643">
                  <c:v>42768</c:v>
                </c:pt>
                <c:pt idx="1644">
                  <c:v>42769</c:v>
                </c:pt>
                <c:pt idx="1645">
                  <c:v>42772</c:v>
                </c:pt>
                <c:pt idx="1646">
                  <c:v>42773</c:v>
                </c:pt>
                <c:pt idx="1647">
                  <c:v>42774</c:v>
                </c:pt>
                <c:pt idx="1648">
                  <c:v>42775</c:v>
                </c:pt>
                <c:pt idx="1649">
                  <c:v>42776</c:v>
                </c:pt>
                <c:pt idx="1650">
                  <c:v>42779</c:v>
                </c:pt>
                <c:pt idx="1651">
                  <c:v>42780</c:v>
                </c:pt>
                <c:pt idx="1652">
                  <c:v>42781</c:v>
                </c:pt>
                <c:pt idx="1653">
                  <c:v>42782</c:v>
                </c:pt>
                <c:pt idx="1654">
                  <c:v>42783</c:v>
                </c:pt>
                <c:pt idx="1655">
                  <c:v>42787</c:v>
                </c:pt>
                <c:pt idx="1656">
                  <c:v>42788</c:v>
                </c:pt>
                <c:pt idx="1657">
                  <c:v>42789</c:v>
                </c:pt>
                <c:pt idx="1658">
                  <c:v>42790</c:v>
                </c:pt>
                <c:pt idx="1659">
                  <c:v>42793</c:v>
                </c:pt>
                <c:pt idx="1660">
                  <c:v>42794</c:v>
                </c:pt>
                <c:pt idx="1661">
                  <c:v>42795</c:v>
                </c:pt>
                <c:pt idx="1662">
                  <c:v>42796</c:v>
                </c:pt>
                <c:pt idx="1663">
                  <c:v>42797</c:v>
                </c:pt>
                <c:pt idx="1664">
                  <c:v>42800</c:v>
                </c:pt>
                <c:pt idx="1665">
                  <c:v>42801</c:v>
                </c:pt>
                <c:pt idx="1666">
                  <c:v>42802</c:v>
                </c:pt>
                <c:pt idx="1667">
                  <c:v>42803</c:v>
                </c:pt>
                <c:pt idx="1668">
                  <c:v>42804</c:v>
                </c:pt>
                <c:pt idx="1669">
                  <c:v>42807</c:v>
                </c:pt>
                <c:pt idx="1670">
                  <c:v>42808</c:v>
                </c:pt>
                <c:pt idx="1671">
                  <c:v>42809</c:v>
                </c:pt>
                <c:pt idx="1672">
                  <c:v>42810</c:v>
                </c:pt>
                <c:pt idx="1673">
                  <c:v>42811</c:v>
                </c:pt>
                <c:pt idx="1674">
                  <c:v>42814</c:v>
                </c:pt>
                <c:pt idx="1675">
                  <c:v>42815</c:v>
                </c:pt>
                <c:pt idx="1676">
                  <c:v>42816</c:v>
                </c:pt>
                <c:pt idx="1677">
                  <c:v>42817</c:v>
                </c:pt>
                <c:pt idx="1678">
                  <c:v>42818</c:v>
                </c:pt>
                <c:pt idx="1679">
                  <c:v>42821</c:v>
                </c:pt>
                <c:pt idx="1680">
                  <c:v>42822</c:v>
                </c:pt>
                <c:pt idx="1681">
                  <c:v>42823</c:v>
                </c:pt>
                <c:pt idx="1682">
                  <c:v>42824</c:v>
                </c:pt>
                <c:pt idx="1683">
                  <c:v>42825</c:v>
                </c:pt>
                <c:pt idx="1684">
                  <c:v>42828</c:v>
                </c:pt>
                <c:pt idx="1685">
                  <c:v>42829</c:v>
                </c:pt>
                <c:pt idx="1686">
                  <c:v>42830</c:v>
                </c:pt>
                <c:pt idx="1687">
                  <c:v>42831</c:v>
                </c:pt>
                <c:pt idx="1688">
                  <c:v>42832</c:v>
                </c:pt>
                <c:pt idx="1689">
                  <c:v>42835</c:v>
                </c:pt>
                <c:pt idx="1690">
                  <c:v>42836</c:v>
                </c:pt>
                <c:pt idx="1691">
                  <c:v>42837</c:v>
                </c:pt>
                <c:pt idx="1692">
                  <c:v>42838</c:v>
                </c:pt>
                <c:pt idx="1693">
                  <c:v>42842</c:v>
                </c:pt>
                <c:pt idx="1694">
                  <c:v>42843</c:v>
                </c:pt>
                <c:pt idx="1695">
                  <c:v>42844</c:v>
                </c:pt>
                <c:pt idx="1696">
                  <c:v>42845</c:v>
                </c:pt>
                <c:pt idx="1697">
                  <c:v>42846</c:v>
                </c:pt>
                <c:pt idx="1698">
                  <c:v>42849</c:v>
                </c:pt>
                <c:pt idx="1699">
                  <c:v>42850</c:v>
                </c:pt>
                <c:pt idx="1700">
                  <c:v>42851</c:v>
                </c:pt>
                <c:pt idx="1701">
                  <c:v>42852</c:v>
                </c:pt>
                <c:pt idx="1702">
                  <c:v>42853</c:v>
                </c:pt>
                <c:pt idx="1703">
                  <c:v>42856</c:v>
                </c:pt>
                <c:pt idx="1704">
                  <c:v>42857</c:v>
                </c:pt>
                <c:pt idx="1705">
                  <c:v>42858</c:v>
                </c:pt>
                <c:pt idx="1706">
                  <c:v>42859</c:v>
                </c:pt>
                <c:pt idx="1707">
                  <c:v>42860</c:v>
                </c:pt>
                <c:pt idx="1708">
                  <c:v>42863</c:v>
                </c:pt>
                <c:pt idx="1709">
                  <c:v>42864</c:v>
                </c:pt>
                <c:pt idx="1710">
                  <c:v>42865</c:v>
                </c:pt>
                <c:pt idx="1711">
                  <c:v>42866</c:v>
                </c:pt>
                <c:pt idx="1712">
                  <c:v>42867</c:v>
                </c:pt>
                <c:pt idx="1713">
                  <c:v>42870</c:v>
                </c:pt>
                <c:pt idx="1714">
                  <c:v>42871</c:v>
                </c:pt>
                <c:pt idx="1715">
                  <c:v>42872</c:v>
                </c:pt>
                <c:pt idx="1716">
                  <c:v>42873</c:v>
                </c:pt>
                <c:pt idx="1717">
                  <c:v>42874</c:v>
                </c:pt>
                <c:pt idx="1718">
                  <c:v>42877</c:v>
                </c:pt>
                <c:pt idx="1719">
                  <c:v>42878</c:v>
                </c:pt>
                <c:pt idx="1720">
                  <c:v>42879</c:v>
                </c:pt>
                <c:pt idx="1721">
                  <c:v>42880</c:v>
                </c:pt>
                <c:pt idx="1722">
                  <c:v>42881</c:v>
                </c:pt>
                <c:pt idx="1723">
                  <c:v>42885</c:v>
                </c:pt>
                <c:pt idx="1724">
                  <c:v>42886</c:v>
                </c:pt>
                <c:pt idx="1725">
                  <c:v>42887</c:v>
                </c:pt>
                <c:pt idx="1726">
                  <c:v>42888</c:v>
                </c:pt>
                <c:pt idx="1727">
                  <c:v>42891</c:v>
                </c:pt>
                <c:pt idx="1728">
                  <c:v>42892</c:v>
                </c:pt>
                <c:pt idx="1729">
                  <c:v>42893</c:v>
                </c:pt>
                <c:pt idx="1730">
                  <c:v>42894</c:v>
                </c:pt>
                <c:pt idx="1731">
                  <c:v>42895</c:v>
                </c:pt>
                <c:pt idx="1732">
                  <c:v>42898</c:v>
                </c:pt>
                <c:pt idx="1733">
                  <c:v>42899</c:v>
                </c:pt>
                <c:pt idx="1734">
                  <c:v>42900</c:v>
                </c:pt>
                <c:pt idx="1735">
                  <c:v>42901</c:v>
                </c:pt>
                <c:pt idx="1736">
                  <c:v>42902</c:v>
                </c:pt>
                <c:pt idx="1737">
                  <c:v>42905</c:v>
                </c:pt>
                <c:pt idx="1738">
                  <c:v>42906</c:v>
                </c:pt>
                <c:pt idx="1739">
                  <c:v>42907</c:v>
                </c:pt>
                <c:pt idx="1740">
                  <c:v>42908</c:v>
                </c:pt>
                <c:pt idx="1741">
                  <c:v>42909</c:v>
                </c:pt>
                <c:pt idx="1742">
                  <c:v>42912</c:v>
                </c:pt>
                <c:pt idx="1743">
                  <c:v>42913</c:v>
                </c:pt>
                <c:pt idx="1744">
                  <c:v>42914</c:v>
                </c:pt>
                <c:pt idx="1745">
                  <c:v>42915</c:v>
                </c:pt>
                <c:pt idx="1746">
                  <c:v>42916</c:v>
                </c:pt>
                <c:pt idx="1747">
                  <c:v>42919</c:v>
                </c:pt>
                <c:pt idx="1748">
                  <c:v>42921</c:v>
                </c:pt>
                <c:pt idx="1749">
                  <c:v>42922</c:v>
                </c:pt>
                <c:pt idx="1750">
                  <c:v>42923</c:v>
                </c:pt>
                <c:pt idx="1751">
                  <c:v>42926</c:v>
                </c:pt>
                <c:pt idx="1752">
                  <c:v>42927</c:v>
                </c:pt>
                <c:pt idx="1753">
                  <c:v>42928</c:v>
                </c:pt>
                <c:pt idx="1754">
                  <c:v>42929</c:v>
                </c:pt>
                <c:pt idx="1755">
                  <c:v>42930</c:v>
                </c:pt>
                <c:pt idx="1756">
                  <c:v>42933</c:v>
                </c:pt>
                <c:pt idx="1757">
                  <c:v>42934</c:v>
                </c:pt>
                <c:pt idx="1758">
                  <c:v>42935</c:v>
                </c:pt>
                <c:pt idx="1759">
                  <c:v>42936</c:v>
                </c:pt>
                <c:pt idx="1760">
                  <c:v>42937</c:v>
                </c:pt>
                <c:pt idx="1761">
                  <c:v>42940</c:v>
                </c:pt>
                <c:pt idx="1762">
                  <c:v>42941</c:v>
                </c:pt>
                <c:pt idx="1763">
                  <c:v>42942</c:v>
                </c:pt>
                <c:pt idx="1764">
                  <c:v>42943</c:v>
                </c:pt>
                <c:pt idx="1765">
                  <c:v>42944</c:v>
                </c:pt>
                <c:pt idx="1766">
                  <c:v>42947</c:v>
                </c:pt>
                <c:pt idx="1767">
                  <c:v>42948</c:v>
                </c:pt>
                <c:pt idx="1768">
                  <c:v>42949</c:v>
                </c:pt>
                <c:pt idx="1769">
                  <c:v>42950</c:v>
                </c:pt>
                <c:pt idx="1770">
                  <c:v>42951</c:v>
                </c:pt>
                <c:pt idx="1771">
                  <c:v>42954</c:v>
                </c:pt>
                <c:pt idx="1772">
                  <c:v>42955</c:v>
                </c:pt>
                <c:pt idx="1773">
                  <c:v>42956</c:v>
                </c:pt>
                <c:pt idx="1774">
                  <c:v>42957</c:v>
                </c:pt>
                <c:pt idx="1775">
                  <c:v>42958</c:v>
                </c:pt>
                <c:pt idx="1776">
                  <c:v>42961</c:v>
                </c:pt>
                <c:pt idx="1777">
                  <c:v>42962</c:v>
                </c:pt>
                <c:pt idx="1778">
                  <c:v>42963</c:v>
                </c:pt>
                <c:pt idx="1779">
                  <c:v>42964</c:v>
                </c:pt>
                <c:pt idx="1780">
                  <c:v>42965</c:v>
                </c:pt>
                <c:pt idx="1781">
                  <c:v>42968</c:v>
                </c:pt>
                <c:pt idx="1782">
                  <c:v>42969</c:v>
                </c:pt>
                <c:pt idx="1783">
                  <c:v>42970</c:v>
                </c:pt>
                <c:pt idx="1784">
                  <c:v>42971</c:v>
                </c:pt>
                <c:pt idx="1785">
                  <c:v>42972</c:v>
                </c:pt>
                <c:pt idx="1786">
                  <c:v>42975</c:v>
                </c:pt>
                <c:pt idx="1787">
                  <c:v>42976</c:v>
                </c:pt>
                <c:pt idx="1788">
                  <c:v>42977</c:v>
                </c:pt>
                <c:pt idx="1789">
                  <c:v>42978</c:v>
                </c:pt>
                <c:pt idx="1790">
                  <c:v>42979</c:v>
                </c:pt>
                <c:pt idx="1791">
                  <c:v>42983</c:v>
                </c:pt>
                <c:pt idx="1792">
                  <c:v>42984</c:v>
                </c:pt>
                <c:pt idx="1793">
                  <c:v>42985</c:v>
                </c:pt>
                <c:pt idx="1794">
                  <c:v>42986</c:v>
                </c:pt>
                <c:pt idx="1795">
                  <c:v>42989</c:v>
                </c:pt>
                <c:pt idx="1796">
                  <c:v>42990</c:v>
                </c:pt>
                <c:pt idx="1797">
                  <c:v>42991</c:v>
                </c:pt>
                <c:pt idx="1798">
                  <c:v>42992</c:v>
                </c:pt>
                <c:pt idx="1799">
                  <c:v>42993</c:v>
                </c:pt>
                <c:pt idx="1800">
                  <c:v>42996</c:v>
                </c:pt>
                <c:pt idx="1801">
                  <c:v>42997</c:v>
                </c:pt>
                <c:pt idx="1802">
                  <c:v>42998</c:v>
                </c:pt>
                <c:pt idx="1803">
                  <c:v>42999</c:v>
                </c:pt>
                <c:pt idx="1804">
                  <c:v>43000</c:v>
                </c:pt>
                <c:pt idx="1805">
                  <c:v>43003</c:v>
                </c:pt>
                <c:pt idx="1806">
                  <c:v>43004</c:v>
                </c:pt>
                <c:pt idx="1807">
                  <c:v>43005</c:v>
                </c:pt>
                <c:pt idx="1808">
                  <c:v>43006</c:v>
                </c:pt>
                <c:pt idx="1809">
                  <c:v>43007</c:v>
                </c:pt>
                <c:pt idx="1810">
                  <c:v>43010</c:v>
                </c:pt>
                <c:pt idx="1811">
                  <c:v>43011</c:v>
                </c:pt>
                <c:pt idx="1812">
                  <c:v>43012</c:v>
                </c:pt>
                <c:pt idx="1813">
                  <c:v>43013</c:v>
                </c:pt>
                <c:pt idx="1814">
                  <c:v>43014</c:v>
                </c:pt>
                <c:pt idx="1815">
                  <c:v>43017</c:v>
                </c:pt>
                <c:pt idx="1816">
                  <c:v>43018</c:v>
                </c:pt>
                <c:pt idx="1817">
                  <c:v>43019</c:v>
                </c:pt>
                <c:pt idx="1818">
                  <c:v>43020</c:v>
                </c:pt>
                <c:pt idx="1819">
                  <c:v>43021</c:v>
                </c:pt>
                <c:pt idx="1820">
                  <c:v>43024</c:v>
                </c:pt>
                <c:pt idx="1821">
                  <c:v>43025</c:v>
                </c:pt>
                <c:pt idx="1822">
                  <c:v>43026</c:v>
                </c:pt>
                <c:pt idx="1823">
                  <c:v>43027</c:v>
                </c:pt>
                <c:pt idx="1824">
                  <c:v>43028</c:v>
                </c:pt>
                <c:pt idx="1825">
                  <c:v>43031</c:v>
                </c:pt>
                <c:pt idx="1826">
                  <c:v>43032</c:v>
                </c:pt>
                <c:pt idx="1827">
                  <c:v>43033</c:v>
                </c:pt>
                <c:pt idx="1828">
                  <c:v>43034</c:v>
                </c:pt>
                <c:pt idx="1829">
                  <c:v>43035</c:v>
                </c:pt>
                <c:pt idx="1830">
                  <c:v>43038</c:v>
                </c:pt>
                <c:pt idx="1831">
                  <c:v>43039</c:v>
                </c:pt>
                <c:pt idx="1832">
                  <c:v>43040</c:v>
                </c:pt>
                <c:pt idx="1833">
                  <c:v>43041</c:v>
                </c:pt>
                <c:pt idx="1834">
                  <c:v>43042</c:v>
                </c:pt>
                <c:pt idx="1835">
                  <c:v>43045</c:v>
                </c:pt>
                <c:pt idx="1836">
                  <c:v>43046</c:v>
                </c:pt>
                <c:pt idx="1837">
                  <c:v>43047</c:v>
                </c:pt>
                <c:pt idx="1838">
                  <c:v>43048</c:v>
                </c:pt>
                <c:pt idx="1839">
                  <c:v>43049</c:v>
                </c:pt>
                <c:pt idx="1840">
                  <c:v>43052</c:v>
                </c:pt>
                <c:pt idx="1841">
                  <c:v>43053</c:v>
                </c:pt>
                <c:pt idx="1842">
                  <c:v>43054</c:v>
                </c:pt>
                <c:pt idx="1843">
                  <c:v>43055</c:v>
                </c:pt>
                <c:pt idx="1844">
                  <c:v>43056</c:v>
                </c:pt>
                <c:pt idx="1845">
                  <c:v>43059</c:v>
                </c:pt>
                <c:pt idx="1846">
                  <c:v>43060</c:v>
                </c:pt>
                <c:pt idx="1847">
                  <c:v>43061</c:v>
                </c:pt>
                <c:pt idx="1848">
                  <c:v>43063</c:v>
                </c:pt>
                <c:pt idx="1849">
                  <c:v>43066</c:v>
                </c:pt>
                <c:pt idx="1850">
                  <c:v>43067</c:v>
                </c:pt>
                <c:pt idx="1851">
                  <c:v>43068</c:v>
                </c:pt>
                <c:pt idx="1852">
                  <c:v>43069</c:v>
                </c:pt>
                <c:pt idx="1853">
                  <c:v>43070</c:v>
                </c:pt>
                <c:pt idx="1854">
                  <c:v>43073</c:v>
                </c:pt>
                <c:pt idx="1855">
                  <c:v>43074</c:v>
                </c:pt>
                <c:pt idx="1856">
                  <c:v>43075</c:v>
                </c:pt>
                <c:pt idx="1857">
                  <c:v>43076</c:v>
                </c:pt>
                <c:pt idx="1858">
                  <c:v>43077</c:v>
                </c:pt>
                <c:pt idx="1859">
                  <c:v>43080</c:v>
                </c:pt>
                <c:pt idx="1860">
                  <c:v>43081</c:v>
                </c:pt>
                <c:pt idx="1861">
                  <c:v>43082</c:v>
                </c:pt>
                <c:pt idx="1862">
                  <c:v>43083</c:v>
                </c:pt>
                <c:pt idx="1863">
                  <c:v>43084</c:v>
                </c:pt>
                <c:pt idx="1864">
                  <c:v>43087</c:v>
                </c:pt>
                <c:pt idx="1865">
                  <c:v>43088</c:v>
                </c:pt>
                <c:pt idx="1866">
                  <c:v>43089</c:v>
                </c:pt>
                <c:pt idx="1867">
                  <c:v>43090</c:v>
                </c:pt>
                <c:pt idx="1868">
                  <c:v>43091</c:v>
                </c:pt>
                <c:pt idx="1869">
                  <c:v>43095</c:v>
                </c:pt>
                <c:pt idx="1870">
                  <c:v>43096</c:v>
                </c:pt>
                <c:pt idx="1871">
                  <c:v>43097</c:v>
                </c:pt>
                <c:pt idx="1872">
                  <c:v>43098</c:v>
                </c:pt>
                <c:pt idx="1873">
                  <c:v>43102</c:v>
                </c:pt>
                <c:pt idx="1874">
                  <c:v>43103</c:v>
                </c:pt>
                <c:pt idx="1875">
                  <c:v>43104</c:v>
                </c:pt>
                <c:pt idx="1876">
                  <c:v>43105</c:v>
                </c:pt>
                <c:pt idx="1877">
                  <c:v>43108</c:v>
                </c:pt>
                <c:pt idx="1878">
                  <c:v>43109</c:v>
                </c:pt>
                <c:pt idx="1879">
                  <c:v>43110</c:v>
                </c:pt>
                <c:pt idx="1880">
                  <c:v>43111</c:v>
                </c:pt>
                <c:pt idx="1881">
                  <c:v>43112</c:v>
                </c:pt>
                <c:pt idx="1882">
                  <c:v>43116</c:v>
                </c:pt>
                <c:pt idx="1883">
                  <c:v>43117</c:v>
                </c:pt>
                <c:pt idx="1884">
                  <c:v>43118</c:v>
                </c:pt>
                <c:pt idx="1885">
                  <c:v>43119</c:v>
                </c:pt>
                <c:pt idx="1886">
                  <c:v>43122</c:v>
                </c:pt>
                <c:pt idx="1887">
                  <c:v>43123</c:v>
                </c:pt>
                <c:pt idx="1888">
                  <c:v>43124</c:v>
                </c:pt>
                <c:pt idx="1889">
                  <c:v>43125</c:v>
                </c:pt>
                <c:pt idx="1890">
                  <c:v>43126</c:v>
                </c:pt>
                <c:pt idx="1891">
                  <c:v>43129</c:v>
                </c:pt>
                <c:pt idx="1892">
                  <c:v>43130</c:v>
                </c:pt>
                <c:pt idx="1893">
                  <c:v>43131</c:v>
                </c:pt>
                <c:pt idx="1894">
                  <c:v>43132</c:v>
                </c:pt>
                <c:pt idx="1895">
                  <c:v>43133</c:v>
                </c:pt>
                <c:pt idx="1896">
                  <c:v>43136</c:v>
                </c:pt>
                <c:pt idx="1897">
                  <c:v>43137</c:v>
                </c:pt>
                <c:pt idx="1898">
                  <c:v>43138</c:v>
                </c:pt>
                <c:pt idx="1899">
                  <c:v>43139</c:v>
                </c:pt>
                <c:pt idx="1900">
                  <c:v>43140</c:v>
                </c:pt>
                <c:pt idx="1901">
                  <c:v>43143</c:v>
                </c:pt>
                <c:pt idx="1902">
                  <c:v>43144</c:v>
                </c:pt>
                <c:pt idx="1903">
                  <c:v>43145</c:v>
                </c:pt>
                <c:pt idx="1904">
                  <c:v>43146</c:v>
                </c:pt>
                <c:pt idx="1905">
                  <c:v>43147</c:v>
                </c:pt>
                <c:pt idx="1906">
                  <c:v>43151</c:v>
                </c:pt>
                <c:pt idx="1907">
                  <c:v>43152</c:v>
                </c:pt>
                <c:pt idx="1908">
                  <c:v>43153</c:v>
                </c:pt>
                <c:pt idx="1909">
                  <c:v>43154</c:v>
                </c:pt>
                <c:pt idx="1910">
                  <c:v>43157</c:v>
                </c:pt>
                <c:pt idx="1911">
                  <c:v>43158</c:v>
                </c:pt>
                <c:pt idx="1912">
                  <c:v>43159</c:v>
                </c:pt>
                <c:pt idx="1913">
                  <c:v>43160</c:v>
                </c:pt>
                <c:pt idx="1914">
                  <c:v>43161</c:v>
                </c:pt>
                <c:pt idx="1915">
                  <c:v>43164</c:v>
                </c:pt>
                <c:pt idx="1916">
                  <c:v>43165</c:v>
                </c:pt>
                <c:pt idx="1917">
                  <c:v>43166</c:v>
                </c:pt>
                <c:pt idx="1918">
                  <c:v>43167</c:v>
                </c:pt>
                <c:pt idx="1919">
                  <c:v>43168</c:v>
                </c:pt>
                <c:pt idx="1920">
                  <c:v>43171</c:v>
                </c:pt>
                <c:pt idx="1921">
                  <c:v>43172</c:v>
                </c:pt>
                <c:pt idx="1922">
                  <c:v>43173</c:v>
                </c:pt>
                <c:pt idx="1923">
                  <c:v>43174</c:v>
                </c:pt>
                <c:pt idx="1924">
                  <c:v>43175</c:v>
                </c:pt>
                <c:pt idx="1925">
                  <c:v>43178</c:v>
                </c:pt>
                <c:pt idx="1926">
                  <c:v>43179</c:v>
                </c:pt>
                <c:pt idx="1927">
                  <c:v>43180</c:v>
                </c:pt>
                <c:pt idx="1928">
                  <c:v>43181</c:v>
                </c:pt>
                <c:pt idx="1929">
                  <c:v>43182</c:v>
                </c:pt>
                <c:pt idx="1930">
                  <c:v>43185</c:v>
                </c:pt>
                <c:pt idx="1931">
                  <c:v>43186</c:v>
                </c:pt>
                <c:pt idx="1932">
                  <c:v>43187</c:v>
                </c:pt>
                <c:pt idx="1933">
                  <c:v>43188</c:v>
                </c:pt>
                <c:pt idx="1934">
                  <c:v>43192</c:v>
                </c:pt>
                <c:pt idx="1935">
                  <c:v>43193</c:v>
                </c:pt>
                <c:pt idx="1936">
                  <c:v>43194</c:v>
                </c:pt>
                <c:pt idx="1937">
                  <c:v>43195</c:v>
                </c:pt>
                <c:pt idx="1938">
                  <c:v>43196</c:v>
                </c:pt>
                <c:pt idx="1939">
                  <c:v>43199</c:v>
                </c:pt>
                <c:pt idx="1940">
                  <c:v>43200</c:v>
                </c:pt>
                <c:pt idx="1941">
                  <c:v>43201</c:v>
                </c:pt>
                <c:pt idx="1942">
                  <c:v>43202</c:v>
                </c:pt>
                <c:pt idx="1943">
                  <c:v>43203</c:v>
                </c:pt>
                <c:pt idx="1944">
                  <c:v>43206</c:v>
                </c:pt>
                <c:pt idx="1945">
                  <c:v>43207</c:v>
                </c:pt>
                <c:pt idx="1946">
                  <c:v>43208</c:v>
                </c:pt>
                <c:pt idx="1947">
                  <c:v>43209</c:v>
                </c:pt>
                <c:pt idx="1948">
                  <c:v>43210</c:v>
                </c:pt>
                <c:pt idx="1949">
                  <c:v>43213</c:v>
                </c:pt>
                <c:pt idx="1950">
                  <c:v>43214</c:v>
                </c:pt>
                <c:pt idx="1951">
                  <c:v>43215</c:v>
                </c:pt>
                <c:pt idx="1952">
                  <c:v>43216</c:v>
                </c:pt>
                <c:pt idx="1953">
                  <c:v>43217</c:v>
                </c:pt>
                <c:pt idx="1954">
                  <c:v>43220</c:v>
                </c:pt>
                <c:pt idx="1955">
                  <c:v>43221</c:v>
                </c:pt>
                <c:pt idx="1956">
                  <c:v>43222</c:v>
                </c:pt>
                <c:pt idx="1957">
                  <c:v>43223</c:v>
                </c:pt>
                <c:pt idx="1958">
                  <c:v>43224</c:v>
                </c:pt>
                <c:pt idx="1959">
                  <c:v>43227</c:v>
                </c:pt>
                <c:pt idx="1960">
                  <c:v>43228</c:v>
                </c:pt>
                <c:pt idx="1961">
                  <c:v>43229</c:v>
                </c:pt>
                <c:pt idx="1962">
                  <c:v>43230</c:v>
                </c:pt>
                <c:pt idx="1963">
                  <c:v>43231</c:v>
                </c:pt>
                <c:pt idx="1964">
                  <c:v>43234</c:v>
                </c:pt>
                <c:pt idx="1965">
                  <c:v>43235</c:v>
                </c:pt>
                <c:pt idx="1966">
                  <c:v>43236</c:v>
                </c:pt>
                <c:pt idx="1967">
                  <c:v>43237</c:v>
                </c:pt>
                <c:pt idx="1968">
                  <c:v>43238</c:v>
                </c:pt>
                <c:pt idx="1969">
                  <c:v>43241</c:v>
                </c:pt>
                <c:pt idx="1970">
                  <c:v>43242</c:v>
                </c:pt>
                <c:pt idx="1971">
                  <c:v>43243</c:v>
                </c:pt>
                <c:pt idx="1972">
                  <c:v>43244</c:v>
                </c:pt>
                <c:pt idx="1973">
                  <c:v>43245</c:v>
                </c:pt>
                <c:pt idx="1974">
                  <c:v>43249</c:v>
                </c:pt>
                <c:pt idx="1975">
                  <c:v>43250</c:v>
                </c:pt>
                <c:pt idx="1976">
                  <c:v>43251</c:v>
                </c:pt>
                <c:pt idx="1977">
                  <c:v>43252</c:v>
                </c:pt>
                <c:pt idx="1978">
                  <c:v>43255</c:v>
                </c:pt>
                <c:pt idx="1979">
                  <c:v>43256</c:v>
                </c:pt>
                <c:pt idx="1980">
                  <c:v>43257</c:v>
                </c:pt>
                <c:pt idx="1981">
                  <c:v>43258</c:v>
                </c:pt>
                <c:pt idx="1982">
                  <c:v>43259</c:v>
                </c:pt>
                <c:pt idx="1983">
                  <c:v>43262</c:v>
                </c:pt>
                <c:pt idx="1984">
                  <c:v>43263</c:v>
                </c:pt>
                <c:pt idx="1985">
                  <c:v>43264</c:v>
                </c:pt>
                <c:pt idx="1986">
                  <c:v>43265</c:v>
                </c:pt>
                <c:pt idx="1987">
                  <c:v>43266</c:v>
                </c:pt>
                <c:pt idx="1988">
                  <c:v>43269</c:v>
                </c:pt>
                <c:pt idx="1989">
                  <c:v>43270</c:v>
                </c:pt>
                <c:pt idx="1990">
                  <c:v>43271</c:v>
                </c:pt>
                <c:pt idx="1991">
                  <c:v>43272</c:v>
                </c:pt>
                <c:pt idx="1992">
                  <c:v>43273</c:v>
                </c:pt>
                <c:pt idx="1993">
                  <c:v>43276</c:v>
                </c:pt>
                <c:pt idx="1994">
                  <c:v>43277</c:v>
                </c:pt>
                <c:pt idx="1995">
                  <c:v>43278</c:v>
                </c:pt>
                <c:pt idx="1996">
                  <c:v>43279</c:v>
                </c:pt>
                <c:pt idx="1997">
                  <c:v>43280</c:v>
                </c:pt>
                <c:pt idx="1998">
                  <c:v>43283</c:v>
                </c:pt>
                <c:pt idx="1999">
                  <c:v>43284</c:v>
                </c:pt>
                <c:pt idx="2000">
                  <c:v>43286</c:v>
                </c:pt>
                <c:pt idx="2001">
                  <c:v>43287</c:v>
                </c:pt>
                <c:pt idx="2002">
                  <c:v>43290</c:v>
                </c:pt>
                <c:pt idx="2003">
                  <c:v>43291</c:v>
                </c:pt>
                <c:pt idx="2004">
                  <c:v>43292</c:v>
                </c:pt>
                <c:pt idx="2005">
                  <c:v>43293</c:v>
                </c:pt>
                <c:pt idx="2006">
                  <c:v>43294</c:v>
                </c:pt>
                <c:pt idx="2007">
                  <c:v>43297</c:v>
                </c:pt>
                <c:pt idx="2008">
                  <c:v>43298</c:v>
                </c:pt>
                <c:pt idx="2009">
                  <c:v>43299</c:v>
                </c:pt>
                <c:pt idx="2010">
                  <c:v>43300</c:v>
                </c:pt>
                <c:pt idx="2011">
                  <c:v>43301</c:v>
                </c:pt>
                <c:pt idx="2012">
                  <c:v>43304</c:v>
                </c:pt>
                <c:pt idx="2013">
                  <c:v>43305</c:v>
                </c:pt>
                <c:pt idx="2014">
                  <c:v>43306</c:v>
                </c:pt>
                <c:pt idx="2015">
                  <c:v>43307</c:v>
                </c:pt>
                <c:pt idx="2016">
                  <c:v>43308</c:v>
                </c:pt>
                <c:pt idx="2017">
                  <c:v>43311</c:v>
                </c:pt>
                <c:pt idx="2018">
                  <c:v>43312</c:v>
                </c:pt>
                <c:pt idx="2019">
                  <c:v>43313</c:v>
                </c:pt>
                <c:pt idx="2020">
                  <c:v>43314</c:v>
                </c:pt>
                <c:pt idx="2021">
                  <c:v>43315</c:v>
                </c:pt>
                <c:pt idx="2022">
                  <c:v>43318</c:v>
                </c:pt>
                <c:pt idx="2023">
                  <c:v>43319</c:v>
                </c:pt>
                <c:pt idx="2024">
                  <c:v>43320</c:v>
                </c:pt>
                <c:pt idx="2025">
                  <c:v>43321</c:v>
                </c:pt>
                <c:pt idx="2026">
                  <c:v>43322</c:v>
                </c:pt>
                <c:pt idx="2027">
                  <c:v>43325</c:v>
                </c:pt>
                <c:pt idx="2028">
                  <c:v>43326</c:v>
                </c:pt>
                <c:pt idx="2029">
                  <c:v>43327</c:v>
                </c:pt>
                <c:pt idx="2030">
                  <c:v>43328</c:v>
                </c:pt>
                <c:pt idx="2031">
                  <c:v>43329</c:v>
                </c:pt>
                <c:pt idx="2032">
                  <c:v>43332</c:v>
                </c:pt>
                <c:pt idx="2033">
                  <c:v>43333</c:v>
                </c:pt>
                <c:pt idx="2034">
                  <c:v>43334</c:v>
                </c:pt>
                <c:pt idx="2035">
                  <c:v>43335</c:v>
                </c:pt>
                <c:pt idx="2036">
                  <c:v>43336</c:v>
                </c:pt>
                <c:pt idx="2037">
                  <c:v>43339</c:v>
                </c:pt>
                <c:pt idx="2038">
                  <c:v>43340</c:v>
                </c:pt>
                <c:pt idx="2039">
                  <c:v>43341</c:v>
                </c:pt>
                <c:pt idx="2040">
                  <c:v>43342</c:v>
                </c:pt>
                <c:pt idx="2041">
                  <c:v>43343</c:v>
                </c:pt>
                <c:pt idx="2042">
                  <c:v>43347</c:v>
                </c:pt>
                <c:pt idx="2043">
                  <c:v>43348</c:v>
                </c:pt>
                <c:pt idx="2044">
                  <c:v>43349</c:v>
                </c:pt>
                <c:pt idx="2045">
                  <c:v>43350</c:v>
                </c:pt>
                <c:pt idx="2046">
                  <c:v>43353</c:v>
                </c:pt>
                <c:pt idx="2047">
                  <c:v>43354</c:v>
                </c:pt>
                <c:pt idx="2048">
                  <c:v>43355</c:v>
                </c:pt>
                <c:pt idx="2049">
                  <c:v>43356</c:v>
                </c:pt>
                <c:pt idx="2050">
                  <c:v>43357</c:v>
                </c:pt>
                <c:pt idx="2051">
                  <c:v>43360</c:v>
                </c:pt>
                <c:pt idx="2052">
                  <c:v>43361</c:v>
                </c:pt>
                <c:pt idx="2053">
                  <c:v>43362</c:v>
                </c:pt>
                <c:pt idx="2054">
                  <c:v>43363</c:v>
                </c:pt>
                <c:pt idx="2055">
                  <c:v>43364</c:v>
                </c:pt>
                <c:pt idx="2056">
                  <c:v>43367</c:v>
                </c:pt>
                <c:pt idx="2057">
                  <c:v>43368</c:v>
                </c:pt>
                <c:pt idx="2058">
                  <c:v>43369</c:v>
                </c:pt>
                <c:pt idx="2059">
                  <c:v>43370</c:v>
                </c:pt>
                <c:pt idx="2060">
                  <c:v>43371</c:v>
                </c:pt>
                <c:pt idx="2061">
                  <c:v>43374</c:v>
                </c:pt>
                <c:pt idx="2062">
                  <c:v>43375</c:v>
                </c:pt>
                <c:pt idx="2063">
                  <c:v>43376</c:v>
                </c:pt>
                <c:pt idx="2064">
                  <c:v>43377</c:v>
                </c:pt>
                <c:pt idx="2065">
                  <c:v>43378</c:v>
                </c:pt>
                <c:pt idx="2066">
                  <c:v>43381</c:v>
                </c:pt>
                <c:pt idx="2067">
                  <c:v>43382</c:v>
                </c:pt>
                <c:pt idx="2068">
                  <c:v>43383</c:v>
                </c:pt>
                <c:pt idx="2069">
                  <c:v>43384</c:v>
                </c:pt>
                <c:pt idx="2070">
                  <c:v>43385</c:v>
                </c:pt>
                <c:pt idx="2071">
                  <c:v>43388</c:v>
                </c:pt>
                <c:pt idx="2072">
                  <c:v>43389</c:v>
                </c:pt>
                <c:pt idx="2073">
                  <c:v>43390</c:v>
                </c:pt>
                <c:pt idx="2074">
                  <c:v>43391</c:v>
                </c:pt>
                <c:pt idx="2075">
                  <c:v>43392</c:v>
                </c:pt>
                <c:pt idx="2076">
                  <c:v>43395</c:v>
                </c:pt>
                <c:pt idx="2077">
                  <c:v>43396</c:v>
                </c:pt>
                <c:pt idx="2078">
                  <c:v>43397</c:v>
                </c:pt>
                <c:pt idx="2079">
                  <c:v>43398</c:v>
                </c:pt>
                <c:pt idx="2080">
                  <c:v>43399</c:v>
                </c:pt>
                <c:pt idx="2081">
                  <c:v>43402</c:v>
                </c:pt>
                <c:pt idx="2082">
                  <c:v>43403</c:v>
                </c:pt>
                <c:pt idx="2083">
                  <c:v>43404</c:v>
                </c:pt>
                <c:pt idx="2084">
                  <c:v>43405</c:v>
                </c:pt>
                <c:pt idx="2085">
                  <c:v>43406</c:v>
                </c:pt>
                <c:pt idx="2086">
                  <c:v>43409</c:v>
                </c:pt>
                <c:pt idx="2087">
                  <c:v>43410</c:v>
                </c:pt>
                <c:pt idx="2088">
                  <c:v>43411</c:v>
                </c:pt>
                <c:pt idx="2089">
                  <c:v>43412</c:v>
                </c:pt>
                <c:pt idx="2090">
                  <c:v>43413</c:v>
                </c:pt>
                <c:pt idx="2091">
                  <c:v>43416</c:v>
                </c:pt>
                <c:pt idx="2092">
                  <c:v>43417</c:v>
                </c:pt>
                <c:pt idx="2093">
                  <c:v>43418</c:v>
                </c:pt>
                <c:pt idx="2094">
                  <c:v>43419</c:v>
                </c:pt>
                <c:pt idx="2095">
                  <c:v>43420</c:v>
                </c:pt>
                <c:pt idx="2096">
                  <c:v>43423</c:v>
                </c:pt>
                <c:pt idx="2097">
                  <c:v>43424</c:v>
                </c:pt>
                <c:pt idx="2098">
                  <c:v>43425</c:v>
                </c:pt>
                <c:pt idx="2099">
                  <c:v>43427</c:v>
                </c:pt>
                <c:pt idx="2100">
                  <c:v>43430</c:v>
                </c:pt>
                <c:pt idx="2101">
                  <c:v>43431</c:v>
                </c:pt>
                <c:pt idx="2102">
                  <c:v>43432</c:v>
                </c:pt>
                <c:pt idx="2103">
                  <c:v>43433</c:v>
                </c:pt>
                <c:pt idx="2104">
                  <c:v>43434</c:v>
                </c:pt>
                <c:pt idx="2105">
                  <c:v>43437</c:v>
                </c:pt>
                <c:pt idx="2106">
                  <c:v>43438</c:v>
                </c:pt>
                <c:pt idx="2107">
                  <c:v>43440</c:v>
                </c:pt>
                <c:pt idx="2108">
                  <c:v>43441</c:v>
                </c:pt>
                <c:pt idx="2109">
                  <c:v>43444</c:v>
                </c:pt>
                <c:pt idx="2110">
                  <c:v>43445</c:v>
                </c:pt>
                <c:pt idx="2111">
                  <c:v>43446</c:v>
                </c:pt>
                <c:pt idx="2112">
                  <c:v>43447</c:v>
                </c:pt>
                <c:pt idx="2113">
                  <c:v>43448</c:v>
                </c:pt>
                <c:pt idx="2114">
                  <c:v>43451</c:v>
                </c:pt>
                <c:pt idx="2115">
                  <c:v>43452</c:v>
                </c:pt>
                <c:pt idx="2116">
                  <c:v>43453</c:v>
                </c:pt>
                <c:pt idx="2117">
                  <c:v>43454</c:v>
                </c:pt>
                <c:pt idx="2118">
                  <c:v>43455</c:v>
                </c:pt>
                <c:pt idx="2119">
                  <c:v>43458</c:v>
                </c:pt>
                <c:pt idx="2120">
                  <c:v>43460</c:v>
                </c:pt>
                <c:pt idx="2121">
                  <c:v>43461</c:v>
                </c:pt>
                <c:pt idx="2122">
                  <c:v>43462</c:v>
                </c:pt>
                <c:pt idx="2123">
                  <c:v>43465</c:v>
                </c:pt>
                <c:pt idx="2124">
                  <c:v>43467</c:v>
                </c:pt>
                <c:pt idx="2125">
                  <c:v>43468</c:v>
                </c:pt>
                <c:pt idx="2126">
                  <c:v>43469</c:v>
                </c:pt>
                <c:pt idx="2127">
                  <c:v>43472</c:v>
                </c:pt>
                <c:pt idx="2128">
                  <c:v>43473</c:v>
                </c:pt>
                <c:pt idx="2129">
                  <c:v>43474</c:v>
                </c:pt>
                <c:pt idx="2130">
                  <c:v>43475</c:v>
                </c:pt>
                <c:pt idx="2131">
                  <c:v>43476</c:v>
                </c:pt>
                <c:pt idx="2132">
                  <c:v>43479</c:v>
                </c:pt>
                <c:pt idx="2133">
                  <c:v>43480</c:v>
                </c:pt>
                <c:pt idx="2134">
                  <c:v>43481</c:v>
                </c:pt>
                <c:pt idx="2135">
                  <c:v>43482</c:v>
                </c:pt>
                <c:pt idx="2136">
                  <c:v>43483</c:v>
                </c:pt>
                <c:pt idx="2137">
                  <c:v>43487</c:v>
                </c:pt>
                <c:pt idx="2138">
                  <c:v>43488</c:v>
                </c:pt>
                <c:pt idx="2139">
                  <c:v>43489</c:v>
                </c:pt>
              </c:numCache>
            </c:numRef>
          </c:xVal>
          <c:yVal>
            <c:numRef>
              <c:f>'Perf Historique'!$I$33:$I$2172</c:f>
              <c:numCache>
                <c:formatCode>General</c:formatCode>
                <c:ptCount val="2140"/>
                <c:pt idx="0">
                  <c:v>100</c:v>
                </c:pt>
                <c:pt idx="1">
                  <c:v>99.989157346538036</c:v>
                </c:pt>
                <c:pt idx="2">
                  <c:v>99.989157346538036</c:v>
                </c:pt>
                <c:pt idx="3">
                  <c:v>99.986821838096873</c:v>
                </c:pt>
                <c:pt idx="4">
                  <c:v>99.99567393332768</c:v>
                </c:pt>
                <c:pt idx="5">
                  <c:v>100.01390855334388</c:v>
                </c:pt>
                <c:pt idx="6">
                  <c:v>100.03283777160594</c:v>
                </c:pt>
                <c:pt idx="7">
                  <c:v>100.07195485185765</c:v>
                </c:pt>
                <c:pt idx="8">
                  <c:v>100.07376985058281</c:v>
                </c:pt>
                <c:pt idx="9">
                  <c:v>100.07730673316708</c:v>
                </c:pt>
                <c:pt idx="10">
                  <c:v>100.08095940386556</c:v>
                </c:pt>
                <c:pt idx="11">
                  <c:v>100.08923076923077</c:v>
                </c:pt>
                <c:pt idx="12">
                  <c:v>100.05949638573358</c:v>
                </c:pt>
                <c:pt idx="13">
                  <c:v>100.06447534766119</c:v>
                </c:pt>
                <c:pt idx="14">
                  <c:v>100.05044510385757</c:v>
                </c:pt>
                <c:pt idx="15">
                  <c:v>100.06083921630839</c:v>
                </c:pt>
                <c:pt idx="16">
                  <c:v>100.0811733664442</c:v>
                </c:pt>
                <c:pt idx="17">
                  <c:v>100.08677207867335</c:v>
                </c:pt>
                <c:pt idx="18">
                  <c:v>100.07188210394294</c:v>
                </c:pt>
                <c:pt idx="19">
                  <c:v>100.07326236693801</c:v>
                </c:pt>
                <c:pt idx="20">
                  <c:v>100.06477093206951</c:v>
                </c:pt>
                <c:pt idx="21">
                  <c:v>100.04922508632458</c:v>
                </c:pt>
                <c:pt idx="22">
                  <c:v>100.06661411115491</c:v>
                </c:pt>
                <c:pt idx="23">
                  <c:v>100.05173794650008</c:v>
                </c:pt>
                <c:pt idx="24">
                  <c:v>100.06506632975363</c:v>
                </c:pt>
                <c:pt idx="25">
                  <c:v>100.04354148154133</c:v>
                </c:pt>
                <c:pt idx="26">
                  <c:v>100.051510053673</c:v>
                </c:pt>
                <c:pt idx="27">
                  <c:v>100.10634764887917</c:v>
                </c:pt>
                <c:pt idx="28">
                  <c:v>100.12432512388136</c:v>
                </c:pt>
                <c:pt idx="29">
                  <c:v>100.14691260177246</c:v>
                </c:pt>
                <c:pt idx="30">
                  <c:v>100.13715201865617</c:v>
                </c:pt>
                <c:pt idx="31">
                  <c:v>100.14905850222797</c:v>
                </c:pt>
                <c:pt idx="32">
                  <c:v>100.15657501068529</c:v>
                </c:pt>
                <c:pt idx="33">
                  <c:v>100.16877281662454</c:v>
                </c:pt>
                <c:pt idx="34">
                  <c:v>100.18384228303577</c:v>
                </c:pt>
                <c:pt idx="35">
                  <c:v>100.18765008576329</c:v>
                </c:pt>
                <c:pt idx="36">
                  <c:v>100.18597456170505</c:v>
                </c:pt>
                <c:pt idx="37">
                  <c:v>100.20070208600553</c:v>
                </c:pt>
                <c:pt idx="38">
                  <c:v>100.20175290746671</c:v>
                </c:pt>
                <c:pt idx="39">
                  <c:v>100.21747463732197</c:v>
                </c:pt>
                <c:pt idx="40">
                  <c:v>100.21448948450872</c:v>
                </c:pt>
                <c:pt idx="41">
                  <c:v>100.22018046499375</c:v>
                </c:pt>
                <c:pt idx="42">
                  <c:v>100.22538436375531</c:v>
                </c:pt>
                <c:pt idx="43">
                  <c:v>100.26336091582156</c:v>
                </c:pt>
                <c:pt idx="44">
                  <c:v>100.25707473175629</c:v>
                </c:pt>
                <c:pt idx="45">
                  <c:v>100.25860989355041</c:v>
                </c:pt>
                <c:pt idx="46">
                  <c:v>100.25529907541355</c:v>
                </c:pt>
                <c:pt idx="47">
                  <c:v>100.24614796892907</c:v>
                </c:pt>
                <c:pt idx="48">
                  <c:v>100.22971830069612</c:v>
                </c:pt>
                <c:pt idx="49">
                  <c:v>100.23804620631958</c:v>
                </c:pt>
                <c:pt idx="50">
                  <c:v>100.26400198918381</c:v>
                </c:pt>
                <c:pt idx="51">
                  <c:v>100.23809523809524</c:v>
                </c:pt>
                <c:pt idx="52">
                  <c:v>100.24233698086645</c:v>
                </c:pt>
                <c:pt idx="53">
                  <c:v>100.23882995821279</c:v>
                </c:pt>
                <c:pt idx="54">
                  <c:v>100.22629549761484</c:v>
                </c:pt>
                <c:pt idx="55">
                  <c:v>100.24335378323109</c:v>
                </c:pt>
                <c:pt idx="56">
                  <c:v>100.23696590835857</c:v>
                </c:pt>
                <c:pt idx="57">
                  <c:v>100.23873207741272</c:v>
                </c:pt>
                <c:pt idx="58">
                  <c:v>100.28085519922254</c:v>
                </c:pt>
                <c:pt idx="59">
                  <c:v>100.27610662753729</c:v>
                </c:pt>
                <c:pt idx="60">
                  <c:v>100.25379718913469</c:v>
                </c:pt>
                <c:pt idx="61">
                  <c:v>100.25379718913469</c:v>
                </c:pt>
                <c:pt idx="62">
                  <c:v>100.28229375037886</c:v>
                </c:pt>
                <c:pt idx="63">
                  <c:v>100.2999467864956</c:v>
                </c:pt>
                <c:pt idx="64">
                  <c:v>100.29940828402367</c:v>
                </c:pt>
                <c:pt idx="65">
                  <c:v>100.303324507208</c:v>
                </c:pt>
                <c:pt idx="66">
                  <c:v>100.29317652677452</c:v>
                </c:pt>
                <c:pt idx="67">
                  <c:v>100.29033804842963</c:v>
                </c:pt>
                <c:pt idx="68">
                  <c:v>100.28342310718392</c:v>
                </c:pt>
                <c:pt idx="69">
                  <c:v>100.27174314183786</c:v>
                </c:pt>
                <c:pt idx="70">
                  <c:v>100.28072413583622</c:v>
                </c:pt>
                <c:pt idx="71">
                  <c:v>100.29720425001484</c:v>
                </c:pt>
                <c:pt idx="72">
                  <c:v>100.29911797786065</c:v>
                </c:pt>
                <c:pt idx="73">
                  <c:v>100.30666978977573</c:v>
                </c:pt>
                <c:pt idx="74">
                  <c:v>100.31158788301646</c:v>
                </c:pt>
                <c:pt idx="75">
                  <c:v>100.30463381687908</c:v>
                </c:pt>
                <c:pt idx="76">
                  <c:v>100.31690994057578</c:v>
                </c:pt>
                <c:pt idx="77">
                  <c:v>100.30504196748254</c:v>
                </c:pt>
                <c:pt idx="78">
                  <c:v>100.28536938676967</c:v>
                </c:pt>
                <c:pt idx="79">
                  <c:v>100.25487728130899</c:v>
                </c:pt>
                <c:pt idx="80">
                  <c:v>100.24958803397135</c:v>
                </c:pt>
                <c:pt idx="81">
                  <c:v>100.25228923271234</c:v>
                </c:pt>
                <c:pt idx="82">
                  <c:v>100.27879636961686</c:v>
                </c:pt>
                <c:pt idx="83">
                  <c:v>100.2816405775998</c:v>
                </c:pt>
                <c:pt idx="84">
                  <c:v>100.30512354011385</c:v>
                </c:pt>
                <c:pt idx="85">
                  <c:v>100.29607609988109</c:v>
                </c:pt>
                <c:pt idx="86">
                  <c:v>100.33201692524683</c:v>
                </c:pt>
                <c:pt idx="87">
                  <c:v>100.33295774647887</c:v>
                </c:pt>
                <c:pt idx="88">
                  <c:v>100.34035322302078</c:v>
                </c:pt>
                <c:pt idx="89">
                  <c:v>100.32497149372863</c:v>
                </c:pt>
                <c:pt idx="90">
                  <c:v>100.32936845086378</c:v>
                </c:pt>
                <c:pt idx="91">
                  <c:v>100.32929247153459</c:v>
                </c:pt>
                <c:pt idx="92">
                  <c:v>100.32604735883424</c:v>
                </c:pt>
                <c:pt idx="93">
                  <c:v>100.33501825329964</c:v>
                </c:pt>
                <c:pt idx="94">
                  <c:v>100.3302030887594</c:v>
                </c:pt>
                <c:pt idx="95">
                  <c:v>100.32837937489364</c:v>
                </c:pt>
                <c:pt idx="96">
                  <c:v>100.32284815556191</c:v>
                </c:pt>
                <c:pt idx="97">
                  <c:v>100.32581710511332</c:v>
                </c:pt>
                <c:pt idx="98">
                  <c:v>100.32051649928265</c:v>
                </c:pt>
                <c:pt idx="99">
                  <c:v>100.31930550764632</c:v>
                </c:pt>
                <c:pt idx="100">
                  <c:v>100.32562510679502</c:v>
                </c:pt>
                <c:pt idx="101">
                  <c:v>100.33498090316783</c:v>
                </c:pt>
                <c:pt idx="102">
                  <c:v>100.33325824980291</c:v>
                </c:pt>
                <c:pt idx="103">
                  <c:v>100.35402913415898</c:v>
                </c:pt>
                <c:pt idx="104">
                  <c:v>100.35913396481732</c:v>
                </c:pt>
                <c:pt idx="105">
                  <c:v>100.35916865122321</c:v>
                </c:pt>
                <c:pt idx="106">
                  <c:v>100.3515526589627</c:v>
                </c:pt>
                <c:pt idx="107">
                  <c:v>100.3499505874602</c:v>
                </c:pt>
                <c:pt idx="108">
                  <c:v>100.34618145673421</c:v>
                </c:pt>
                <c:pt idx="109">
                  <c:v>100.35431095599063</c:v>
                </c:pt>
                <c:pt idx="110">
                  <c:v>100.35212038303693</c:v>
                </c:pt>
                <c:pt idx="111">
                  <c:v>100.34222222222222</c:v>
                </c:pt>
                <c:pt idx="112">
                  <c:v>100.35729019650418</c:v>
                </c:pt>
                <c:pt idx="113">
                  <c:v>100.36003459272472</c:v>
                </c:pt>
                <c:pt idx="114">
                  <c:v>100.36826379255149</c:v>
                </c:pt>
                <c:pt idx="115">
                  <c:v>100.36296136877219</c:v>
                </c:pt>
                <c:pt idx="116">
                  <c:v>100.36169065717829</c:v>
                </c:pt>
                <c:pt idx="117">
                  <c:v>100.35889105479748</c:v>
                </c:pt>
                <c:pt idx="118">
                  <c:v>100.3577085819681</c:v>
                </c:pt>
                <c:pt idx="119">
                  <c:v>100.3568013906997</c:v>
                </c:pt>
                <c:pt idx="120">
                  <c:v>100.36182827575055</c:v>
                </c:pt>
                <c:pt idx="121">
                  <c:v>100.37271523178808</c:v>
                </c:pt>
                <c:pt idx="122">
                  <c:v>100.38091503267974</c:v>
                </c:pt>
                <c:pt idx="123">
                  <c:v>100.36640445229304</c:v>
                </c:pt>
                <c:pt idx="124">
                  <c:v>100.3493075401187</c:v>
                </c:pt>
                <c:pt idx="125">
                  <c:v>100.33265697215647</c:v>
                </c:pt>
                <c:pt idx="126">
                  <c:v>100.33050607859768</c:v>
                </c:pt>
                <c:pt idx="127">
                  <c:v>100.3299377475948</c:v>
                </c:pt>
                <c:pt idx="128">
                  <c:v>100.32493300644279</c:v>
                </c:pt>
                <c:pt idx="129">
                  <c:v>100.35809162374628</c:v>
                </c:pt>
                <c:pt idx="130">
                  <c:v>100.3081687507304</c:v>
                </c:pt>
                <c:pt idx="131">
                  <c:v>100.302051402971</c:v>
                </c:pt>
                <c:pt idx="132">
                  <c:v>100.31206786357562</c:v>
                </c:pt>
                <c:pt idx="133">
                  <c:v>100.31769722814499</c:v>
                </c:pt>
                <c:pt idx="134">
                  <c:v>100.31840423694663</c:v>
                </c:pt>
                <c:pt idx="135">
                  <c:v>100.32700505883021</c:v>
                </c:pt>
                <c:pt idx="136">
                  <c:v>100.32891231649945</c:v>
                </c:pt>
                <c:pt idx="137">
                  <c:v>100.35321752430897</c:v>
                </c:pt>
                <c:pt idx="138">
                  <c:v>100.3610361575823</c:v>
                </c:pt>
                <c:pt idx="139">
                  <c:v>100.36415874550239</c:v>
                </c:pt>
                <c:pt idx="140">
                  <c:v>100.37437252311757</c:v>
                </c:pt>
                <c:pt idx="141">
                  <c:v>100.3782165738893</c:v>
                </c:pt>
                <c:pt idx="142">
                  <c:v>100.37364439506956</c:v>
                </c:pt>
                <c:pt idx="143">
                  <c:v>100.36555567463294</c:v>
                </c:pt>
                <c:pt idx="144">
                  <c:v>100.36940775458031</c:v>
                </c:pt>
                <c:pt idx="145">
                  <c:v>100.36514745308311</c:v>
                </c:pt>
                <c:pt idx="146">
                  <c:v>100.34375346413923</c:v>
                </c:pt>
                <c:pt idx="147">
                  <c:v>100.32986189721531</c:v>
                </c:pt>
                <c:pt idx="148">
                  <c:v>100.3338959212377</c:v>
                </c:pt>
                <c:pt idx="149">
                  <c:v>100.33197923719251</c:v>
                </c:pt>
                <c:pt idx="150">
                  <c:v>100.31675226498932</c:v>
                </c:pt>
                <c:pt idx="151">
                  <c:v>100.30122757318225</c:v>
                </c:pt>
                <c:pt idx="152">
                  <c:v>100.3117079409371</c:v>
                </c:pt>
                <c:pt idx="153">
                  <c:v>100.31477516059957</c:v>
                </c:pt>
                <c:pt idx="154">
                  <c:v>100.31030465427855</c:v>
                </c:pt>
                <c:pt idx="155">
                  <c:v>100.29973976815708</c:v>
                </c:pt>
                <c:pt idx="156">
                  <c:v>100.29055066211276</c:v>
                </c:pt>
                <c:pt idx="157">
                  <c:v>100.29961549837326</c:v>
                </c:pt>
                <c:pt idx="158">
                  <c:v>100.28734801974238</c:v>
                </c:pt>
                <c:pt idx="159">
                  <c:v>100.29553162372821</c:v>
                </c:pt>
                <c:pt idx="160">
                  <c:v>100.2898698494572</c:v>
                </c:pt>
                <c:pt idx="161">
                  <c:v>100.2827719893385</c:v>
                </c:pt>
                <c:pt idx="162">
                  <c:v>100.28111718275653</c:v>
                </c:pt>
                <c:pt idx="163">
                  <c:v>100.26445921600298</c:v>
                </c:pt>
                <c:pt idx="164">
                  <c:v>100.2683228278334</c:v>
                </c:pt>
                <c:pt idx="165">
                  <c:v>100.28035253001063</c:v>
                </c:pt>
                <c:pt idx="166">
                  <c:v>100.27183271832719</c:v>
                </c:pt>
                <c:pt idx="167">
                  <c:v>100.28381321074281</c:v>
                </c:pt>
                <c:pt idx="168">
                  <c:v>100.30800701344243</c:v>
                </c:pt>
                <c:pt idx="169">
                  <c:v>100.30752134752602</c:v>
                </c:pt>
                <c:pt idx="170">
                  <c:v>100.30085621493947</c:v>
                </c:pt>
                <c:pt idx="171">
                  <c:v>100.32195624785248</c:v>
                </c:pt>
                <c:pt idx="172">
                  <c:v>100.34009586445212</c:v>
                </c:pt>
                <c:pt idx="173">
                  <c:v>100.3426969410981</c:v>
                </c:pt>
                <c:pt idx="174">
                  <c:v>100.3426969410981</c:v>
                </c:pt>
                <c:pt idx="175">
                  <c:v>100.35279326555154</c:v>
                </c:pt>
                <c:pt idx="176">
                  <c:v>100.36100167305305</c:v>
                </c:pt>
                <c:pt idx="177">
                  <c:v>100.35215583278617</c:v>
                </c:pt>
                <c:pt idx="178">
                  <c:v>100.3596884971067</c:v>
                </c:pt>
                <c:pt idx="179">
                  <c:v>100.35899518163608</c:v>
                </c:pt>
                <c:pt idx="180">
                  <c:v>100.35666159530537</c:v>
                </c:pt>
                <c:pt idx="181">
                  <c:v>100.34397163120568</c:v>
                </c:pt>
                <c:pt idx="182">
                  <c:v>100.35048549015305</c:v>
                </c:pt>
                <c:pt idx="183">
                  <c:v>100.34880651193488</c:v>
                </c:pt>
                <c:pt idx="184">
                  <c:v>100.34225876340203</c:v>
                </c:pt>
                <c:pt idx="185">
                  <c:v>100.33609958506224</c:v>
                </c:pt>
                <c:pt idx="186">
                  <c:v>100.33788166871715</c:v>
                </c:pt>
                <c:pt idx="187">
                  <c:v>100.35606678631642</c:v>
                </c:pt>
                <c:pt idx="188">
                  <c:v>100.36306417773952</c:v>
                </c:pt>
                <c:pt idx="189">
                  <c:v>100.36144968180348</c:v>
                </c:pt>
                <c:pt idx="190">
                  <c:v>100.35052111903455</c:v>
                </c:pt>
                <c:pt idx="191">
                  <c:v>100.39785383715608</c:v>
                </c:pt>
                <c:pt idx="192">
                  <c:v>100.39303839647306</c:v>
                </c:pt>
                <c:pt idx="193">
                  <c:v>100.39533220979521</c:v>
                </c:pt>
                <c:pt idx="194">
                  <c:v>100.41150156568418</c:v>
                </c:pt>
                <c:pt idx="195">
                  <c:v>100.40337616528093</c:v>
                </c:pt>
                <c:pt idx="196">
                  <c:v>100.40791118667801</c:v>
                </c:pt>
                <c:pt idx="197">
                  <c:v>100.39932017655117</c:v>
                </c:pt>
                <c:pt idx="198">
                  <c:v>100.40080971659918</c:v>
                </c:pt>
                <c:pt idx="199">
                  <c:v>100.41035856573706</c:v>
                </c:pt>
                <c:pt idx="200">
                  <c:v>100.41943708934001</c:v>
                </c:pt>
                <c:pt idx="201">
                  <c:v>100.4206869556708</c:v>
                </c:pt>
                <c:pt idx="202">
                  <c:v>100.42543795797545</c:v>
                </c:pt>
                <c:pt idx="203">
                  <c:v>100.41548183254345</c:v>
                </c:pt>
                <c:pt idx="204">
                  <c:v>100.38496701470054</c:v>
                </c:pt>
                <c:pt idx="205">
                  <c:v>100.39222832503465</c:v>
                </c:pt>
                <c:pt idx="206">
                  <c:v>100.39925922167538</c:v>
                </c:pt>
                <c:pt idx="207">
                  <c:v>100.4044415381907</c:v>
                </c:pt>
                <c:pt idx="208">
                  <c:v>100.40397684369493</c:v>
                </c:pt>
                <c:pt idx="209">
                  <c:v>100.39659565793497</c:v>
                </c:pt>
                <c:pt idx="210">
                  <c:v>100.38738552284369</c:v>
                </c:pt>
                <c:pt idx="211">
                  <c:v>100.38416727348383</c:v>
                </c:pt>
                <c:pt idx="212">
                  <c:v>100.39282051282051</c:v>
                </c:pt>
                <c:pt idx="213">
                  <c:v>100.39009941791583</c:v>
                </c:pt>
                <c:pt idx="214">
                  <c:v>100.39803752097208</c:v>
                </c:pt>
                <c:pt idx="215">
                  <c:v>100.38459939187609</c:v>
                </c:pt>
                <c:pt idx="216">
                  <c:v>100.38858765814614</c:v>
                </c:pt>
                <c:pt idx="217">
                  <c:v>100.3712829226848</c:v>
                </c:pt>
                <c:pt idx="218">
                  <c:v>100.36237815714362</c:v>
                </c:pt>
                <c:pt idx="219">
                  <c:v>100.36870167955212</c:v>
                </c:pt>
                <c:pt idx="220">
                  <c:v>100.37038021802712</c:v>
                </c:pt>
                <c:pt idx="221">
                  <c:v>100.37579080556728</c:v>
                </c:pt>
                <c:pt idx="222">
                  <c:v>100.36524955771189</c:v>
                </c:pt>
                <c:pt idx="223">
                  <c:v>100.3644317998819</c:v>
                </c:pt>
                <c:pt idx="224">
                  <c:v>100.37671088650242</c:v>
                </c:pt>
                <c:pt idx="225">
                  <c:v>100.36337240563502</c:v>
                </c:pt>
                <c:pt idx="226">
                  <c:v>100.35529539885653</c:v>
                </c:pt>
                <c:pt idx="227">
                  <c:v>100.36470461984224</c:v>
                </c:pt>
                <c:pt idx="228">
                  <c:v>100.36927338589389</c:v>
                </c:pt>
                <c:pt idx="229">
                  <c:v>100.39041342737991</c:v>
                </c:pt>
                <c:pt idx="230">
                  <c:v>100.3821426707718</c:v>
                </c:pt>
                <c:pt idx="231">
                  <c:v>100.39019365471776</c:v>
                </c:pt>
                <c:pt idx="232">
                  <c:v>100.38509478057648</c:v>
                </c:pt>
                <c:pt idx="233">
                  <c:v>100.41167701863354</c:v>
                </c:pt>
                <c:pt idx="234">
                  <c:v>100.41487521620954</c:v>
                </c:pt>
                <c:pt idx="235">
                  <c:v>100.42011950239984</c:v>
                </c:pt>
                <c:pt idx="236">
                  <c:v>100.42099858183774</c:v>
                </c:pt>
                <c:pt idx="237">
                  <c:v>100.43481789106879</c:v>
                </c:pt>
                <c:pt idx="238">
                  <c:v>100.44462685867067</c:v>
                </c:pt>
                <c:pt idx="239">
                  <c:v>100.44721975815864</c:v>
                </c:pt>
                <c:pt idx="240">
                  <c:v>100.4537233551721</c:v>
                </c:pt>
                <c:pt idx="241">
                  <c:v>100.45757742349276</c:v>
                </c:pt>
                <c:pt idx="242">
                  <c:v>100.44295459891791</c:v>
                </c:pt>
                <c:pt idx="243">
                  <c:v>100.43947355962695</c:v>
                </c:pt>
                <c:pt idx="244">
                  <c:v>100.44543325526932</c:v>
                </c:pt>
                <c:pt idx="245">
                  <c:v>100.43720886015781</c:v>
                </c:pt>
                <c:pt idx="246">
                  <c:v>100.44379198571899</c:v>
                </c:pt>
                <c:pt idx="247">
                  <c:v>100.4402685198317</c:v>
                </c:pt>
                <c:pt idx="248">
                  <c:v>100.45703017518115</c:v>
                </c:pt>
                <c:pt idx="249">
                  <c:v>100.45070749246115</c:v>
                </c:pt>
                <c:pt idx="250">
                  <c:v>100.44467895502088</c:v>
                </c:pt>
                <c:pt idx="251">
                  <c:v>100.45316829854055</c:v>
                </c:pt>
                <c:pt idx="252">
                  <c:v>100.44540727902947</c:v>
                </c:pt>
                <c:pt idx="253">
                  <c:v>100.44719394901485</c:v>
                </c:pt>
                <c:pt idx="254">
                  <c:v>100.46790821416694</c:v>
                </c:pt>
                <c:pt idx="255">
                  <c:v>100.47119249665029</c:v>
                </c:pt>
                <c:pt idx="256">
                  <c:v>100.46791299658457</c:v>
                </c:pt>
                <c:pt idx="257">
                  <c:v>100.46502801373576</c:v>
                </c:pt>
                <c:pt idx="258">
                  <c:v>100.44071799716581</c:v>
                </c:pt>
                <c:pt idx="259">
                  <c:v>100.43608306344065</c:v>
                </c:pt>
                <c:pt idx="260">
                  <c:v>100.41234862021044</c:v>
                </c:pt>
                <c:pt idx="261">
                  <c:v>100.4158855451406</c:v>
                </c:pt>
                <c:pt idx="262">
                  <c:v>100.38874548270522</c:v>
                </c:pt>
                <c:pt idx="263">
                  <c:v>100.42269247647374</c:v>
                </c:pt>
                <c:pt idx="264">
                  <c:v>100.39009941791583</c:v>
                </c:pt>
                <c:pt idx="265">
                  <c:v>100.40310546481146</c:v>
                </c:pt>
                <c:pt idx="266">
                  <c:v>100.41473059812161</c:v>
                </c:pt>
                <c:pt idx="267">
                  <c:v>100.41660507514166</c:v>
                </c:pt>
                <c:pt idx="268">
                  <c:v>100.40105220558479</c:v>
                </c:pt>
                <c:pt idx="269">
                  <c:v>100.39570254682795</c:v>
                </c:pt>
                <c:pt idx="270">
                  <c:v>100.35130396668858</c:v>
                </c:pt>
                <c:pt idx="271">
                  <c:v>100.33828871625775</c:v>
                </c:pt>
                <c:pt idx="272">
                  <c:v>100.33310803199279</c:v>
                </c:pt>
                <c:pt idx="273">
                  <c:v>100.38827176440196</c:v>
                </c:pt>
                <c:pt idx="274">
                  <c:v>100.38884013833686</c:v>
                </c:pt>
                <c:pt idx="275">
                  <c:v>100.38342967244701</c:v>
                </c:pt>
                <c:pt idx="276">
                  <c:v>100.40583128418729</c:v>
                </c:pt>
                <c:pt idx="277">
                  <c:v>100.42671766813538</c:v>
                </c:pt>
                <c:pt idx="278">
                  <c:v>100.43864972501423</c:v>
                </c:pt>
                <c:pt idx="279">
                  <c:v>100.44989081447754</c:v>
                </c:pt>
                <c:pt idx="280">
                  <c:v>100.44292838995013</c:v>
                </c:pt>
                <c:pt idx="281">
                  <c:v>100.43619047619048</c:v>
                </c:pt>
                <c:pt idx="282">
                  <c:v>100.45230826163382</c:v>
                </c:pt>
                <c:pt idx="283">
                  <c:v>100.46157344247385</c:v>
                </c:pt>
                <c:pt idx="284">
                  <c:v>100.45503083862653</c:v>
                </c:pt>
                <c:pt idx="285">
                  <c:v>100.43989781919674</c:v>
                </c:pt>
                <c:pt idx="286">
                  <c:v>100.45326930181012</c:v>
                </c:pt>
                <c:pt idx="287">
                  <c:v>100.46066596820481</c:v>
                </c:pt>
                <c:pt idx="288">
                  <c:v>100.46803252909197</c:v>
                </c:pt>
                <c:pt idx="289">
                  <c:v>100.47790810477115</c:v>
                </c:pt>
                <c:pt idx="290">
                  <c:v>100.50522356874217</c:v>
                </c:pt>
                <c:pt idx="291">
                  <c:v>100.51011626463652</c:v>
                </c:pt>
                <c:pt idx="292">
                  <c:v>100.49239013933548</c:v>
                </c:pt>
                <c:pt idx="293">
                  <c:v>100.48936904299823</c:v>
                </c:pt>
                <c:pt idx="294">
                  <c:v>100.46960533978408</c:v>
                </c:pt>
                <c:pt idx="295">
                  <c:v>100.47050668574751</c:v>
                </c:pt>
                <c:pt idx="296">
                  <c:v>100.48488144442027</c:v>
                </c:pt>
                <c:pt idx="297">
                  <c:v>100.47192364301324</c:v>
                </c:pt>
                <c:pt idx="298">
                  <c:v>100.48456749814984</c:v>
                </c:pt>
                <c:pt idx="299">
                  <c:v>100.46772163279985</c:v>
                </c:pt>
                <c:pt idx="300">
                  <c:v>100.45243490727466</c:v>
                </c:pt>
                <c:pt idx="301">
                  <c:v>100.441456741202</c:v>
                </c:pt>
                <c:pt idx="302">
                  <c:v>100.44282352941177</c:v>
                </c:pt>
                <c:pt idx="303">
                  <c:v>100.46058734020356</c:v>
                </c:pt>
                <c:pt idx="304">
                  <c:v>100.46548688546793</c:v>
                </c:pt>
                <c:pt idx="305">
                  <c:v>100.47316899528344</c:v>
                </c:pt>
                <c:pt idx="306">
                  <c:v>100.48815493688397</c:v>
                </c:pt>
                <c:pt idx="307">
                  <c:v>100.49719721420078</c:v>
                </c:pt>
                <c:pt idx="308">
                  <c:v>100.50002111397323</c:v>
                </c:pt>
                <c:pt idx="309">
                  <c:v>100.49862375608723</c:v>
                </c:pt>
                <c:pt idx="310">
                  <c:v>100.52008430951319</c:v>
                </c:pt>
                <c:pt idx="311">
                  <c:v>100.51141006066108</c:v>
                </c:pt>
                <c:pt idx="312">
                  <c:v>100.51451533541086</c:v>
                </c:pt>
                <c:pt idx="313">
                  <c:v>100.48861918541874</c:v>
                </c:pt>
                <c:pt idx="314">
                  <c:v>100.4931723813193</c:v>
                </c:pt>
                <c:pt idx="315">
                  <c:v>100.49569810034926</c:v>
                </c:pt>
                <c:pt idx="316">
                  <c:v>100.50170447371744</c:v>
                </c:pt>
                <c:pt idx="317">
                  <c:v>100.47875852960598</c:v>
                </c:pt>
                <c:pt idx="318">
                  <c:v>100.40322580645162</c:v>
                </c:pt>
                <c:pt idx="319">
                  <c:v>100.42741077473643</c:v>
                </c:pt>
                <c:pt idx="320">
                  <c:v>100.45518129946622</c:v>
                </c:pt>
                <c:pt idx="321">
                  <c:v>100.44545922907592</c:v>
                </c:pt>
                <c:pt idx="322">
                  <c:v>100.44178590792296</c:v>
                </c:pt>
                <c:pt idx="323">
                  <c:v>100.45088581764215</c:v>
                </c:pt>
                <c:pt idx="324">
                  <c:v>100.4576022722067</c:v>
                </c:pt>
                <c:pt idx="325">
                  <c:v>100.45306725794531</c:v>
                </c:pt>
                <c:pt idx="326">
                  <c:v>100.45437788018434</c:v>
                </c:pt>
                <c:pt idx="327">
                  <c:v>100.45685581907426</c:v>
                </c:pt>
                <c:pt idx="328">
                  <c:v>100.43944702206231</c:v>
                </c:pt>
                <c:pt idx="329">
                  <c:v>100.43830352483515</c:v>
                </c:pt>
                <c:pt idx="330">
                  <c:v>100.45535673214039</c:v>
                </c:pt>
                <c:pt idx="331">
                  <c:v>100.4591878682684</c:v>
                </c:pt>
                <c:pt idx="332">
                  <c:v>100.45645687003626</c:v>
                </c:pt>
                <c:pt idx="333">
                  <c:v>100.44148308882494</c:v>
                </c:pt>
                <c:pt idx="334">
                  <c:v>100.4210835126149</c:v>
                </c:pt>
                <c:pt idx="335">
                  <c:v>100.39941158567515</c:v>
                </c:pt>
                <c:pt idx="336">
                  <c:v>100.37437252311757</c:v>
                </c:pt>
                <c:pt idx="337">
                  <c:v>100.38442341686597</c:v>
                </c:pt>
                <c:pt idx="338">
                  <c:v>100.37351182602254</c:v>
                </c:pt>
                <c:pt idx="339">
                  <c:v>100.35087363417563</c:v>
                </c:pt>
                <c:pt idx="340">
                  <c:v>100.39016224568633</c:v>
                </c:pt>
                <c:pt idx="341">
                  <c:v>100.37151653484793</c:v>
                </c:pt>
                <c:pt idx="342">
                  <c:v>100.3842633522284</c:v>
                </c:pt>
                <c:pt idx="343">
                  <c:v>100.39938111905849</c:v>
                </c:pt>
                <c:pt idx="344">
                  <c:v>100.39601081467123</c:v>
                </c:pt>
                <c:pt idx="345">
                  <c:v>100.39665715450469</c:v>
                </c:pt>
                <c:pt idx="346">
                  <c:v>100.38330121360488</c:v>
                </c:pt>
                <c:pt idx="347">
                  <c:v>100.39381527749335</c:v>
                </c:pt>
                <c:pt idx="348">
                  <c:v>100.37841243175137</c:v>
                </c:pt>
                <c:pt idx="349">
                  <c:v>100.38662384085376</c:v>
                </c:pt>
                <c:pt idx="350">
                  <c:v>100.37526382439847</c:v>
                </c:pt>
                <c:pt idx="351">
                  <c:v>100.34408066035122</c:v>
                </c:pt>
                <c:pt idx="352">
                  <c:v>100.3429887353643</c:v>
                </c:pt>
                <c:pt idx="353">
                  <c:v>100.34679465960498</c:v>
                </c:pt>
                <c:pt idx="354">
                  <c:v>100.34679465960498</c:v>
                </c:pt>
                <c:pt idx="355">
                  <c:v>100.33976467964088</c:v>
                </c:pt>
                <c:pt idx="356">
                  <c:v>100.35130396668858</c:v>
                </c:pt>
                <c:pt idx="357">
                  <c:v>100.32090622311442</c:v>
                </c:pt>
                <c:pt idx="358">
                  <c:v>100.33865832542033</c:v>
                </c:pt>
                <c:pt idx="359">
                  <c:v>100.33212996389892</c:v>
                </c:pt>
                <c:pt idx="360">
                  <c:v>100.32830317127134</c:v>
                </c:pt>
                <c:pt idx="361">
                  <c:v>100.31910978204613</c:v>
                </c:pt>
                <c:pt idx="362">
                  <c:v>100.31899229264926</c:v>
                </c:pt>
                <c:pt idx="363">
                  <c:v>100.316002310803</c:v>
                </c:pt>
                <c:pt idx="364">
                  <c:v>100.33865832542033</c:v>
                </c:pt>
                <c:pt idx="365">
                  <c:v>100.33299532420709</c:v>
                </c:pt>
                <c:pt idx="366">
                  <c:v>100.33337086875738</c:v>
                </c:pt>
                <c:pt idx="367">
                  <c:v>100.35162367887848</c:v>
                </c:pt>
                <c:pt idx="368">
                  <c:v>100.33691756272401</c:v>
                </c:pt>
                <c:pt idx="369">
                  <c:v>100.33980149436825</c:v>
                </c:pt>
                <c:pt idx="370">
                  <c:v>100.3381777529346</c:v>
                </c:pt>
                <c:pt idx="371">
                  <c:v>100.32700505883021</c:v>
                </c:pt>
                <c:pt idx="372">
                  <c:v>100.33639726488062</c:v>
                </c:pt>
                <c:pt idx="373">
                  <c:v>100.34823296267753</c:v>
                </c:pt>
                <c:pt idx="374">
                  <c:v>100.375</c:v>
                </c:pt>
                <c:pt idx="375">
                  <c:v>100.39110311133967</c:v>
                </c:pt>
                <c:pt idx="376">
                  <c:v>100.37987744199445</c:v>
                </c:pt>
                <c:pt idx="377">
                  <c:v>100.36374872373582</c:v>
                </c:pt>
                <c:pt idx="378">
                  <c:v>100.36684491978609</c:v>
                </c:pt>
                <c:pt idx="379">
                  <c:v>100.36954206602769</c:v>
                </c:pt>
                <c:pt idx="380">
                  <c:v>100.38753129590928</c:v>
                </c:pt>
                <c:pt idx="381">
                  <c:v>100.39397041510979</c:v>
                </c:pt>
                <c:pt idx="382">
                  <c:v>100.38381472807703</c:v>
                </c:pt>
                <c:pt idx="383">
                  <c:v>100.39107179592676</c:v>
                </c:pt>
                <c:pt idx="384">
                  <c:v>100.34024295107545</c:v>
                </c:pt>
                <c:pt idx="385">
                  <c:v>100.34844816200749</c:v>
                </c:pt>
                <c:pt idx="386">
                  <c:v>100.3691389599318</c:v>
                </c:pt>
                <c:pt idx="387">
                  <c:v>100.35350005460303</c:v>
                </c:pt>
                <c:pt idx="388">
                  <c:v>100.35718551495738</c:v>
                </c:pt>
                <c:pt idx="389">
                  <c:v>100.36165624326073</c:v>
                </c:pt>
                <c:pt idx="390">
                  <c:v>100.35993080333009</c:v>
                </c:pt>
                <c:pt idx="391">
                  <c:v>100.36186267112213</c:v>
                </c:pt>
                <c:pt idx="392">
                  <c:v>100.38201367503522</c:v>
                </c:pt>
                <c:pt idx="393">
                  <c:v>100.38107684265552</c:v>
                </c:pt>
                <c:pt idx="394">
                  <c:v>100.35816121862634</c:v>
                </c:pt>
                <c:pt idx="395">
                  <c:v>100.34196632023564</c:v>
                </c:pt>
                <c:pt idx="396">
                  <c:v>100.35123287671233</c:v>
                </c:pt>
                <c:pt idx="397">
                  <c:v>100.35037858005047</c:v>
                </c:pt>
                <c:pt idx="398">
                  <c:v>100.34433492081072</c:v>
                </c:pt>
                <c:pt idx="399">
                  <c:v>100.33814075688971</c:v>
                </c:pt>
                <c:pt idx="400">
                  <c:v>100.33902752191146</c:v>
                </c:pt>
                <c:pt idx="401">
                  <c:v>100.33680613902425</c:v>
                </c:pt>
                <c:pt idx="402">
                  <c:v>100.35582154515778</c:v>
                </c:pt>
                <c:pt idx="403">
                  <c:v>100.34108742834883</c:v>
                </c:pt>
                <c:pt idx="404">
                  <c:v>100.34236836258609</c:v>
                </c:pt>
                <c:pt idx="405">
                  <c:v>100.33965421081986</c:v>
                </c:pt>
                <c:pt idx="406">
                  <c:v>100.34317097525796</c:v>
                </c:pt>
                <c:pt idx="407">
                  <c:v>100.34618145673421</c:v>
                </c:pt>
                <c:pt idx="408">
                  <c:v>100.3557163846112</c:v>
                </c:pt>
                <c:pt idx="409">
                  <c:v>100.36900447665742</c:v>
                </c:pt>
                <c:pt idx="410">
                  <c:v>100.35763888888889</c:v>
                </c:pt>
                <c:pt idx="411">
                  <c:v>100.35438137303015</c:v>
                </c:pt>
                <c:pt idx="412">
                  <c:v>100.35857847120646</c:v>
                </c:pt>
                <c:pt idx="413">
                  <c:v>100.35037858005047</c:v>
                </c:pt>
                <c:pt idx="414">
                  <c:v>100.35802201377216</c:v>
                </c:pt>
                <c:pt idx="415">
                  <c:v>100.36017292623615</c:v>
                </c:pt>
                <c:pt idx="416">
                  <c:v>100.36179387667097</c:v>
                </c:pt>
                <c:pt idx="417">
                  <c:v>100.38439141059636</c:v>
                </c:pt>
                <c:pt idx="418">
                  <c:v>100.3824649246336</c:v>
                </c:pt>
                <c:pt idx="419">
                  <c:v>100.38461538461539</c:v>
                </c:pt>
                <c:pt idx="420">
                  <c:v>100.39294503691551</c:v>
                </c:pt>
                <c:pt idx="421">
                  <c:v>100.41637501848474</c:v>
                </c:pt>
                <c:pt idx="422">
                  <c:v>100.42367601246106</c:v>
                </c:pt>
                <c:pt idx="423">
                  <c:v>100.41141379996023</c:v>
                </c:pt>
                <c:pt idx="424">
                  <c:v>100.42133815551537</c:v>
                </c:pt>
                <c:pt idx="425">
                  <c:v>100.41533751419684</c:v>
                </c:pt>
                <c:pt idx="426">
                  <c:v>100.40217116889674</c:v>
                </c:pt>
                <c:pt idx="427">
                  <c:v>100.40699188620655</c:v>
                </c:pt>
                <c:pt idx="428">
                  <c:v>100.38965926078664</c:v>
                </c:pt>
                <c:pt idx="429">
                  <c:v>100.39091517053346</c:v>
                </c:pt>
                <c:pt idx="430">
                  <c:v>100.38291551571376</c:v>
                </c:pt>
                <c:pt idx="431">
                  <c:v>100.36677719542197</c:v>
                </c:pt>
                <c:pt idx="432">
                  <c:v>100.37011225195509</c:v>
                </c:pt>
                <c:pt idx="433">
                  <c:v>100.3790969636583</c:v>
                </c:pt>
                <c:pt idx="434">
                  <c:v>100.37174997346916</c:v>
                </c:pt>
                <c:pt idx="435">
                  <c:v>100.36172506738545</c:v>
                </c:pt>
                <c:pt idx="436">
                  <c:v>100.37151653484793</c:v>
                </c:pt>
                <c:pt idx="437">
                  <c:v>100.38033181556497</c:v>
                </c:pt>
                <c:pt idx="438">
                  <c:v>100.38042909471481</c:v>
                </c:pt>
                <c:pt idx="439">
                  <c:v>100.37677650278977</c:v>
                </c:pt>
                <c:pt idx="440">
                  <c:v>100.37101572460689</c:v>
                </c:pt>
                <c:pt idx="441">
                  <c:v>100.3779225555614</c:v>
                </c:pt>
                <c:pt idx="442">
                  <c:v>100.39100915543668</c:v>
                </c:pt>
                <c:pt idx="443">
                  <c:v>100.39588754528292</c:v>
                </c:pt>
                <c:pt idx="444">
                  <c:v>100.47806920872823</c:v>
                </c:pt>
                <c:pt idx="445">
                  <c:v>100.48943510133678</c:v>
                </c:pt>
                <c:pt idx="446">
                  <c:v>100.48530690314728</c:v>
                </c:pt>
                <c:pt idx="447">
                  <c:v>100.48577633007601</c:v>
                </c:pt>
                <c:pt idx="448">
                  <c:v>100.48398343865766</c:v>
                </c:pt>
                <c:pt idx="449">
                  <c:v>100.47140497343631</c:v>
                </c:pt>
                <c:pt idx="450">
                  <c:v>100.47415171433647</c:v>
                </c:pt>
                <c:pt idx="451">
                  <c:v>100.47119249665029</c:v>
                </c:pt>
                <c:pt idx="452">
                  <c:v>100.46901067360301</c:v>
                </c:pt>
                <c:pt idx="453">
                  <c:v>100.47770082491508</c:v>
                </c:pt>
                <c:pt idx="454">
                  <c:v>100.47997189037245</c:v>
                </c:pt>
                <c:pt idx="455">
                  <c:v>100.46889158031669</c:v>
                </c:pt>
                <c:pt idx="456">
                  <c:v>100.47234725255136</c:v>
                </c:pt>
                <c:pt idx="457">
                  <c:v>100.47157011514773</c:v>
                </c:pt>
                <c:pt idx="458">
                  <c:v>100.45777614947792</c:v>
                </c:pt>
                <c:pt idx="459">
                  <c:v>100.4463408931494</c:v>
                </c:pt>
                <c:pt idx="460">
                  <c:v>100.45715464673789</c:v>
                </c:pt>
                <c:pt idx="461">
                  <c:v>100.45014628709423</c:v>
                </c:pt>
                <c:pt idx="462">
                  <c:v>100.45508100147275</c:v>
                </c:pt>
                <c:pt idx="463">
                  <c:v>100.44991637242148</c:v>
                </c:pt>
                <c:pt idx="464">
                  <c:v>100.44384423880878</c:v>
                </c:pt>
                <c:pt idx="465">
                  <c:v>100.44866123399302</c:v>
                </c:pt>
                <c:pt idx="466">
                  <c:v>100.43411556660135</c:v>
                </c:pt>
                <c:pt idx="467">
                  <c:v>100.44389648208163</c:v>
                </c:pt>
                <c:pt idx="468">
                  <c:v>100.43137066564211</c:v>
                </c:pt>
                <c:pt idx="469">
                  <c:v>100.44819872302745</c:v>
                </c:pt>
                <c:pt idx="470">
                  <c:v>100.44467895502088</c:v>
                </c:pt>
                <c:pt idx="471">
                  <c:v>100.45598235618452</c:v>
                </c:pt>
                <c:pt idx="472">
                  <c:v>100.45886654478976</c:v>
                </c:pt>
                <c:pt idx="473">
                  <c:v>100.45807396558037</c:v>
                </c:pt>
                <c:pt idx="474">
                  <c:v>100.45311778290993</c:v>
                </c:pt>
                <c:pt idx="475">
                  <c:v>100.45291562702153</c:v>
                </c:pt>
                <c:pt idx="476">
                  <c:v>100.44860988217762</c:v>
                </c:pt>
                <c:pt idx="477">
                  <c:v>100.44788995103754</c:v>
                </c:pt>
                <c:pt idx="478">
                  <c:v>100.45775131669338</c:v>
                </c:pt>
                <c:pt idx="479">
                  <c:v>100.46824755232193</c:v>
                </c:pt>
                <c:pt idx="480">
                  <c:v>100.47149935276525</c:v>
                </c:pt>
                <c:pt idx="481">
                  <c:v>100.46910590978388</c:v>
                </c:pt>
                <c:pt idx="482">
                  <c:v>100.46322112660093</c:v>
                </c:pt>
                <c:pt idx="483">
                  <c:v>100.46705077421679</c:v>
                </c:pt>
                <c:pt idx="484">
                  <c:v>100.46198936701958</c:v>
                </c:pt>
                <c:pt idx="485">
                  <c:v>100.47520056735074</c:v>
                </c:pt>
                <c:pt idx="486">
                  <c:v>100.47522382767485</c:v>
                </c:pt>
                <c:pt idx="487">
                  <c:v>100.46500384076634</c:v>
                </c:pt>
                <c:pt idx="488">
                  <c:v>100.48149770089775</c:v>
                </c:pt>
                <c:pt idx="489">
                  <c:v>100.48369091226235</c:v>
                </c:pt>
                <c:pt idx="490">
                  <c:v>100.48416329020172</c:v>
                </c:pt>
                <c:pt idx="491">
                  <c:v>100.47855192460143</c:v>
                </c:pt>
                <c:pt idx="492">
                  <c:v>100.47389469006887</c:v>
                </c:pt>
                <c:pt idx="493">
                  <c:v>100.47389469006887</c:v>
                </c:pt>
                <c:pt idx="494">
                  <c:v>100.46059225512529</c:v>
                </c:pt>
                <c:pt idx="495">
                  <c:v>100.45780097998809</c:v>
                </c:pt>
                <c:pt idx="496">
                  <c:v>100.45022288261515</c:v>
                </c:pt>
                <c:pt idx="497">
                  <c:v>100.45785063418654</c:v>
                </c:pt>
                <c:pt idx="498">
                  <c:v>100.45187722790611</c:v>
                </c:pt>
                <c:pt idx="499">
                  <c:v>100.45420181625408</c:v>
                </c:pt>
                <c:pt idx="500">
                  <c:v>100.45555708833402</c:v>
                </c:pt>
                <c:pt idx="501">
                  <c:v>100.47649997789273</c:v>
                </c:pt>
                <c:pt idx="502">
                  <c:v>100.48136142625607</c:v>
                </c:pt>
                <c:pt idx="503">
                  <c:v>100.47612937480642</c:v>
                </c:pt>
                <c:pt idx="504">
                  <c:v>100.46915351506456</c:v>
                </c:pt>
                <c:pt idx="505">
                  <c:v>100.45450357060585</c:v>
                </c:pt>
                <c:pt idx="506">
                  <c:v>100.46184264351621</c:v>
                </c:pt>
                <c:pt idx="507">
                  <c:v>100.5010955671667</c:v>
                </c:pt>
                <c:pt idx="508">
                  <c:v>100.49849633614299</c:v>
                </c:pt>
                <c:pt idx="509">
                  <c:v>100.49249892841834</c:v>
                </c:pt>
                <c:pt idx="510">
                  <c:v>100.48985307423844</c:v>
                </c:pt>
                <c:pt idx="511">
                  <c:v>100.48702395910055</c:v>
                </c:pt>
                <c:pt idx="512">
                  <c:v>100.49610588585777</c:v>
                </c:pt>
                <c:pt idx="513">
                  <c:v>100.49399546989187</c:v>
                </c:pt>
                <c:pt idx="514">
                  <c:v>100.49949272911735</c:v>
                </c:pt>
                <c:pt idx="515">
                  <c:v>100.49483744346787</c:v>
                </c:pt>
                <c:pt idx="516">
                  <c:v>100.49414679996582</c:v>
                </c:pt>
                <c:pt idx="517">
                  <c:v>100.49129967776584</c:v>
                </c:pt>
                <c:pt idx="518">
                  <c:v>100.49062123558768</c:v>
                </c:pt>
                <c:pt idx="519">
                  <c:v>100.49225953085467</c:v>
                </c:pt>
                <c:pt idx="520">
                  <c:v>100.50130570297364</c:v>
                </c:pt>
                <c:pt idx="521">
                  <c:v>100.50983233285034</c:v>
                </c:pt>
                <c:pt idx="522">
                  <c:v>100.50905999917072</c:v>
                </c:pt>
                <c:pt idx="523">
                  <c:v>100.50738506344914</c:v>
                </c:pt>
                <c:pt idx="524">
                  <c:v>100.50553351430361</c:v>
                </c:pt>
                <c:pt idx="525">
                  <c:v>100.51295763060469</c:v>
                </c:pt>
                <c:pt idx="526">
                  <c:v>100.50911699101982</c:v>
                </c:pt>
                <c:pt idx="527">
                  <c:v>100.51818995686497</c:v>
                </c:pt>
                <c:pt idx="528">
                  <c:v>100.51459494916367</c:v>
                </c:pt>
                <c:pt idx="529">
                  <c:v>100.51891430661087</c:v>
                </c:pt>
                <c:pt idx="530">
                  <c:v>100.52088054386533</c:v>
                </c:pt>
                <c:pt idx="531">
                  <c:v>100.51912923401835</c:v>
                </c:pt>
                <c:pt idx="532">
                  <c:v>100.52309985096871</c:v>
                </c:pt>
                <c:pt idx="533">
                  <c:v>100.52234952396321</c:v>
                </c:pt>
                <c:pt idx="534">
                  <c:v>100.51912923401835</c:v>
                </c:pt>
                <c:pt idx="535">
                  <c:v>100.52899992043918</c:v>
                </c:pt>
                <c:pt idx="536">
                  <c:v>100.54310411360655</c:v>
                </c:pt>
                <c:pt idx="537">
                  <c:v>100.53946088918278</c:v>
                </c:pt>
                <c:pt idx="538">
                  <c:v>100.53690303907381</c:v>
                </c:pt>
                <c:pt idx="539">
                  <c:v>100.53683057544107</c:v>
                </c:pt>
                <c:pt idx="540">
                  <c:v>100.54503535198279</c:v>
                </c:pt>
                <c:pt idx="541">
                  <c:v>100.54682895089371</c:v>
                </c:pt>
                <c:pt idx="542">
                  <c:v>100.54108527131783</c:v>
                </c:pt>
                <c:pt idx="543">
                  <c:v>100.5424154589372</c:v>
                </c:pt>
                <c:pt idx="544">
                  <c:v>100.54753897890554</c:v>
                </c:pt>
                <c:pt idx="545">
                  <c:v>100.5460296767762</c:v>
                </c:pt>
                <c:pt idx="546">
                  <c:v>100.54014059890473</c:v>
                </c:pt>
                <c:pt idx="547">
                  <c:v>100.53533093934577</c:v>
                </c:pt>
                <c:pt idx="548">
                  <c:v>100.531014814228</c:v>
                </c:pt>
                <c:pt idx="549">
                  <c:v>100.52577402170866</c:v>
                </c:pt>
                <c:pt idx="550">
                  <c:v>100.53856346700962</c:v>
                </c:pt>
                <c:pt idx="551">
                  <c:v>100.53444479396036</c:v>
                </c:pt>
                <c:pt idx="552">
                  <c:v>100.53017737391373</c:v>
                </c:pt>
                <c:pt idx="553">
                  <c:v>100.52753391859537</c:v>
                </c:pt>
                <c:pt idx="554">
                  <c:v>100.53735542356986</c:v>
                </c:pt>
                <c:pt idx="555">
                  <c:v>100.54543709448305</c:v>
                </c:pt>
                <c:pt idx="556">
                  <c:v>100.54199063866001</c:v>
                </c:pt>
                <c:pt idx="557">
                  <c:v>100.54296302014977</c:v>
                </c:pt>
                <c:pt idx="558">
                  <c:v>100.52821166719797</c:v>
                </c:pt>
                <c:pt idx="559">
                  <c:v>100.51671496795788</c:v>
                </c:pt>
                <c:pt idx="560">
                  <c:v>100.51519122103022</c:v>
                </c:pt>
                <c:pt idx="561">
                  <c:v>100.51147053969302</c:v>
                </c:pt>
                <c:pt idx="562">
                  <c:v>100.51511180276844</c:v>
                </c:pt>
                <c:pt idx="563">
                  <c:v>100.51463474624907</c:v>
                </c:pt>
                <c:pt idx="564">
                  <c:v>100.52159683219524</c:v>
                </c:pt>
                <c:pt idx="565">
                  <c:v>100.51643863589953</c:v>
                </c:pt>
                <c:pt idx="566">
                  <c:v>100.50666666666666</c:v>
                </c:pt>
                <c:pt idx="567">
                  <c:v>100.49354093592267</c:v>
                </c:pt>
                <c:pt idx="568">
                  <c:v>100.49468652639665</c:v>
                </c:pt>
                <c:pt idx="569">
                  <c:v>100.48181539673509</c:v>
                </c:pt>
                <c:pt idx="570">
                  <c:v>100.46886775524852</c:v>
                </c:pt>
                <c:pt idx="571">
                  <c:v>100.50302216252518</c:v>
                </c:pt>
                <c:pt idx="572">
                  <c:v>100.49161202784111</c:v>
                </c:pt>
                <c:pt idx="573">
                  <c:v>100.48996295339019</c:v>
                </c:pt>
                <c:pt idx="574">
                  <c:v>100.49058178657786</c:v>
                </c:pt>
                <c:pt idx="575">
                  <c:v>100.49472965476038</c:v>
                </c:pt>
                <c:pt idx="576">
                  <c:v>100.50159959589156</c:v>
                </c:pt>
                <c:pt idx="577">
                  <c:v>100.48978932263499</c:v>
                </c:pt>
                <c:pt idx="578">
                  <c:v>100.47921706619749</c:v>
                </c:pt>
                <c:pt idx="579">
                  <c:v>100.47682382572577</c:v>
                </c:pt>
                <c:pt idx="580">
                  <c:v>100.4771934472557</c:v>
                </c:pt>
                <c:pt idx="581">
                  <c:v>100.477493380406</c:v>
                </c:pt>
                <c:pt idx="582">
                  <c:v>100.46893922404126</c:v>
                </c:pt>
                <c:pt idx="583">
                  <c:v>100.46327952529249</c:v>
                </c:pt>
                <c:pt idx="584">
                  <c:v>100.47431514451894</c:v>
                </c:pt>
                <c:pt idx="585">
                  <c:v>100.48456749814984</c:v>
                </c:pt>
                <c:pt idx="586">
                  <c:v>100.49354093592267</c:v>
                </c:pt>
                <c:pt idx="587">
                  <c:v>100.50258370793597</c:v>
                </c:pt>
                <c:pt idx="588">
                  <c:v>100.50641987660497</c:v>
                </c:pt>
                <c:pt idx="589">
                  <c:v>100.51399720876775</c:v>
                </c:pt>
                <c:pt idx="590">
                  <c:v>100.51356192636051</c:v>
                </c:pt>
                <c:pt idx="591">
                  <c:v>100.52086115495123</c:v>
                </c:pt>
                <c:pt idx="592">
                  <c:v>100.52879372786246</c:v>
                </c:pt>
                <c:pt idx="593">
                  <c:v>100.53025193414005</c:v>
                </c:pt>
                <c:pt idx="594">
                  <c:v>100.52702243847098</c:v>
                </c:pt>
                <c:pt idx="595">
                  <c:v>100.53106682297772</c:v>
                </c:pt>
                <c:pt idx="596">
                  <c:v>100.53378484800756</c:v>
                </c:pt>
                <c:pt idx="597">
                  <c:v>100.53269921458737</c:v>
                </c:pt>
                <c:pt idx="598">
                  <c:v>100.53251101599886</c:v>
                </c:pt>
                <c:pt idx="599">
                  <c:v>100.52213746619849</c:v>
                </c:pt>
                <c:pt idx="600">
                  <c:v>100.52770353823448</c:v>
                </c:pt>
                <c:pt idx="601">
                  <c:v>100.52971083571656</c:v>
                </c:pt>
                <c:pt idx="602">
                  <c:v>100.52875621890547</c:v>
                </c:pt>
                <c:pt idx="603">
                  <c:v>100.52486054817609</c:v>
                </c:pt>
                <c:pt idx="604">
                  <c:v>100.53360119751044</c:v>
                </c:pt>
                <c:pt idx="605">
                  <c:v>100.54531490015361</c:v>
                </c:pt>
                <c:pt idx="606">
                  <c:v>100.54106748323578</c:v>
                </c:pt>
                <c:pt idx="607">
                  <c:v>100.5472275334608</c:v>
                </c:pt>
                <c:pt idx="608">
                  <c:v>100.53915615755878</c:v>
                </c:pt>
                <c:pt idx="609">
                  <c:v>100.54218544582785</c:v>
                </c:pt>
                <c:pt idx="610">
                  <c:v>100.5237922865612</c:v>
                </c:pt>
                <c:pt idx="611">
                  <c:v>100.52317667431839</c:v>
                </c:pt>
                <c:pt idx="612">
                  <c:v>100.51708948527613</c:v>
                </c:pt>
                <c:pt idx="613">
                  <c:v>100.52804241240483</c:v>
                </c:pt>
                <c:pt idx="614">
                  <c:v>100.53985465003304</c:v>
                </c:pt>
                <c:pt idx="615">
                  <c:v>100.54193748065614</c:v>
                </c:pt>
                <c:pt idx="616">
                  <c:v>100.54312174416361</c:v>
                </c:pt>
                <c:pt idx="617">
                  <c:v>100.55896431112386</c:v>
                </c:pt>
                <c:pt idx="618">
                  <c:v>100.55552218635033</c:v>
                </c:pt>
                <c:pt idx="619">
                  <c:v>100.55547212314623</c:v>
                </c:pt>
                <c:pt idx="620">
                  <c:v>100.55378005577749</c:v>
                </c:pt>
                <c:pt idx="621">
                  <c:v>100.55811002463238</c:v>
                </c:pt>
                <c:pt idx="622">
                  <c:v>100.56587100795659</c:v>
                </c:pt>
                <c:pt idx="623">
                  <c:v>100.56454578889297</c:v>
                </c:pt>
                <c:pt idx="624">
                  <c:v>100.55973673446621</c:v>
                </c:pt>
                <c:pt idx="625">
                  <c:v>100.56225968648329</c:v>
                </c:pt>
                <c:pt idx="626">
                  <c:v>100.56489783918859</c:v>
                </c:pt>
                <c:pt idx="627">
                  <c:v>100.56178985158593</c:v>
                </c:pt>
                <c:pt idx="628">
                  <c:v>100.55839021297228</c:v>
                </c:pt>
                <c:pt idx="629">
                  <c:v>100.56728309334113</c:v>
                </c:pt>
                <c:pt idx="630">
                  <c:v>100.58308391140532</c:v>
                </c:pt>
                <c:pt idx="631">
                  <c:v>100.57107665555716</c:v>
                </c:pt>
                <c:pt idx="632">
                  <c:v>100.54522757826004</c:v>
                </c:pt>
                <c:pt idx="633">
                  <c:v>100.56592512208356</c:v>
                </c:pt>
                <c:pt idx="634">
                  <c:v>100.55404896421845</c:v>
                </c:pt>
                <c:pt idx="635">
                  <c:v>100.55320754716981</c:v>
                </c:pt>
                <c:pt idx="636">
                  <c:v>100.54458035233479</c:v>
                </c:pt>
                <c:pt idx="637">
                  <c:v>100.55637153883623</c:v>
                </c:pt>
                <c:pt idx="638">
                  <c:v>100.54847074975211</c:v>
                </c:pt>
                <c:pt idx="639">
                  <c:v>100.54501786880836</c:v>
                </c:pt>
                <c:pt idx="640">
                  <c:v>100.5480053445314</c:v>
                </c:pt>
                <c:pt idx="641">
                  <c:v>100.5396757513316</c:v>
                </c:pt>
                <c:pt idx="642">
                  <c:v>100.54232701971395</c:v>
                </c:pt>
                <c:pt idx="643">
                  <c:v>100.56061899283779</c:v>
                </c:pt>
                <c:pt idx="644">
                  <c:v>100.56024364878918</c:v>
                </c:pt>
                <c:pt idx="645">
                  <c:v>100.55335923648572</c:v>
                </c:pt>
                <c:pt idx="646">
                  <c:v>100.5610750695088</c:v>
                </c:pt>
                <c:pt idx="647">
                  <c:v>100.55557223827934</c:v>
                </c:pt>
                <c:pt idx="648">
                  <c:v>100.55478679401369</c:v>
                </c:pt>
                <c:pt idx="649">
                  <c:v>100.5539145505237</c:v>
                </c:pt>
                <c:pt idx="650">
                  <c:v>100.54438757840458</c:v>
                </c:pt>
                <c:pt idx="651">
                  <c:v>100.54349167180753</c:v>
                </c:pt>
                <c:pt idx="652">
                  <c:v>100.55023741690408</c:v>
                </c:pt>
                <c:pt idx="653">
                  <c:v>100.5519733605782</c:v>
                </c:pt>
                <c:pt idx="654">
                  <c:v>100.55445171972605</c:v>
                </c:pt>
                <c:pt idx="655">
                  <c:v>100.56647504668449</c:v>
                </c:pt>
                <c:pt idx="656">
                  <c:v>100.5703762836097</c:v>
                </c:pt>
                <c:pt idx="657">
                  <c:v>100.56755177325688</c:v>
                </c:pt>
                <c:pt idx="658">
                  <c:v>100.56769388053162</c:v>
                </c:pt>
                <c:pt idx="659">
                  <c:v>100.56818264706955</c:v>
                </c:pt>
                <c:pt idx="660">
                  <c:v>100.56348621147323</c:v>
                </c:pt>
                <c:pt idx="661">
                  <c:v>100.56808813336738</c:v>
                </c:pt>
                <c:pt idx="662">
                  <c:v>100.56961105052709</c:v>
                </c:pt>
                <c:pt idx="663">
                  <c:v>100.55445171972605</c:v>
                </c:pt>
                <c:pt idx="664">
                  <c:v>100.54778091818807</c:v>
                </c:pt>
                <c:pt idx="665">
                  <c:v>100.54088952654233</c:v>
                </c:pt>
                <c:pt idx="666">
                  <c:v>100.53823953823954</c:v>
                </c:pt>
                <c:pt idx="667">
                  <c:v>100.53979741757942</c:v>
                </c:pt>
                <c:pt idx="668">
                  <c:v>100.53273609850429</c:v>
                </c:pt>
                <c:pt idx="669">
                  <c:v>100.54064015518914</c:v>
                </c:pt>
                <c:pt idx="670">
                  <c:v>100.53753612998985</c:v>
                </c:pt>
                <c:pt idx="671">
                  <c:v>100.54515769659253</c:v>
                </c:pt>
                <c:pt idx="672">
                  <c:v>100.55371277798719</c:v>
                </c:pt>
                <c:pt idx="673">
                  <c:v>100.55570565499643</c:v>
                </c:pt>
                <c:pt idx="674">
                  <c:v>100.54741791215932</c:v>
                </c:pt>
                <c:pt idx="675">
                  <c:v>100.55036039525751</c:v>
                </c:pt>
                <c:pt idx="676">
                  <c:v>100.54291008763464</c:v>
                </c:pt>
                <c:pt idx="677">
                  <c:v>100.54299830168287</c:v>
                </c:pt>
                <c:pt idx="678">
                  <c:v>100.53655863472679</c:v>
                </c:pt>
                <c:pt idx="679">
                  <c:v>100.54276887430005</c:v>
                </c:pt>
                <c:pt idx="680">
                  <c:v>100.54660335452247</c:v>
                </c:pt>
                <c:pt idx="681">
                  <c:v>100.55281942818296</c:v>
                </c:pt>
                <c:pt idx="682">
                  <c:v>100.56123772466185</c:v>
                </c:pt>
                <c:pt idx="683">
                  <c:v>100.56609374427383</c:v>
                </c:pt>
                <c:pt idx="684">
                  <c:v>100.55774689974601</c:v>
                </c:pt>
                <c:pt idx="685">
                  <c:v>100.56524932070207</c:v>
                </c:pt>
                <c:pt idx="686">
                  <c:v>100.55721765145849</c:v>
                </c:pt>
                <c:pt idx="687">
                  <c:v>100.54359725541593</c:v>
                </c:pt>
                <c:pt idx="688">
                  <c:v>100.54517516902274</c:v>
                </c:pt>
                <c:pt idx="689">
                  <c:v>100.5507493834187</c:v>
                </c:pt>
                <c:pt idx="690">
                  <c:v>100.55968761621421</c:v>
                </c:pt>
                <c:pt idx="691">
                  <c:v>100.55949103355904</c:v>
                </c:pt>
                <c:pt idx="692">
                  <c:v>100.56898434655989</c:v>
                </c:pt>
                <c:pt idx="693">
                  <c:v>100.53534005729759</c:v>
                </c:pt>
                <c:pt idx="694">
                  <c:v>100.52590694322095</c:v>
                </c:pt>
                <c:pt idx="695">
                  <c:v>100.53350931799378</c:v>
                </c:pt>
                <c:pt idx="696">
                  <c:v>100.52302300286026</c:v>
                </c:pt>
                <c:pt idx="697">
                  <c:v>100.53118194416948</c:v>
                </c:pt>
                <c:pt idx="698">
                  <c:v>100.54117419104824</c:v>
                </c:pt>
                <c:pt idx="699">
                  <c:v>100.53699358673549</c:v>
                </c:pt>
                <c:pt idx="700">
                  <c:v>100.54060450859427</c:v>
                </c:pt>
                <c:pt idx="701">
                  <c:v>100.54229163445183</c:v>
                </c:pt>
                <c:pt idx="702">
                  <c:v>100.54489544895449</c:v>
                </c:pt>
                <c:pt idx="703">
                  <c:v>100.55088571103441</c:v>
                </c:pt>
                <c:pt idx="704">
                  <c:v>100.55237987221655</c:v>
                </c:pt>
                <c:pt idx="705">
                  <c:v>100.55875228263704</c:v>
                </c:pt>
                <c:pt idx="706">
                  <c:v>100.55582232893157</c:v>
                </c:pt>
                <c:pt idx="707">
                  <c:v>100.5517189156444</c:v>
                </c:pt>
                <c:pt idx="708">
                  <c:v>100.56131900703964</c:v>
                </c:pt>
                <c:pt idx="709">
                  <c:v>100.55759817658708</c:v>
                </c:pt>
                <c:pt idx="710">
                  <c:v>100.55962210816038</c:v>
                </c:pt>
                <c:pt idx="711">
                  <c:v>100.54974140553696</c:v>
                </c:pt>
                <c:pt idx="712">
                  <c:v>100.54774637127578</c:v>
                </c:pt>
                <c:pt idx="713">
                  <c:v>100.54764269886147</c:v>
                </c:pt>
                <c:pt idx="714">
                  <c:v>100.55703542968311</c:v>
                </c:pt>
                <c:pt idx="715">
                  <c:v>100.55409934847286</c:v>
                </c:pt>
                <c:pt idx="716">
                  <c:v>100.55627178353258</c:v>
                </c:pt>
                <c:pt idx="717">
                  <c:v>100.56017830609213</c:v>
                </c:pt>
                <c:pt idx="718">
                  <c:v>100.55635491606715</c:v>
                </c:pt>
                <c:pt idx="719">
                  <c:v>100.55438464433571</c:v>
                </c:pt>
                <c:pt idx="720">
                  <c:v>100.55683647116068</c:v>
                </c:pt>
                <c:pt idx="721">
                  <c:v>100.5579285367584</c:v>
                </c:pt>
                <c:pt idx="722">
                  <c:v>100.57236248058656</c:v>
                </c:pt>
                <c:pt idx="723">
                  <c:v>100.57875262390152</c:v>
                </c:pt>
                <c:pt idx="724">
                  <c:v>100.56910983332121</c:v>
                </c:pt>
                <c:pt idx="725">
                  <c:v>100.56417712666102</c:v>
                </c:pt>
                <c:pt idx="726">
                  <c:v>100.57068784219878</c:v>
                </c:pt>
                <c:pt idx="727">
                  <c:v>100.56786744041753</c:v>
                </c:pt>
                <c:pt idx="728">
                  <c:v>100.57419262029778</c:v>
                </c:pt>
                <c:pt idx="729">
                  <c:v>100.57978421351505</c:v>
                </c:pt>
                <c:pt idx="730">
                  <c:v>100.57434570031637</c:v>
                </c:pt>
                <c:pt idx="731">
                  <c:v>100.56699824458748</c:v>
                </c:pt>
                <c:pt idx="732">
                  <c:v>100.56687152472929</c:v>
                </c:pt>
                <c:pt idx="733">
                  <c:v>100.56246997524113</c:v>
                </c:pt>
                <c:pt idx="734">
                  <c:v>100.56484666725471</c:v>
                </c:pt>
                <c:pt idx="735">
                  <c:v>100.5734409338185</c:v>
                </c:pt>
                <c:pt idx="736">
                  <c:v>100.57341019636101</c:v>
                </c:pt>
                <c:pt idx="737">
                  <c:v>100.57362526558393</c:v>
                </c:pt>
                <c:pt idx="738">
                  <c:v>100.58029067706487</c:v>
                </c:pt>
                <c:pt idx="739">
                  <c:v>100.58270186444859</c:v>
                </c:pt>
                <c:pt idx="740">
                  <c:v>100.58314262577896</c:v>
                </c:pt>
                <c:pt idx="741">
                  <c:v>100.58584021267664</c:v>
                </c:pt>
                <c:pt idx="742">
                  <c:v>100.59255308166145</c:v>
                </c:pt>
                <c:pt idx="743">
                  <c:v>100.59386684046238</c:v>
                </c:pt>
                <c:pt idx="744">
                  <c:v>100.59497827797352</c:v>
                </c:pt>
                <c:pt idx="745">
                  <c:v>100.60488553694186</c:v>
                </c:pt>
                <c:pt idx="746">
                  <c:v>100.61502194765079</c:v>
                </c:pt>
                <c:pt idx="747">
                  <c:v>100.61379130378054</c:v>
                </c:pt>
                <c:pt idx="748">
                  <c:v>100.61416886629517</c:v>
                </c:pt>
                <c:pt idx="749">
                  <c:v>100.61644368136318</c:v>
                </c:pt>
                <c:pt idx="750">
                  <c:v>100.61066719279208</c:v>
                </c:pt>
                <c:pt idx="751">
                  <c:v>100.61209579661239</c:v>
                </c:pt>
                <c:pt idx="752">
                  <c:v>100.60985896928958</c:v>
                </c:pt>
                <c:pt idx="753">
                  <c:v>100.60672291237627</c:v>
                </c:pt>
                <c:pt idx="754">
                  <c:v>100.60393389977922</c:v>
                </c:pt>
                <c:pt idx="755">
                  <c:v>100.60975609756098</c:v>
                </c:pt>
                <c:pt idx="756">
                  <c:v>100.62052498317361</c:v>
                </c:pt>
                <c:pt idx="757">
                  <c:v>100.61319830120875</c:v>
                </c:pt>
                <c:pt idx="758">
                  <c:v>100.60847855560333</c:v>
                </c:pt>
                <c:pt idx="759">
                  <c:v>100.60693181063674</c:v>
                </c:pt>
                <c:pt idx="760">
                  <c:v>100.61252740779527</c:v>
                </c:pt>
                <c:pt idx="761">
                  <c:v>100.61079517438611</c:v>
                </c:pt>
                <c:pt idx="762">
                  <c:v>100.60663144954982</c:v>
                </c:pt>
                <c:pt idx="763">
                  <c:v>100.60631753948462</c:v>
                </c:pt>
                <c:pt idx="764">
                  <c:v>100.60122596072884</c:v>
                </c:pt>
                <c:pt idx="765">
                  <c:v>100.59964833975789</c:v>
                </c:pt>
                <c:pt idx="766">
                  <c:v>100.60169548543362</c:v>
                </c:pt>
                <c:pt idx="767">
                  <c:v>100.60093026391182</c:v>
                </c:pt>
                <c:pt idx="768">
                  <c:v>100.59723781338232</c:v>
                </c:pt>
                <c:pt idx="769">
                  <c:v>100.59360197707146</c:v>
                </c:pt>
                <c:pt idx="770">
                  <c:v>100.58669319649528</c:v>
                </c:pt>
                <c:pt idx="771">
                  <c:v>100.58429885541746</c:v>
                </c:pt>
                <c:pt idx="772">
                  <c:v>100.58539062226424</c:v>
                </c:pt>
                <c:pt idx="773">
                  <c:v>100.58758577449581</c:v>
                </c:pt>
                <c:pt idx="774">
                  <c:v>100.58393365428542</c:v>
                </c:pt>
                <c:pt idx="775">
                  <c:v>100.59134366479135</c:v>
                </c:pt>
                <c:pt idx="776">
                  <c:v>100.59173821592358</c:v>
                </c:pt>
                <c:pt idx="777">
                  <c:v>100.58631773872331</c:v>
                </c:pt>
                <c:pt idx="778">
                  <c:v>100.57854269746912</c:v>
                </c:pt>
                <c:pt idx="779">
                  <c:v>100.57951559059592</c:v>
                </c:pt>
                <c:pt idx="780">
                  <c:v>100.58306923022748</c:v>
                </c:pt>
                <c:pt idx="781">
                  <c:v>100.57861769520963</c:v>
                </c:pt>
                <c:pt idx="782">
                  <c:v>100.59002770083103</c:v>
                </c:pt>
                <c:pt idx="783">
                  <c:v>100.5967851791309</c:v>
                </c:pt>
                <c:pt idx="784">
                  <c:v>100.5974158449507</c:v>
                </c:pt>
                <c:pt idx="785">
                  <c:v>100.5998107212871</c:v>
                </c:pt>
                <c:pt idx="786">
                  <c:v>100.60495145307131</c:v>
                </c:pt>
                <c:pt idx="787">
                  <c:v>100.60580636569451</c:v>
                </c:pt>
                <c:pt idx="788">
                  <c:v>100.60485916433053</c:v>
                </c:pt>
                <c:pt idx="789">
                  <c:v>100.60382787927458</c:v>
                </c:pt>
                <c:pt idx="790">
                  <c:v>100.60257787325456</c:v>
                </c:pt>
                <c:pt idx="791">
                  <c:v>100.60008106464906</c:v>
                </c:pt>
                <c:pt idx="792">
                  <c:v>100.61074399184666</c:v>
                </c:pt>
                <c:pt idx="793">
                  <c:v>100.62055417037887</c:v>
                </c:pt>
                <c:pt idx="794">
                  <c:v>100.62058578478498</c:v>
                </c:pt>
                <c:pt idx="795">
                  <c:v>100.62571916292596</c:v>
                </c:pt>
                <c:pt idx="796">
                  <c:v>100.61989148929339</c:v>
                </c:pt>
                <c:pt idx="797">
                  <c:v>100.62308598351001</c:v>
                </c:pt>
                <c:pt idx="798">
                  <c:v>100.62130177514793</c:v>
                </c:pt>
                <c:pt idx="799">
                  <c:v>100.62781340374701</c:v>
                </c:pt>
                <c:pt idx="800">
                  <c:v>100.62532831239518</c:v>
                </c:pt>
                <c:pt idx="801">
                  <c:v>100.62128966223132</c:v>
                </c:pt>
                <c:pt idx="802">
                  <c:v>100.63109518616606</c:v>
                </c:pt>
                <c:pt idx="803">
                  <c:v>100.63058874918099</c:v>
                </c:pt>
                <c:pt idx="804">
                  <c:v>100.62384038632609</c:v>
                </c:pt>
                <c:pt idx="805">
                  <c:v>100.62888665997994</c:v>
                </c:pt>
                <c:pt idx="806">
                  <c:v>100.6181014740509</c:v>
                </c:pt>
                <c:pt idx="807">
                  <c:v>100.60953731490947</c:v>
                </c:pt>
                <c:pt idx="808">
                  <c:v>100.60299098011602</c:v>
                </c:pt>
                <c:pt idx="809">
                  <c:v>100.61202461546527</c:v>
                </c:pt>
                <c:pt idx="810">
                  <c:v>100.61915667649869</c:v>
                </c:pt>
                <c:pt idx="811">
                  <c:v>100.61892500804635</c:v>
                </c:pt>
                <c:pt idx="812">
                  <c:v>100.61357702349869</c:v>
                </c:pt>
                <c:pt idx="813">
                  <c:v>100.61866726786693</c:v>
                </c:pt>
                <c:pt idx="814">
                  <c:v>100.61901084403256</c:v>
                </c:pt>
                <c:pt idx="815">
                  <c:v>100.64004608869337</c:v>
                </c:pt>
                <c:pt idx="816">
                  <c:v>100.63729935056978</c:v>
                </c:pt>
                <c:pt idx="817">
                  <c:v>100.64395260720515</c:v>
                </c:pt>
                <c:pt idx="818">
                  <c:v>100.63765011201019</c:v>
                </c:pt>
                <c:pt idx="819">
                  <c:v>100.64359892838867</c:v>
                </c:pt>
                <c:pt idx="820">
                  <c:v>100.67417925644624</c:v>
                </c:pt>
                <c:pt idx="821">
                  <c:v>100.6694214876033</c:v>
                </c:pt>
                <c:pt idx="822">
                  <c:v>100.67355941549489</c:v>
                </c:pt>
                <c:pt idx="823">
                  <c:v>100.67209482663122</c:v>
                </c:pt>
                <c:pt idx="824">
                  <c:v>100.67475208087245</c:v>
                </c:pt>
                <c:pt idx="825">
                  <c:v>100.67019682341602</c:v>
                </c:pt>
                <c:pt idx="826">
                  <c:v>100.66995595696048</c:v>
                </c:pt>
                <c:pt idx="827">
                  <c:v>100.67009573910815</c:v>
                </c:pt>
                <c:pt idx="828">
                  <c:v>100.66758380594082</c:v>
                </c:pt>
                <c:pt idx="829">
                  <c:v>100.65537315170567</c:v>
                </c:pt>
                <c:pt idx="830">
                  <c:v>100.66201364505723</c:v>
                </c:pt>
                <c:pt idx="831">
                  <c:v>100.6658934809723</c:v>
                </c:pt>
                <c:pt idx="832">
                  <c:v>100.66125940548737</c:v>
                </c:pt>
                <c:pt idx="833">
                  <c:v>100.66762113300769</c:v>
                </c:pt>
                <c:pt idx="834">
                  <c:v>100.67773192958008</c:v>
                </c:pt>
                <c:pt idx="835">
                  <c:v>100.6792805482569</c:v>
                </c:pt>
                <c:pt idx="836">
                  <c:v>100.6766617510514</c:v>
                </c:pt>
                <c:pt idx="837">
                  <c:v>100.67556310626405</c:v>
                </c:pt>
                <c:pt idx="838">
                  <c:v>100.6734423697493</c:v>
                </c:pt>
                <c:pt idx="839">
                  <c:v>100.67906321153637</c:v>
                </c:pt>
                <c:pt idx="840">
                  <c:v>100.681985442239</c:v>
                </c:pt>
                <c:pt idx="841">
                  <c:v>100.6856414613424</c:v>
                </c:pt>
                <c:pt idx="842">
                  <c:v>100.68954034140074</c:v>
                </c:pt>
                <c:pt idx="843">
                  <c:v>100.69382741589304</c:v>
                </c:pt>
                <c:pt idx="844">
                  <c:v>100.6992022763071</c:v>
                </c:pt>
                <c:pt idx="845">
                  <c:v>100.69819016059138</c:v>
                </c:pt>
                <c:pt idx="846">
                  <c:v>100.69219570529819</c:v>
                </c:pt>
                <c:pt idx="847">
                  <c:v>100.6932324593222</c:v>
                </c:pt>
                <c:pt idx="848">
                  <c:v>100.69205961143332</c:v>
                </c:pt>
                <c:pt idx="849">
                  <c:v>100.69401731489856</c:v>
                </c:pt>
                <c:pt idx="850">
                  <c:v>100.69237964093637</c:v>
                </c:pt>
                <c:pt idx="851">
                  <c:v>100.69467223683532</c:v>
                </c:pt>
                <c:pt idx="852">
                  <c:v>100.69020644182213</c:v>
                </c:pt>
                <c:pt idx="853">
                  <c:v>100.68944262295082</c:v>
                </c:pt>
                <c:pt idx="854">
                  <c:v>100.69185925463252</c:v>
                </c:pt>
                <c:pt idx="855">
                  <c:v>100.69560634496234</c:v>
                </c:pt>
                <c:pt idx="856">
                  <c:v>100.69456984393138</c:v>
                </c:pt>
                <c:pt idx="857">
                  <c:v>100.70097989695928</c:v>
                </c:pt>
                <c:pt idx="858">
                  <c:v>100.70039727725904</c:v>
                </c:pt>
                <c:pt idx="859">
                  <c:v>100.70561909497762</c:v>
                </c:pt>
                <c:pt idx="860">
                  <c:v>100.70614514047453</c:v>
                </c:pt>
                <c:pt idx="861">
                  <c:v>100.70340681362725</c:v>
                </c:pt>
                <c:pt idx="862">
                  <c:v>100.70721333366305</c:v>
                </c:pt>
                <c:pt idx="863">
                  <c:v>100.70257234726688</c:v>
                </c:pt>
                <c:pt idx="864">
                  <c:v>100.69901110913389</c:v>
                </c:pt>
                <c:pt idx="865">
                  <c:v>100.70310188319667</c:v>
                </c:pt>
                <c:pt idx="866">
                  <c:v>100.70249013744754</c:v>
                </c:pt>
                <c:pt idx="867">
                  <c:v>100.70134194329533</c:v>
                </c:pt>
                <c:pt idx="868">
                  <c:v>100.69920991794325</c:v>
                </c:pt>
                <c:pt idx="869">
                  <c:v>100.70253498480014</c:v>
                </c:pt>
                <c:pt idx="870">
                  <c:v>100.70541401273886</c:v>
                </c:pt>
                <c:pt idx="871">
                  <c:v>100.70474551756814</c:v>
                </c:pt>
                <c:pt idx="872">
                  <c:v>100.70225821053161</c:v>
                </c:pt>
                <c:pt idx="873">
                  <c:v>100.69717121080362</c:v>
                </c:pt>
                <c:pt idx="874">
                  <c:v>100.70216833526186</c:v>
                </c:pt>
                <c:pt idx="875">
                  <c:v>100.70091191552783</c:v>
                </c:pt>
                <c:pt idx="876">
                  <c:v>100.70085901970693</c:v>
                </c:pt>
                <c:pt idx="877">
                  <c:v>100.70371111834038</c:v>
                </c:pt>
                <c:pt idx="878">
                  <c:v>100.70912664291856</c:v>
                </c:pt>
                <c:pt idx="879">
                  <c:v>100.70732189647501</c:v>
                </c:pt>
                <c:pt idx="880">
                  <c:v>100.70390376872484</c:v>
                </c:pt>
                <c:pt idx="881">
                  <c:v>100.69453044375645</c:v>
                </c:pt>
                <c:pt idx="882">
                  <c:v>100.69348659003832</c:v>
                </c:pt>
                <c:pt idx="883">
                  <c:v>100.69981999340821</c:v>
                </c:pt>
                <c:pt idx="884">
                  <c:v>100.69182717334722</c:v>
                </c:pt>
                <c:pt idx="885">
                  <c:v>100.7062107640009</c:v>
                </c:pt>
                <c:pt idx="886">
                  <c:v>100.66990995009618</c:v>
                </c:pt>
                <c:pt idx="887">
                  <c:v>100.6579517550195</c:v>
                </c:pt>
                <c:pt idx="888">
                  <c:v>100.65972122431384</c:v>
                </c:pt>
                <c:pt idx="889">
                  <c:v>100.65824794342618</c:v>
                </c:pt>
                <c:pt idx="890">
                  <c:v>100.66609323443977</c:v>
                </c:pt>
                <c:pt idx="891">
                  <c:v>100.67209482663122</c:v>
                </c:pt>
                <c:pt idx="892">
                  <c:v>100.6719040097542</c:v>
                </c:pt>
                <c:pt idx="893">
                  <c:v>100.67273832886481</c:v>
                </c:pt>
                <c:pt idx="894">
                  <c:v>100.66098783106658</c:v>
                </c:pt>
                <c:pt idx="895">
                  <c:v>100.66853303471444</c:v>
                </c:pt>
                <c:pt idx="896">
                  <c:v>100.66867217014132</c:v>
                </c:pt>
                <c:pt idx="897">
                  <c:v>100.66520571186201</c:v>
                </c:pt>
                <c:pt idx="898">
                  <c:v>100.65916287638898</c:v>
                </c:pt>
                <c:pt idx="899">
                  <c:v>100.66152086906804</c:v>
                </c:pt>
                <c:pt idx="900">
                  <c:v>100.65855346637444</c:v>
                </c:pt>
                <c:pt idx="901">
                  <c:v>100.66342600488942</c:v>
                </c:pt>
                <c:pt idx="902">
                  <c:v>100.6695691002456</c:v>
                </c:pt>
                <c:pt idx="903">
                  <c:v>100.67092829349639</c:v>
                </c:pt>
                <c:pt idx="904">
                  <c:v>100.67122983367118</c:v>
                </c:pt>
                <c:pt idx="905">
                  <c:v>100.67301850317592</c:v>
                </c:pt>
                <c:pt idx="906">
                  <c:v>100.67091000055589</c:v>
                </c:pt>
                <c:pt idx="907">
                  <c:v>100.67463588898049</c:v>
                </c:pt>
                <c:pt idx="908">
                  <c:v>100.68203668394339</c:v>
                </c:pt>
                <c:pt idx="909">
                  <c:v>100.68185726569217</c:v>
                </c:pt>
                <c:pt idx="910">
                  <c:v>100.68177175724345</c:v>
                </c:pt>
                <c:pt idx="911">
                  <c:v>100.68045772272151</c:v>
                </c:pt>
                <c:pt idx="912">
                  <c:v>100.67897619434954</c:v>
                </c:pt>
                <c:pt idx="913">
                  <c:v>100.68055255773797</c:v>
                </c:pt>
                <c:pt idx="914">
                  <c:v>100.68130063793707</c:v>
                </c:pt>
                <c:pt idx="915">
                  <c:v>100.68320222614652</c:v>
                </c:pt>
                <c:pt idx="916">
                  <c:v>100.68430034129693</c:v>
                </c:pt>
                <c:pt idx="917">
                  <c:v>100.6874092457164</c:v>
                </c:pt>
                <c:pt idx="918">
                  <c:v>100.68276933794175</c:v>
                </c:pt>
                <c:pt idx="919">
                  <c:v>100.67910670244193</c:v>
                </c:pt>
                <c:pt idx="920">
                  <c:v>100.67167655704066</c:v>
                </c:pt>
                <c:pt idx="921">
                  <c:v>100.66349296575245</c:v>
                </c:pt>
                <c:pt idx="922">
                  <c:v>100.66620619661131</c:v>
                </c:pt>
                <c:pt idx="923">
                  <c:v>100.65522262019161</c:v>
                </c:pt>
                <c:pt idx="924">
                  <c:v>100.65019056341774</c:v>
                </c:pt>
                <c:pt idx="925">
                  <c:v>100.65000443406545</c:v>
                </c:pt>
                <c:pt idx="926">
                  <c:v>100.64800142702124</c:v>
                </c:pt>
                <c:pt idx="927">
                  <c:v>100.65480043149947</c:v>
                </c:pt>
                <c:pt idx="928">
                  <c:v>100.65376067376302</c:v>
                </c:pt>
                <c:pt idx="929">
                  <c:v>100.64510520951981</c:v>
                </c:pt>
                <c:pt idx="930">
                  <c:v>100.63343653250774</c:v>
                </c:pt>
                <c:pt idx="931">
                  <c:v>100.62739174219537</c:v>
                </c:pt>
                <c:pt idx="932">
                  <c:v>100.63799798208335</c:v>
                </c:pt>
                <c:pt idx="933">
                  <c:v>100.64316390651136</c:v>
                </c:pt>
                <c:pt idx="934">
                  <c:v>100.62662798398033</c:v>
                </c:pt>
                <c:pt idx="935">
                  <c:v>100.62018413370545</c:v>
                </c:pt>
                <c:pt idx="936">
                  <c:v>100.62520971162672</c:v>
                </c:pt>
                <c:pt idx="937">
                  <c:v>100.62541128828144</c:v>
                </c:pt>
                <c:pt idx="938">
                  <c:v>100.634206623826</c:v>
                </c:pt>
                <c:pt idx="939">
                  <c:v>100.63559139454003</c:v>
                </c:pt>
                <c:pt idx="940">
                  <c:v>100.64215552936199</c:v>
                </c:pt>
                <c:pt idx="941">
                  <c:v>100.64047127414065</c:v>
                </c:pt>
                <c:pt idx="942">
                  <c:v>100.6352209008565</c:v>
                </c:pt>
                <c:pt idx="943">
                  <c:v>100.6488209995551</c:v>
                </c:pt>
                <c:pt idx="944">
                  <c:v>100.61030839614259</c:v>
                </c:pt>
                <c:pt idx="945">
                  <c:v>100.60078225099467</c:v>
                </c:pt>
                <c:pt idx="946">
                  <c:v>100.60583261202477</c:v>
                </c:pt>
                <c:pt idx="947">
                  <c:v>100.61069279584389</c:v>
                </c:pt>
                <c:pt idx="948">
                  <c:v>100.61544707525415</c:v>
                </c:pt>
                <c:pt idx="949">
                  <c:v>100.61559689620466</c:v>
                </c:pt>
                <c:pt idx="950">
                  <c:v>100.61812610869215</c:v>
                </c:pt>
                <c:pt idx="951">
                  <c:v>100.60185621090861</c:v>
                </c:pt>
                <c:pt idx="952">
                  <c:v>100.59550408253904</c:v>
                </c:pt>
                <c:pt idx="953">
                  <c:v>100.58934517203107</c:v>
                </c:pt>
                <c:pt idx="954">
                  <c:v>100.59485354503148</c:v>
                </c:pt>
                <c:pt idx="955">
                  <c:v>100.60906029188403</c:v>
                </c:pt>
                <c:pt idx="956">
                  <c:v>100.61134453781513</c:v>
                </c:pt>
                <c:pt idx="957">
                  <c:v>100.60217727303272</c:v>
                </c:pt>
                <c:pt idx="958">
                  <c:v>100.59890240184288</c:v>
                </c:pt>
                <c:pt idx="959">
                  <c:v>100.6022841787034</c:v>
                </c:pt>
                <c:pt idx="960">
                  <c:v>100.60101767451265</c:v>
                </c:pt>
                <c:pt idx="961">
                  <c:v>100.60689265911883</c:v>
                </c:pt>
                <c:pt idx="962">
                  <c:v>100.61181600603258</c:v>
                </c:pt>
                <c:pt idx="963">
                  <c:v>100.61168869502477</c:v>
                </c:pt>
                <c:pt idx="964">
                  <c:v>100.62080450935179</c:v>
                </c:pt>
                <c:pt idx="965">
                  <c:v>100.61907213178046</c:v>
                </c:pt>
                <c:pt idx="966">
                  <c:v>100.61826154242971</c:v>
                </c:pt>
                <c:pt idx="967">
                  <c:v>100.62266556185862</c:v>
                </c:pt>
                <c:pt idx="968">
                  <c:v>100.62118061110222</c:v>
                </c:pt>
                <c:pt idx="969">
                  <c:v>100.61662997021111</c:v>
                </c:pt>
                <c:pt idx="970">
                  <c:v>100.61457078680947</c:v>
                </c:pt>
                <c:pt idx="971">
                  <c:v>100.6140556750766</c:v>
                </c:pt>
                <c:pt idx="972">
                  <c:v>100.6340822696789</c:v>
                </c:pt>
                <c:pt idx="973">
                  <c:v>100.6408529741863</c:v>
                </c:pt>
                <c:pt idx="974">
                  <c:v>100.63847328244275</c:v>
                </c:pt>
                <c:pt idx="975">
                  <c:v>100.64381336301555</c:v>
                </c:pt>
                <c:pt idx="976">
                  <c:v>100.64677804295943</c:v>
                </c:pt>
                <c:pt idx="977">
                  <c:v>100.63670952103341</c:v>
                </c:pt>
                <c:pt idx="978">
                  <c:v>100.63711036871302</c:v>
                </c:pt>
                <c:pt idx="979">
                  <c:v>100.63860570172761</c:v>
                </c:pt>
                <c:pt idx="980">
                  <c:v>100.63638597137768</c:v>
                </c:pt>
                <c:pt idx="981">
                  <c:v>100.64591183683234</c:v>
                </c:pt>
                <c:pt idx="982">
                  <c:v>100.63792048929663</c:v>
                </c:pt>
                <c:pt idx="983">
                  <c:v>100.63479333744603</c:v>
                </c:pt>
                <c:pt idx="984">
                  <c:v>100.6381860408263</c:v>
                </c:pt>
                <c:pt idx="985">
                  <c:v>100.63474827245804</c:v>
                </c:pt>
                <c:pt idx="986">
                  <c:v>100.63840703640362</c:v>
                </c:pt>
                <c:pt idx="987">
                  <c:v>100.63646412232491</c:v>
                </c:pt>
                <c:pt idx="988">
                  <c:v>100.63520966201436</c:v>
                </c:pt>
                <c:pt idx="989">
                  <c:v>100.63544553236036</c:v>
                </c:pt>
                <c:pt idx="990">
                  <c:v>100.6437919311652</c:v>
                </c:pt>
                <c:pt idx="991">
                  <c:v>100.64428421210755</c:v>
                </c:pt>
                <c:pt idx="992">
                  <c:v>100.64917686937764</c:v>
                </c:pt>
                <c:pt idx="993">
                  <c:v>100.64503073002548</c:v>
                </c:pt>
                <c:pt idx="994">
                  <c:v>100.63435347889194</c:v>
                </c:pt>
                <c:pt idx="995">
                  <c:v>100.64117950116677</c:v>
                </c:pt>
                <c:pt idx="996">
                  <c:v>100.63893632593316</c:v>
                </c:pt>
                <c:pt idx="997">
                  <c:v>100.65800115540151</c:v>
                </c:pt>
                <c:pt idx="998">
                  <c:v>100.66677924124733</c:v>
                </c:pt>
                <c:pt idx="999">
                  <c:v>100.66595192416206</c:v>
                </c:pt>
                <c:pt idx="1000">
                  <c:v>100.66732228153975</c:v>
                </c:pt>
                <c:pt idx="1001">
                  <c:v>100.66406963745624</c:v>
                </c:pt>
                <c:pt idx="1002">
                  <c:v>100.66988233982045</c:v>
                </c:pt>
                <c:pt idx="1003">
                  <c:v>100.6708917055815</c:v>
                </c:pt>
                <c:pt idx="1004">
                  <c:v>100.67187673206962</c:v>
                </c:pt>
                <c:pt idx="1005">
                  <c:v>100.66940302674932</c:v>
                </c:pt>
                <c:pt idx="1006">
                  <c:v>100.66983631242854</c:v>
                </c:pt>
                <c:pt idx="1007">
                  <c:v>100.63457917965495</c:v>
                </c:pt>
                <c:pt idx="1008">
                  <c:v>100.63047345588465</c:v>
                </c:pt>
                <c:pt idx="1009">
                  <c:v>100.63</c:v>
                </c:pt>
                <c:pt idx="1010">
                  <c:v>100.63287960063253</c:v>
                </c:pt>
                <c:pt idx="1011">
                  <c:v>100.62171315377488</c:v>
                </c:pt>
                <c:pt idx="1012">
                  <c:v>100.61440760763368</c:v>
                </c:pt>
                <c:pt idx="1013">
                  <c:v>100.62250916626813</c:v>
                </c:pt>
                <c:pt idx="1014">
                  <c:v>100.62090163934427</c:v>
                </c:pt>
                <c:pt idx="1015">
                  <c:v>100.62279779540603</c:v>
                </c:pt>
                <c:pt idx="1016">
                  <c:v>100.61984267137582</c:v>
                </c:pt>
                <c:pt idx="1017">
                  <c:v>100.62626262626263</c:v>
                </c:pt>
                <c:pt idx="1018">
                  <c:v>100.62805893255427</c:v>
                </c:pt>
                <c:pt idx="1019">
                  <c:v>100.62921207566077</c:v>
                </c:pt>
                <c:pt idx="1020">
                  <c:v>100.63712149074415</c:v>
                </c:pt>
                <c:pt idx="1021">
                  <c:v>100.64466852735512</c:v>
                </c:pt>
                <c:pt idx="1022">
                  <c:v>100.64511584689626</c:v>
                </c:pt>
                <c:pt idx="1023">
                  <c:v>100.64607060652258</c:v>
                </c:pt>
                <c:pt idx="1024">
                  <c:v>100.64670426401695</c:v>
                </c:pt>
                <c:pt idx="1025">
                  <c:v>100.64738817082613</c:v>
                </c:pt>
                <c:pt idx="1026">
                  <c:v>100.64434832236941</c:v>
                </c:pt>
                <c:pt idx="1027">
                  <c:v>100.6429325371694</c:v>
                </c:pt>
                <c:pt idx="1028">
                  <c:v>100.64553020777198</c:v>
                </c:pt>
                <c:pt idx="1029">
                  <c:v>100.65362899686978</c:v>
                </c:pt>
                <c:pt idx="1030">
                  <c:v>100.6549915496241</c:v>
                </c:pt>
                <c:pt idx="1031">
                  <c:v>100.65178518910652</c:v>
                </c:pt>
                <c:pt idx="1032">
                  <c:v>100.65077866918358</c:v>
                </c:pt>
                <c:pt idx="1033">
                  <c:v>100.65418540802617</c:v>
                </c:pt>
                <c:pt idx="1034">
                  <c:v>100.65073746312684</c:v>
                </c:pt>
                <c:pt idx="1035">
                  <c:v>100.65775401069519</c:v>
                </c:pt>
                <c:pt idx="1036">
                  <c:v>100.65817887868815</c:v>
                </c:pt>
                <c:pt idx="1037">
                  <c:v>100.65414500204476</c:v>
                </c:pt>
                <c:pt idx="1038">
                  <c:v>100.64094010614102</c:v>
                </c:pt>
                <c:pt idx="1039">
                  <c:v>100.64265234056681</c:v>
                </c:pt>
                <c:pt idx="1040">
                  <c:v>100.64177659445721</c:v>
                </c:pt>
                <c:pt idx="1041">
                  <c:v>100.64250128325131</c:v>
                </c:pt>
                <c:pt idx="1042">
                  <c:v>100.63444379264565</c:v>
                </c:pt>
                <c:pt idx="1043">
                  <c:v>100.63876006834269</c:v>
                </c:pt>
                <c:pt idx="1044">
                  <c:v>100.63456790123456</c:v>
                </c:pt>
                <c:pt idx="1045">
                  <c:v>100.63569230769231</c:v>
                </c:pt>
                <c:pt idx="1046">
                  <c:v>100.64264155499215</c:v>
                </c:pt>
                <c:pt idx="1047">
                  <c:v>100.63513097072419</c:v>
                </c:pt>
                <c:pt idx="1048">
                  <c:v>100.63415010969317</c:v>
                </c:pt>
                <c:pt idx="1049">
                  <c:v>100.63925535480332</c:v>
                </c:pt>
                <c:pt idx="1050">
                  <c:v>100.63221818407729</c:v>
                </c:pt>
                <c:pt idx="1051">
                  <c:v>100.63367470065901</c:v>
                </c:pt>
                <c:pt idx="1052">
                  <c:v>100.63209247405382</c:v>
                </c:pt>
                <c:pt idx="1053">
                  <c:v>100.63279990075672</c:v>
                </c:pt>
                <c:pt idx="1054">
                  <c:v>100.62703962703962</c:v>
                </c:pt>
                <c:pt idx="1055">
                  <c:v>100.6281523821488</c:v>
                </c:pt>
                <c:pt idx="1056">
                  <c:v>100.63314122823326</c:v>
                </c:pt>
                <c:pt idx="1057">
                  <c:v>100.63252638112974</c:v>
                </c:pt>
                <c:pt idx="1058">
                  <c:v>100.62647485645782</c:v>
                </c:pt>
                <c:pt idx="1059">
                  <c:v>100.6330957545708</c:v>
                </c:pt>
                <c:pt idx="1060">
                  <c:v>100.62456796778388</c:v>
                </c:pt>
                <c:pt idx="1061">
                  <c:v>100.61976942098333</c:v>
                </c:pt>
                <c:pt idx="1062">
                  <c:v>100.61364007178985</c:v>
                </c:pt>
                <c:pt idx="1063">
                  <c:v>100.61597093834128</c:v>
                </c:pt>
                <c:pt idx="1064">
                  <c:v>100.61303395757754</c:v>
                </c:pt>
                <c:pt idx="1065">
                  <c:v>100.60906029188403</c:v>
                </c:pt>
                <c:pt idx="1066">
                  <c:v>100.61006455012514</c:v>
                </c:pt>
                <c:pt idx="1067">
                  <c:v>100.61333725221253</c:v>
                </c:pt>
                <c:pt idx="1068">
                  <c:v>100.62452034376685</c:v>
                </c:pt>
                <c:pt idx="1069">
                  <c:v>100.62168897977442</c:v>
                </c:pt>
                <c:pt idx="1070">
                  <c:v>100.62194265278754</c:v>
                </c:pt>
                <c:pt idx="1071">
                  <c:v>100.58754267400543</c:v>
                </c:pt>
                <c:pt idx="1072">
                  <c:v>100.59168189812739</c:v>
                </c:pt>
                <c:pt idx="1073">
                  <c:v>100.59944517744172</c:v>
                </c:pt>
                <c:pt idx="1074">
                  <c:v>100.59744322045424</c:v>
                </c:pt>
                <c:pt idx="1075">
                  <c:v>100.60410606212592</c:v>
                </c:pt>
                <c:pt idx="1076">
                  <c:v>100.61238787402606</c:v>
                </c:pt>
                <c:pt idx="1077">
                  <c:v>100.6127175192987</c:v>
                </c:pt>
                <c:pt idx="1078">
                  <c:v>100.60899573990291</c:v>
                </c:pt>
                <c:pt idx="1079">
                  <c:v>100.60070147038985</c:v>
                </c:pt>
                <c:pt idx="1080">
                  <c:v>100.60086299892126</c:v>
                </c:pt>
                <c:pt idx="1081">
                  <c:v>100.6051490695658</c:v>
                </c:pt>
                <c:pt idx="1082">
                  <c:v>100.61194323358788</c:v>
                </c:pt>
                <c:pt idx="1083">
                  <c:v>100.62052498317361</c:v>
                </c:pt>
                <c:pt idx="1084">
                  <c:v>100.61991589355077</c:v>
                </c:pt>
                <c:pt idx="1085">
                  <c:v>100.62588473205258</c:v>
                </c:pt>
                <c:pt idx="1086">
                  <c:v>100.63882618510158</c:v>
                </c:pt>
                <c:pt idx="1087">
                  <c:v>100.63349326729609</c:v>
                </c:pt>
                <c:pt idx="1088">
                  <c:v>100.63561382451606</c:v>
                </c:pt>
                <c:pt idx="1089">
                  <c:v>100.63741042445029</c:v>
                </c:pt>
                <c:pt idx="1090">
                  <c:v>100.64179826949839</c:v>
                </c:pt>
                <c:pt idx="1091">
                  <c:v>100.64404894327031</c:v>
                </c:pt>
                <c:pt idx="1092">
                  <c:v>100.64724109164581</c:v>
                </c:pt>
                <c:pt idx="1093">
                  <c:v>100.64660936007641</c:v>
                </c:pt>
                <c:pt idx="1094">
                  <c:v>100.64505201307072</c:v>
                </c:pt>
                <c:pt idx="1095">
                  <c:v>100.65036617056461</c:v>
                </c:pt>
                <c:pt idx="1096">
                  <c:v>100.63680981595093</c:v>
                </c:pt>
                <c:pt idx="1097">
                  <c:v>100.63715485274739</c:v>
                </c:pt>
                <c:pt idx="1098">
                  <c:v>100.62590837282781</c:v>
                </c:pt>
                <c:pt idx="1099">
                  <c:v>100.6264159278074</c:v>
                </c:pt>
                <c:pt idx="1100">
                  <c:v>100.62127754853981</c:v>
                </c:pt>
                <c:pt idx="1101">
                  <c:v>100.61387946777981</c:v>
                </c:pt>
                <c:pt idx="1102">
                  <c:v>100.62112</c:v>
                </c:pt>
                <c:pt idx="1103">
                  <c:v>100.6128694742349</c:v>
                </c:pt>
                <c:pt idx="1104">
                  <c:v>100.61478396668402</c:v>
                </c:pt>
                <c:pt idx="1105">
                  <c:v>100.6147338279318</c:v>
                </c:pt>
                <c:pt idx="1106">
                  <c:v>100.6131603881465</c:v>
                </c:pt>
                <c:pt idx="1107">
                  <c:v>100.59872568291195</c:v>
                </c:pt>
                <c:pt idx="1108">
                  <c:v>100.60385438972163</c:v>
                </c:pt>
                <c:pt idx="1109">
                  <c:v>100.60232425351829</c:v>
                </c:pt>
                <c:pt idx="1110">
                  <c:v>100.6052017339113</c:v>
                </c:pt>
                <c:pt idx="1111">
                  <c:v>100.61375350688328</c:v>
                </c:pt>
                <c:pt idx="1112">
                  <c:v>100.61343193430955</c:v>
                </c:pt>
                <c:pt idx="1113">
                  <c:v>100.60927960927961</c:v>
                </c:pt>
                <c:pt idx="1114">
                  <c:v>100.61694004982368</c:v>
                </c:pt>
                <c:pt idx="1115">
                  <c:v>100.62056146647866</c:v>
                </c:pt>
                <c:pt idx="1116">
                  <c:v>100.61843377376732</c:v>
                </c:pt>
                <c:pt idx="1117">
                  <c:v>100.61849524730144</c:v>
                </c:pt>
                <c:pt idx="1118">
                  <c:v>100.61623233501879</c:v>
                </c:pt>
                <c:pt idx="1119">
                  <c:v>100.60819352063271</c:v>
                </c:pt>
                <c:pt idx="1120">
                  <c:v>100.59903823360087</c:v>
                </c:pt>
                <c:pt idx="1121">
                  <c:v>100.60324375041887</c:v>
                </c:pt>
                <c:pt idx="1122">
                  <c:v>100.60593756240431</c:v>
                </c:pt>
                <c:pt idx="1123">
                  <c:v>100.60125282053009</c:v>
                </c:pt>
                <c:pt idx="1124">
                  <c:v>100.59369959850383</c:v>
                </c:pt>
                <c:pt idx="1125">
                  <c:v>100.59829001832124</c:v>
                </c:pt>
                <c:pt idx="1126">
                  <c:v>100.59627646878303</c:v>
                </c:pt>
                <c:pt idx="1127">
                  <c:v>100.58738456177035</c:v>
                </c:pt>
                <c:pt idx="1128">
                  <c:v>100.59276329366445</c:v>
                </c:pt>
                <c:pt idx="1129">
                  <c:v>100.59093421779988</c:v>
                </c:pt>
                <c:pt idx="1130">
                  <c:v>100.60168208578638</c:v>
                </c:pt>
                <c:pt idx="1131">
                  <c:v>100.61845836555813</c:v>
                </c:pt>
                <c:pt idx="1132">
                  <c:v>100.62098658727872</c:v>
                </c:pt>
                <c:pt idx="1133">
                  <c:v>100.61764515920687</c:v>
                </c:pt>
                <c:pt idx="1134">
                  <c:v>100.61401792991035</c:v>
                </c:pt>
                <c:pt idx="1135">
                  <c:v>100.61041097693396</c:v>
                </c:pt>
                <c:pt idx="1136">
                  <c:v>100.62024504458272</c:v>
                </c:pt>
                <c:pt idx="1137">
                  <c:v>100.66603672467774</c:v>
                </c:pt>
                <c:pt idx="1138">
                  <c:v>100.67514473070486</c:v>
                </c:pt>
                <c:pt idx="1139">
                  <c:v>100.67432265162977</c:v>
                </c:pt>
                <c:pt idx="1140">
                  <c:v>100.67539410555175</c:v>
                </c:pt>
                <c:pt idx="1141">
                  <c:v>100.68332932145819</c:v>
                </c:pt>
                <c:pt idx="1142">
                  <c:v>100.68365929250828</c:v>
                </c:pt>
                <c:pt idx="1143">
                  <c:v>100.68048359240069</c:v>
                </c:pt>
                <c:pt idx="1144">
                  <c:v>100.68256947144063</c:v>
                </c:pt>
                <c:pt idx="1145">
                  <c:v>100.68438449645465</c:v>
                </c:pt>
                <c:pt idx="1146">
                  <c:v>100.68608319855768</c:v>
                </c:pt>
                <c:pt idx="1147">
                  <c:v>100.68991435979362</c:v>
                </c:pt>
                <c:pt idx="1148">
                  <c:v>100.68462829289082</c:v>
                </c:pt>
                <c:pt idx="1149">
                  <c:v>100.68288828775745</c:v>
                </c:pt>
                <c:pt idx="1150">
                  <c:v>100.6875948231507</c:v>
                </c:pt>
                <c:pt idx="1151">
                  <c:v>100.69139342125841</c:v>
                </c:pt>
                <c:pt idx="1152">
                  <c:v>100.68853580259905</c:v>
                </c:pt>
                <c:pt idx="1153">
                  <c:v>100.68726062495047</c:v>
                </c:pt>
                <c:pt idx="1154">
                  <c:v>100.69276279938759</c:v>
                </c:pt>
                <c:pt idx="1155">
                  <c:v>100.69230769230769</c:v>
                </c:pt>
                <c:pt idx="1156">
                  <c:v>100.68855218855219</c:v>
                </c:pt>
                <c:pt idx="1157">
                  <c:v>100.69298984843967</c:v>
                </c:pt>
                <c:pt idx="1158">
                  <c:v>100.69215569017966</c:v>
                </c:pt>
                <c:pt idx="1159">
                  <c:v>100.69063545150502</c:v>
                </c:pt>
                <c:pt idx="1160">
                  <c:v>100.6947116004435</c:v>
                </c:pt>
                <c:pt idx="1161">
                  <c:v>100.68849483017181</c:v>
                </c:pt>
                <c:pt idx="1162">
                  <c:v>100.687235841082</c:v>
                </c:pt>
                <c:pt idx="1163">
                  <c:v>100.67957565424481</c:v>
                </c:pt>
                <c:pt idx="1164">
                  <c:v>100.67682943472445</c:v>
                </c:pt>
                <c:pt idx="1165">
                  <c:v>100.68362548097477</c:v>
                </c:pt>
                <c:pt idx="1166">
                  <c:v>100.68050083652652</c:v>
                </c:pt>
                <c:pt idx="1167">
                  <c:v>100.68287130038837</c:v>
                </c:pt>
                <c:pt idx="1168">
                  <c:v>100.6816519681652</c:v>
                </c:pt>
                <c:pt idx="1169">
                  <c:v>100.68438028976236</c:v>
                </c:pt>
                <c:pt idx="1170">
                  <c:v>100.68277783731648</c:v>
                </c:pt>
                <c:pt idx="1171">
                  <c:v>100.68717799677667</c:v>
                </c:pt>
                <c:pt idx="1172">
                  <c:v>100.68435925461864</c:v>
                </c:pt>
                <c:pt idx="1173">
                  <c:v>100.68349862332593</c:v>
                </c:pt>
                <c:pt idx="1174">
                  <c:v>100.68082812163037</c:v>
                </c:pt>
                <c:pt idx="1175">
                  <c:v>100.67769157479243</c:v>
                </c:pt>
                <c:pt idx="1176">
                  <c:v>100.68048359240069</c:v>
                </c:pt>
                <c:pt idx="1177">
                  <c:v>100.68392108705518</c:v>
                </c:pt>
                <c:pt idx="1178">
                  <c:v>100.68180596613813</c:v>
                </c:pt>
                <c:pt idx="1179">
                  <c:v>100.68022038865107</c:v>
                </c:pt>
                <c:pt idx="1180">
                  <c:v>100.68193418401611</c:v>
                </c:pt>
                <c:pt idx="1181">
                  <c:v>100.68597496286866</c:v>
                </c:pt>
                <c:pt idx="1182">
                  <c:v>100.68376913009801</c:v>
                </c:pt>
                <c:pt idx="1183">
                  <c:v>100.6894018887723</c:v>
                </c:pt>
                <c:pt idx="1184">
                  <c:v>100.69129686603745</c:v>
                </c:pt>
                <c:pt idx="1185">
                  <c:v>100.6905788579642</c:v>
                </c:pt>
                <c:pt idx="1186">
                  <c:v>100.69034417826133</c:v>
                </c:pt>
                <c:pt idx="1187">
                  <c:v>100.6925553737893</c:v>
                </c:pt>
                <c:pt idx="1188">
                  <c:v>100.69122440996219</c:v>
                </c:pt>
                <c:pt idx="1189">
                  <c:v>100.69329603149933</c:v>
                </c:pt>
                <c:pt idx="1190">
                  <c:v>100.68473745872829</c:v>
                </c:pt>
                <c:pt idx="1191">
                  <c:v>100.69602834330313</c:v>
                </c:pt>
                <c:pt idx="1192">
                  <c:v>100.69732603916356</c:v>
                </c:pt>
                <c:pt idx="1193">
                  <c:v>100.69625448948179</c:v>
                </c:pt>
                <c:pt idx="1194">
                  <c:v>100.69640247185825</c:v>
                </c:pt>
                <c:pt idx="1195">
                  <c:v>100.73399236126713</c:v>
                </c:pt>
                <c:pt idx="1196">
                  <c:v>100.73002553812478</c:v>
                </c:pt>
                <c:pt idx="1197">
                  <c:v>100.72420861382219</c:v>
                </c:pt>
                <c:pt idx="1198">
                  <c:v>100.72424715280528</c:v>
                </c:pt>
                <c:pt idx="1199">
                  <c:v>100.71928493527432</c:v>
                </c:pt>
                <c:pt idx="1200">
                  <c:v>100.72000851325467</c:v>
                </c:pt>
                <c:pt idx="1201">
                  <c:v>100.72012102874433</c:v>
                </c:pt>
                <c:pt idx="1202">
                  <c:v>100.7188917115791</c:v>
                </c:pt>
                <c:pt idx="1203">
                  <c:v>100.71748985922214</c:v>
                </c:pt>
                <c:pt idx="1204">
                  <c:v>100.72263868065967</c:v>
                </c:pt>
                <c:pt idx="1205">
                  <c:v>100.72699393576056</c:v>
                </c:pt>
                <c:pt idx="1206">
                  <c:v>100.7264641330715</c:v>
                </c:pt>
                <c:pt idx="1207">
                  <c:v>100.72530277017307</c:v>
                </c:pt>
                <c:pt idx="1208">
                  <c:v>100.72263218310025</c:v>
                </c:pt>
                <c:pt idx="1209">
                  <c:v>100.72610345146664</c:v>
                </c:pt>
                <c:pt idx="1210">
                  <c:v>100.72206572769953</c:v>
                </c:pt>
                <c:pt idx="1211">
                  <c:v>100.72156899633148</c:v>
                </c:pt>
                <c:pt idx="1212">
                  <c:v>100.71923833914302</c:v>
                </c:pt>
                <c:pt idx="1213">
                  <c:v>100.72066248289529</c:v>
                </c:pt>
                <c:pt idx="1214">
                  <c:v>100.72569098533467</c:v>
                </c:pt>
                <c:pt idx="1215">
                  <c:v>100.72312513153895</c:v>
                </c:pt>
                <c:pt idx="1216">
                  <c:v>100.72171951018873</c:v>
                </c:pt>
                <c:pt idx="1217">
                  <c:v>100.72555746140652</c:v>
                </c:pt>
                <c:pt idx="1218">
                  <c:v>100.72243711465879</c:v>
                </c:pt>
                <c:pt idx="1219">
                  <c:v>100.72415721175128</c:v>
                </c:pt>
                <c:pt idx="1220">
                  <c:v>100.72523902348463</c:v>
                </c:pt>
                <c:pt idx="1221">
                  <c:v>100.72528364927261</c:v>
                </c:pt>
                <c:pt idx="1222">
                  <c:v>100.72880734785497</c:v>
                </c:pt>
                <c:pt idx="1223">
                  <c:v>100.72514972839964</c:v>
                </c:pt>
                <c:pt idx="1224">
                  <c:v>100.72268415505329</c:v>
                </c:pt>
                <c:pt idx="1225">
                  <c:v>100.72042502951594</c:v>
                </c:pt>
                <c:pt idx="1226">
                  <c:v>100.72172605057817</c:v>
                </c:pt>
                <c:pt idx="1227">
                  <c:v>100.72514334795831</c:v>
                </c:pt>
                <c:pt idx="1228">
                  <c:v>100.72653994503084</c:v>
                </c:pt>
                <c:pt idx="1229">
                  <c:v>100.72459992556755</c:v>
                </c:pt>
                <c:pt idx="1230">
                  <c:v>100.72053721056483</c:v>
                </c:pt>
                <c:pt idx="1231">
                  <c:v>100.72288536254271</c:v>
                </c:pt>
                <c:pt idx="1232">
                  <c:v>100.72324162595545</c:v>
                </c:pt>
                <c:pt idx="1233">
                  <c:v>100.730535515146</c:v>
                </c:pt>
                <c:pt idx="1234">
                  <c:v>100.72776602593581</c:v>
                </c:pt>
                <c:pt idx="1235">
                  <c:v>100.72862087143872</c:v>
                </c:pt>
                <c:pt idx="1236">
                  <c:v>100.73452319558734</c:v>
                </c:pt>
                <c:pt idx="1237">
                  <c:v>100.73142183104981</c:v>
                </c:pt>
                <c:pt idx="1238">
                  <c:v>100.73097023403771</c:v>
                </c:pt>
                <c:pt idx="1239">
                  <c:v>100.729742068021</c:v>
                </c:pt>
                <c:pt idx="1240">
                  <c:v>100.7245614851347</c:v>
                </c:pt>
                <c:pt idx="1241">
                  <c:v>100.72724550208483</c:v>
                </c:pt>
                <c:pt idx="1242">
                  <c:v>100.72930336770388</c:v>
                </c:pt>
                <c:pt idx="1243">
                  <c:v>100.7295012679628</c:v>
                </c:pt>
                <c:pt idx="1244">
                  <c:v>100.72846527841483</c:v>
                </c:pt>
                <c:pt idx="1245">
                  <c:v>100.72888807473896</c:v>
                </c:pt>
                <c:pt idx="1246">
                  <c:v>100.72445892483128</c:v>
                </c:pt>
                <c:pt idx="1247">
                  <c:v>100.72743387278713</c:v>
                </c:pt>
                <c:pt idx="1248">
                  <c:v>100.73303871389597</c:v>
                </c:pt>
                <c:pt idx="1249">
                  <c:v>100.74010580152337</c:v>
                </c:pt>
                <c:pt idx="1250">
                  <c:v>100.74568808127671</c:v>
                </c:pt>
                <c:pt idx="1251">
                  <c:v>100.74327283765911</c:v>
                </c:pt>
                <c:pt idx="1252">
                  <c:v>100.7509884748044</c:v>
                </c:pt>
                <c:pt idx="1253">
                  <c:v>100.75487049957557</c:v>
                </c:pt>
                <c:pt idx="1254">
                  <c:v>100.75742675681212</c:v>
                </c:pt>
                <c:pt idx="1255">
                  <c:v>100.75737704918033</c:v>
                </c:pt>
                <c:pt idx="1256">
                  <c:v>100.75751121305835</c:v>
                </c:pt>
                <c:pt idx="1257">
                  <c:v>100.75444854618607</c:v>
                </c:pt>
                <c:pt idx="1258">
                  <c:v>100.77635903441502</c:v>
                </c:pt>
                <c:pt idx="1259">
                  <c:v>100.77719651493197</c:v>
                </c:pt>
                <c:pt idx="1260">
                  <c:v>100.77491778035473</c:v>
                </c:pt>
                <c:pt idx="1261">
                  <c:v>100.77618147448015</c:v>
                </c:pt>
                <c:pt idx="1262">
                  <c:v>100.77941724420597</c:v>
                </c:pt>
                <c:pt idx="1263">
                  <c:v>100.77916627809381</c:v>
                </c:pt>
                <c:pt idx="1264">
                  <c:v>100.77870399790666</c:v>
                </c:pt>
                <c:pt idx="1265">
                  <c:v>100.77740176724949</c:v>
                </c:pt>
                <c:pt idx="1266">
                  <c:v>100.77951993445187</c:v>
                </c:pt>
                <c:pt idx="1267">
                  <c:v>100.77637593019303</c:v>
                </c:pt>
                <c:pt idx="1268">
                  <c:v>100.77344916000153</c:v>
                </c:pt>
                <c:pt idx="1269">
                  <c:v>100.77404580152671</c:v>
                </c:pt>
                <c:pt idx="1270">
                  <c:v>100.77552800212338</c:v>
                </c:pt>
                <c:pt idx="1271">
                  <c:v>100.77486642201137</c:v>
                </c:pt>
                <c:pt idx="1272">
                  <c:v>100.77646037080392</c:v>
                </c:pt>
                <c:pt idx="1273">
                  <c:v>100.77724262492474</c:v>
                </c:pt>
                <c:pt idx="1274">
                  <c:v>100.77878255670565</c:v>
                </c:pt>
                <c:pt idx="1275">
                  <c:v>100.77869986168741</c:v>
                </c:pt>
                <c:pt idx="1276">
                  <c:v>100.77782781655783</c:v>
                </c:pt>
                <c:pt idx="1277">
                  <c:v>100.77044476327116</c:v>
                </c:pt>
                <c:pt idx="1278">
                  <c:v>100.76055170182215</c:v>
                </c:pt>
                <c:pt idx="1279">
                  <c:v>100.74448065261022</c:v>
                </c:pt>
                <c:pt idx="1280">
                  <c:v>100.74612432189035</c:v>
                </c:pt>
                <c:pt idx="1281">
                  <c:v>100.76356411126865</c:v>
                </c:pt>
                <c:pt idx="1282">
                  <c:v>100.77159172019985</c:v>
                </c:pt>
                <c:pt idx="1283">
                  <c:v>100.77143298391923</c:v>
                </c:pt>
                <c:pt idx="1284">
                  <c:v>100.76915128000157</c:v>
                </c:pt>
                <c:pt idx="1285">
                  <c:v>100.76154992548435</c:v>
                </c:pt>
                <c:pt idx="1286">
                  <c:v>100.76809323278817</c:v>
                </c:pt>
                <c:pt idx="1287">
                  <c:v>100.76541448724045</c:v>
                </c:pt>
                <c:pt idx="1288">
                  <c:v>100.7627254509018</c:v>
                </c:pt>
                <c:pt idx="1289">
                  <c:v>100.77122541252849</c:v>
                </c:pt>
                <c:pt idx="1290">
                  <c:v>100.77093772369363</c:v>
                </c:pt>
                <c:pt idx="1291">
                  <c:v>100.77328431372548</c:v>
                </c:pt>
                <c:pt idx="1292">
                  <c:v>100.77636748262314</c:v>
                </c:pt>
                <c:pt idx="1293">
                  <c:v>100.77291035329318</c:v>
                </c:pt>
                <c:pt idx="1294">
                  <c:v>100.773340735494</c:v>
                </c:pt>
                <c:pt idx="1295">
                  <c:v>100.77549820815715</c:v>
                </c:pt>
                <c:pt idx="1296">
                  <c:v>100.78028095830163</c:v>
                </c:pt>
                <c:pt idx="1297">
                  <c:v>100.78084625920853</c:v>
                </c:pt>
                <c:pt idx="1298">
                  <c:v>100.78409526067215</c:v>
                </c:pt>
                <c:pt idx="1299">
                  <c:v>100.78008915304606</c:v>
                </c:pt>
                <c:pt idx="1300">
                  <c:v>100.77913332214077</c:v>
                </c:pt>
                <c:pt idx="1301">
                  <c:v>100.77817330210773</c:v>
                </c:pt>
                <c:pt idx="1302">
                  <c:v>100.77415355269433</c:v>
                </c:pt>
                <c:pt idx="1303">
                  <c:v>100.76510732849263</c:v>
                </c:pt>
                <c:pt idx="1304">
                  <c:v>100.7613240066926</c:v>
                </c:pt>
                <c:pt idx="1305">
                  <c:v>100.76870030670652</c:v>
                </c:pt>
                <c:pt idx="1306">
                  <c:v>100.77262252266092</c:v>
                </c:pt>
                <c:pt idx="1307">
                  <c:v>100.77766928305854</c:v>
                </c:pt>
                <c:pt idx="1308">
                  <c:v>100.78222483814008</c:v>
                </c:pt>
                <c:pt idx="1309">
                  <c:v>100.77971273349706</c:v>
                </c:pt>
                <c:pt idx="1310">
                  <c:v>100.78152563014356</c:v>
                </c:pt>
                <c:pt idx="1311">
                  <c:v>100.77792782654363</c:v>
                </c:pt>
                <c:pt idx="1312">
                  <c:v>100.78065950351983</c:v>
                </c:pt>
                <c:pt idx="1313">
                  <c:v>100.7848016139879</c:v>
                </c:pt>
                <c:pt idx="1314">
                  <c:v>100.78429586445618</c:v>
                </c:pt>
                <c:pt idx="1315">
                  <c:v>100.78268450709396</c:v>
                </c:pt>
                <c:pt idx="1316">
                  <c:v>100.78948865656781</c:v>
                </c:pt>
                <c:pt idx="1317">
                  <c:v>100.79255729203167</c:v>
                </c:pt>
                <c:pt idx="1318">
                  <c:v>100.79342231527524</c:v>
                </c:pt>
                <c:pt idx="1319">
                  <c:v>100.78890315218942</c:v>
                </c:pt>
                <c:pt idx="1320">
                  <c:v>100.78696223257822</c:v>
                </c:pt>
                <c:pt idx="1321">
                  <c:v>100.79003741731836</c:v>
                </c:pt>
                <c:pt idx="1322">
                  <c:v>100.80234712785671</c:v>
                </c:pt>
                <c:pt idx="1323">
                  <c:v>100.80545833949492</c:v>
                </c:pt>
                <c:pt idx="1324">
                  <c:v>100.80622248408373</c:v>
                </c:pt>
                <c:pt idx="1325">
                  <c:v>100.8081348241776</c:v>
                </c:pt>
                <c:pt idx="1326">
                  <c:v>100.8110286489506</c:v>
                </c:pt>
                <c:pt idx="1327">
                  <c:v>100.81083240134207</c:v>
                </c:pt>
                <c:pt idx="1328">
                  <c:v>100.81156998488103</c:v>
                </c:pt>
                <c:pt idx="1329">
                  <c:v>100.81065391565784</c:v>
                </c:pt>
                <c:pt idx="1330">
                  <c:v>100.81527420235588</c:v>
                </c:pt>
                <c:pt idx="1331">
                  <c:v>100.81941584686952</c:v>
                </c:pt>
                <c:pt idx="1332">
                  <c:v>100.82043465732441</c:v>
                </c:pt>
                <c:pt idx="1333">
                  <c:v>100.81937176768524</c:v>
                </c:pt>
                <c:pt idx="1334">
                  <c:v>100.82051903953432</c:v>
                </c:pt>
                <c:pt idx="1335">
                  <c:v>100.82413665057557</c:v>
                </c:pt>
                <c:pt idx="1336">
                  <c:v>100.82211538461539</c:v>
                </c:pt>
                <c:pt idx="1337">
                  <c:v>100.81567681170701</c:v>
                </c:pt>
                <c:pt idx="1338">
                  <c:v>100.81723036075392</c:v>
                </c:pt>
                <c:pt idx="1339">
                  <c:v>100.81594901290222</c:v>
                </c:pt>
                <c:pt idx="1340">
                  <c:v>100.82156313108479</c:v>
                </c:pt>
                <c:pt idx="1341">
                  <c:v>100.82095059506707</c:v>
                </c:pt>
                <c:pt idx="1342">
                  <c:v>100.82287381255142</c:v>
                </c:pt>
                <c:pt idx="1343">
                  <c:v>100.82562335233214</c:v>
                </c:pt>
                <c:pt idx="1344">
                  <c:v>100.82358638158385</c:v>
                </c:pt>
                <c:pt idx="1345">
                  <c:v>100.82468090147185</c:v>
                </c:pt>
                <c:pt idx="1346">
                  <c:v>100.82413926269197</c:v>
                </c:pt>
                <c:pt idx="1347">
                  <c:v>100.82190132370638</c:v>
                </c:pt>
                <c:pt idx="1348">
                  <c:v>100.82564132771773</c:v>
                </c:pt>
                <c:pt idx="1349">
                  <c:v>100.82485466191329</c:v>
                </c:pt>
                <c:pt idx="1350">
                  <c:v>100.82228893058161</c:v>
                </c:pt>
                <c:pt idx="1351">
                  <c:v>100.82397716460514</c:v>
                </c:pt>
                <c:pt idx="1352">
                  <c:v>100.82323873221564</c:v>
                </c:pt>
                <c:pt idx="1353">
                  <c:v>100.82519599013774</c:v>
                </c:pt>
                <c:pt idx="1354">
                  <c:v>100.82189864468479</c:v>
                </c:pt>
                <c:pt idx="1355">
                  <c:v>100.8212344486049</c:v>
                </c:pt>
                <c:pt idx="1356">
                  <c:v>100.81504334921503</c:v>
                </c:pt>
                <c:pt idx="1357">
                  <c:v>100.82003617516074</c:v>
                </c:pt>
                <c:pt idx="1358">
                  <c:v>100.82023563707033</c:v>
                </c:pt>
                <c:pt idx="1359">
                  <c:v>100.82479245897272</c:v>
                </c:pt>
                <c:pt idx="1360">
                  <c:v>100.82345485722806</c:v>
                </c:pt>
                <c:pt idx="1361">
                  <c:v>100.82172433523053</c:v>
                </c:pt>
                <c:pt idx="1362">
                  <c:v>100.82182359934387</c:v>
                </c:pt>
                <c:pt idx="1363">
                  <c:v>100.82145819196261</c:v>
                </c:pt>
                <c:pt idx="1364">
                  <c:v>100.82160614735574</c:v>
                </c:pt>
                <c:pt idx="1365">
                  <c:v>100.82136121546795</c:v>
                </c:pt>
                <c:pt idx="1366">
                  <c:v>100.82464454976304</c:v>
                </c:pt>
                <c:pt idx="1367">
                  <c:v>100.8293874374973</c:v>
                </c:pt>
                <c:pt idx="1368">
                  <c:v>100.82817420581364</c:v>
                </c:pt>
                <c:pt idx="1369">
                  <c:v>100.82482356596488</c:v>
                </c:pt>
                <c:pt idx="1370">
                  <c:v>100.81412581045228</c:v>
                </c:pt>
                <c:pt idx="1371">
                  <c:v>100.81318733334385</c:v>
                </c:pt>
                <c:pt idx="1372">
                  <c:v>100.81285070734214</c:v>
                </c:pt>
                <c:pt idx="1373">
                  <c:v>100.80524393854657</c:v>
                </c:pt>
                <c:pt idx="1374">
                  <c:v>100.80495840540318</c:v>
                </c:pt>
                <c:pt idx="1375">
                  <c:v>100.808333603134</c:v>
                </c:pt>
                <c:pt idx="1376">
                  <c:v>100.80838013238602</c:v>
                </c:pt>
                <c:pt idx="1377">
                  <c:v>100.79649713824101</c:v>
                </c:pt>
                <c:pt idx="1378">
                  <c:v>100.80033726812816</c:v>
                </c:pt>
                <c:pt idx="1379">
                  <c:v>100.7923462766144</c:v>
                </c:pt>
                <c:pt idx="1380">
                  <c:v>100.79390057095112</c:v>
                </c:pt>
                <c:pt idx="1381">
                  <c:v>100.79292372807248</c:v>
                </c:pt>
                <c:pt idx="1382">
                  <c:v>100.79409411846544</c:v>
                </c:pt>
                <c:pt idx="1383">
                  <c:v>100.80146886213488</c:v>
                </c:pt>
                <c:pt idx="1384">
                  <c:v>100.80151878363201</c:v>
                </c:pt>
                <c:pt idx="1385">
                  <c:v>100.80307692307693</c:v>
                </c:pt>
                <c:pt idx="1386">
                  <c:v>100.79703437044655</c:v>
                </c:pt>
                <c:pt idx="1387">
                  <c:v>100.8136460218777</c:v>
                </c:pt>
                <c:pt idx="1388">
                  <c:v>100.79829642248723</c:v>
                </c:pt>
                <c:pt idx="1389">
                  <c:v>100.79401889319949</c:v>
                </c:pt>
                <c:pt idx="1390">
                  <c:v>100.7855460967216</c:v>
                </c:pt>
                <c:pt idx="1391">
                  <c:v>100.77705387237087</c:v>
                </c:pt>
                <c:pt idx="1392">
                  <c:v>100.7792115764741</c:v>
                </c:pt>
                <c:pt idx="1393">
                  <c:v>100.76420448887738</c:v>
                </c:pt>
                <c:pt idx="1394">
                  <c:v>100.75742675681212</c:v>
                </c:pt>
                <c:pt idx="1395">
                  <c:v>100.75439251560977</c:v>
                </c:pt>
                <c:pt idx="1396">
                  <c:v>100.75860381666938</c:v>
                </c:pt>
                <c:pt idx="1397">
                  <c:v>100.76499543487753</c:v>
                </c:pt>
                <c:pt idx="1398">
                  <c:v>100.76650627119982</c:v>
                </c:pt>
                <c:pt idx="1399">
                  <c:v>100.77278833237382</c:v>
                </c:pt>
                <c:pt idx="1400">
                  <c:v>100.77831866691631</c:v>
                </c:pt>
                <c:pt idx="1401">
                  <c:v>100.77447619047619</c:v>
                </c:pt>
                <c:pt idx="1402">
                  <c:v>100.77865021499346</c:v>
                </c:pt>
                <c:pt idx="1403">
                  <c:v>100.78838248436104</c:v>
                </c:pt>
                <c:pt idx="1404">
                  <c:v>100.7858718848338</c:v>
                </c:pt>
                <c:pt idx="1405">
                  <c:v>100.78629701826583</c:v>
                </c:pt>
                <c:pt idx="1406">
                  <c:v>100.78672430874538</c:v>
                </c:pt>
                <c:pt idx="1407">
                  <c:v>100.78675503845254</c:v>
                </c:pt>
                <c:pt idx="1408">
                  <c:v>100.78570911460218</c:v>
                </c:pt>
                <c:pt idx="1409">
                  <c:v>100.79552362531086</c:v>
                </c:pt>
                <c:pt idx="1410">
                  <c:v>100.79593595422347</c:v>
                </c:pt>
                <c:pt idx="1411">
                  <c:v>100.79497480475852</c:v>
                </c:pt>
                <c:pt idx="1412">
                  <c:v>100.79413707966756</c:v>
                </c:pt>
                <c:pt idx="1413">
                  <c:v>100.78962331201137</c:v>
                </c:pt>
                <c:pt idx="1414">
                  <c:v>100.78866954628208</c:v>
                </c:pt>
                <c:pt idx="1415">
                  <c:v>100.78837113696892</c:v>
                </c:pt>
                <c:pt idx="1416">
                  <c:v>100.78816667561233</c:v>
                </c:pt>
                <c:pt idx="1417">
                  <c:v>100.79213848071487</c:v>
                </c:pt>
                <c:pt idx="1418">
                  <c:v>100.79350157838743</c:v>
                </c:pt>
                <c:pt idx="1419">
                  <c:v>100.79480780562199</c:v>
                </c:pt>
                <c:pt idx="1420">
                  <c:v>100.79382520417225</c:v>
                </c:pt>
                <c:pt idx="1421">
                  <c:v>100.78835978835978</c:v>
                </c:pt>
                <c:pt idx="1422">
                  <c:v>100.78553832777858</c:v>
                </c:pt>
                <c:pt idx="1423">
                  <c:v>100.78627387270299</c:v>
                </c:pt>
                <c:pt idx="1424">
                  <c:v>100.78875249785898</c:v>
                </c:pt>
                <c:pt idx="1425">
                  <c:v>100.7921457788389</c:v>
                </c:pt>
                <c:pt idx="1426">
                  <c:v>100.79689510249592</c:v>
                </c:pt>
                <c:pt idx="1427">
                  <c:v>100.79581630365426</c:v>
                </c:pt>
                <c:pt idx="1428">
                  <c:v>100.80062641026504</c:v>
                </c:pt>
                <c:pt idx="1429">
                  <c:v>100.80223487948687</c:v>
                </c:pt>
                <c:pt idx="1430">
                  <c:v>100.80055252341486</c:v>
                </c:pt>
                <c:pt idx="1431">
                  <c:v>100.80217209690893</c:v>
                </c:pt>
                <c:pt idx="1432">
                  <c:v>100.80040122051956</c:v>
                </c:pt>
                <c:pt idx="1433">
                  <c:v>100.79800047770158</c:v>
                </c:pt>
                <c:pt idx="1434">
                  <c:v>100.80334839224024</c:v>
                </c:pt>
                <c:pt idx="1435">
                  <c:v>100.79980724684241</c:v>
                </c:pt>
                <c:pt idx="1436">
                  <c:v>100.8008745375042</c:v>
                </c:pt>
                <c:pt idx="1437">
                  <c:v>100.80131894685617</c:v>
                </c:pt>
                <c:pt idx="1438">
                  <c:v>100.80370376510768</c:v>
                </c:pt>
                <c:pt idx="1439">
                  <c:v>100.80742331088774</c:v>
                </c:pt>
                <c:pt idx="1440">
                  <c:v>100.80926298832058</c:v>
                </c:pt>
                <c:pt idx="1441">
                  <c:v>100.81082937896436</c:v>
                </c:pt>
                <c:pt idx="1442">
                  <c:v>100.8136460218777</c:v>
                </c:pt>
                <c:pt idx="1443">
                  <c:v>100.81143494186972</c:v>
                </c:pt>
                <c:pt idx="1444">
                  <c:v>100.81295123145705</c:v>
                </c:pt>
                <c:pt idx="1445">
                  <c:v>100.81236133122029</c:v>
                </c:pt>
                <c:pt idx="1446">
                  <c:v>100.8091861402095</c:v>
                </c:pt>
                <c:pt idx="1447">
                  <c:v>100.81092302778664</c:v>
                </c:pt>
                <c:pt idx="1448">
                  <c:v>100.80806639865128</c:v>
                </c:pt>
                <c:pt idx="1449">
                  <c:v>100.80480406218574</c:v>
                </c:pt>
                <c:pt idx="1450">
                  <c:v>100.80332225913621</c:v>
                </c:pt>
                <c:pt idx="1451">
                  <c:v>100.82049454964448</c:v>
                </c:pt>
                <c:pt idx="1452">
                  <c:v>100.82686261607077</c:v>
                </c:pt>
                <c:pt idx="1453">
                  <c:v>100.82363105523446</c:v>
                </c:pt>
                <c:pt idx="1454">
                  <c:v>100.82352064391117</c:v>
                </c:pt>
                <c:pt idx="1455">
                  <c:v>100.8203583729081</c:v>
                </c:pt>
                <c:pt idx="1456">
                  <c:v>100.82431931152162</c:v>
                </c:pt>
                <c:pt idx="1457">
                  <c:v>100.82581831555719</c:v>
                </c:pt>
                <c:pt idx="1458">
                  <c:v>100.83159571593156</c:v>
                </c:pt>
                <c:pt idx="1459">
                  <c:v>100.83399464408396</c:v>
                </c:pt>
                <c:pt idx="1460">
                  <c:v>100.83508141462259</c:v>
                </c:pt>
                <c:pt idx="1461">
                  <c:v>100.83322064457967</c:v>
                </c:pt>
                <c:pt idx="1462">
                  <c:v>100.8333943095151</c:v>
                </c:pt>
                <c:pt idx="1463">
                  <c:v>100.82970644497821</c:v>
                </c:pt>
                <c:pt idx="1464">
                  <c:v>100.83023872679045</c:v>
                </c:pt>
                <c:pt idx="1465">
                  <c:v>100.83049876882552</c:v>
                </c:pt>
                <c:pt idx="1466">
                  <c:v>100.83153101878202</c:v>
                </c:pt>
                <c:pt idx="1467">
                  <c:v>100.83006817366343</c:v>
                </c:pt>
                <c:pt idx="1468">
                  <c:v>100.83186594717409</c:v>
                </c:pt>
                <c:pt idx="1469">
                  <c:v>100.83285099174137</c:v>
                </c:pt>
                <c:pt idx="1470">
                  <c:v>100.83438474773048</c:v>
                </c:pt>
                <c:pt idx="1471">
                  <c:v>100.83376389980906</c:v>
                </c:pt>
                <c:pt idx="1472">
                  <c:v>100.83619031807302</c:v>
                </c:pt>
                <c:pt idx="1473">
                  <c:v>100.83542755476482</c:v>
                </c:pt>
                <c:pt idx="1474">
                  <c:v>100.83741623640557</c:v>
                </c:pt>
                <c:pt idx="1475">
                  <c:v>100.83681120269041</c:v>
                </c:pt>
                <c:pt idx="1476">
                  <c:v>100.83707841977075</c:v>
                </c:pt>
                <c:pt idx="1477">
                  <c:v>100.83640533893387</c:v>
                </c:pt>
                <c:pt idx="1478">
                  <c:v>100.83705824066938</c:v>
                </c:pt>
                <c:pt idx="1479">
                  <c:v>100.83728440871297</c:v>
                </c:pt>
                <c:pt idx="1480">
                  <c:v>100.83507682021423</c:v>
                </c:pt>
                <c:pt idx="1481">
                  <c:v>100.83446115989038</c:v>
                </c:pt>
                <c:pt idx="1482">
                  <c:v>100.83539552342555</c:v>
                </c:pt>
                <c:pt idx="1483">
                  <c:v>100.83423403242517</c:v>
                </c:pt>
                <c:pt idx="1484">
                  <c:v>100.83498487825953</c:v>
                </c:pt>
                <c:pt idx="1485">
                  <c:v>100.83238720819944</c:v>
                </c:pt>
                <c:pt idx="1486">
                  <c:v>100.83417599193288</c:v>
                </c:pt>
                <c:pt idx="1487">
                  <c:v>100.83459528931854</c:v>
                </c:pt>
                <c:pt idx="1488">
                  <c:v>100.83338024204897</c:v>
                </c:pt>
                <c:pt idx="1489">
                  <c:v>100.8360292488367</c:v>
                </c:pt>
                <c:pt idx="1490">
                  <c:v>100.83060547098546</c:v>
                </c:pt>
                <c:pt idx="1491">
                  <c:v>100.82874334644758</c:v>
                </c:pt>
                <c:pt idx="1492">
                  <c:v>100.83275655060386</c:v>
                </c:pt>
                <c:pt idx="1493">
                  <c:v>100.83454443823365</c:v>
                </c:pt>
                <c:pt idx="1494">
                  <c:v>100.83454906235153</c:v>
                </c:pt>
                <c:pt idx="1495">
                  <c:v>100.8368426854812</c:v>
                </c:pt>
                <c:pt idx="1496">
                  <c:v>100.8373849745914</c:v>
                </c:pt>
                <c:pt idx="1497">
                  <c:v>100.83948156885074</c:v>
                </c:pt>
                <c:pt idx="1498">
                  <c:v>100.83925492485439</c:v>
                </c:pt>
                <c:pt idx="1499">
                  <c:v>100.84124643005592</c:v>
                </c:pt>
                <c:pt idx="1500">
                  <c:v>100.84292499137679</c:v>
                </c:pt>
                <c:pt idx="1501">
                  <c:v>100.84175565683431</c:v>
                </c:pt>
                <c:pt idx="1502">
                  <c:v>100.84056663479795</c:v>
                </c:pt>
                <c:pt idx="1503">
                  <c:v>100.84025903939558</c:v>
                </c:pt>
                <c:pt idx="1504">
                  <c:v>100.83900794082454</c:v>
                </c:pt>
                <c:pt idx="1505">
                  <c:v>100.83914573342209</c:v>
                </c:pt>
                <c:pt idx="1506">
                  <c:v>100.83998918845867</c:v>
                </c:pt>
                <c:pt idx="1507">
                  <c:v>100.84122727028911</c:v>
                </c:pt>
                <c:pt idx="1508">
                  <c:v>100.8409521378773</c:v>
                </c:pt>
                <c:pt idx="1509">
                  <c:v>100.84104395456865</c:v>
                </c:pt>
                <c:pt idx="1510">
                  <c:v>100.83991563121104</c:v>
                </c:pt>
                <c:pt idx="1511">
                  <c:v>100.83904076999416</c:v>
                </c:pt>
                <c:pt idx="1512">
                  <c:v>100.8392767453541</c:v>
                </c:pt>
                <c:pt idx="1513">
                  <c:v>100.84268080413494</c:v>
                </c:pt>
                <c:pt idx="1514">
                  <c:v>100.84396621025026</c:v>
                </c:pt>
                <c:pt idx="1515">
                  <c:v>100.84578112381796</c:v>
                </c:pt>
                <c:pt idx="1516">
                  <c:v>100.8443293276184</c:v>
                </c:pt>
                <c:pt idx="1517">
                  <c:v>100.84310399660765</c:v>
                </c:pt>
                <c:pt idx="1518">
                  <c:v>100.84436820589666</c:v>
                </c:pt>
                <c:pt idx="1519">
                  <c:v>100.845426773545</c:v>
                </c:pt>
                <c:pt idx="1520">
                  <c:v>100.845543727823</c:v>
                </c:pt>
                <c:pt idx="1521">
                  <c:v>100.84589553695774</c:v>
                </c:pt>
                <c:pt idx="1522">
                  <c:v>100.84594566461955</c:v>
                </c:pt>
                <c:pt idx="1523">
                  <c:v>100.84648099164981</c:v>
                </c:pt>
                <c:pt idx="1524">
                  <c:v>100.84674329501915</c:v>
                </c:pt>
                <c:pt idx="1525">
                  <c:v>100.84593163216176</c:v>
                </c:pt>
                <c:pt idx="1526">
                  <c:v>100.84503429139835</c:v>
                </c:pt>
                <c:pt idx="1527">
                  <c:v>100.84515386526817</c:v>
                </c:pt>
                <c:pt idx="1528">
                  <c:v>100.84511943070926</c:v>
                </c:pt>
                <c:pt idx="1529">
                  <c:v>100.84365715492994</c:v>
                </c:pt>
                <c:pt idx="1530">
                  <c:v>100.84410386053615</c:v>
                </c:pt>
                <c:pt idx="1531">
                  <c:v>100.84471112859859</c:v>
                </c:pt>
                <c:pt idx="1532">
                  <c:v>100.84364476724991</c:v>
                </c:pt>
                <c:pt idx="1533">
                  <c:v>100.84405047285372</c:v>
                </c:pt>
                <c:pt idx="1534">
                  <c:v>100.84603381014304</c:v>
                </c:pt>
                <c:pt idx="1535">
                  <c:v>100.8464909437436</c:v>
                </c:pt>
                <c:pt idx="1536">
                  <c:v>100.84574897730529</c:v>
                </c:pt>
                <c:pt idx="1537">
                  <c:v>100.8460658380571</c:v>
                </c:pt>
                <c:pt idx="1538">
                  <c:v>100.84635747839403</c:v>
                </c:pt>
                <c:pt idx="1539">
                  <c:v>100.84671948630314</c:v>
                </c:pt>
                <c:pt idx="1540">
                  <c:v>100.849911899299</c:v>
                </c:pt>
                <c:pt idx="1541">
                  <c:v>100.8490719967367</c:v>
                </c:pt>
                <c:pt idx="1542">
                  <c:v>100.84899114863659</c:v>
                </c:pt>
                <c:pt idx="1543">
                  <c:v>100.84423921909122</c:v>
                </c:pt>
                <c:pt idx="1544">
                  <c:v>100.84653073921892</c:v>
                </c:pt>
                <c:pt idx="1545">
                  <c:v>100.84441728755206</c:v>
                </c:pt>
                <c:pt idx="1546">
                  <c:v>100.84443364122508</c:v>
                </c:pt>
                <c:pt idx="1547">
                  <c:v>100.84617183541425</c:v>
                </c:pt>
                <c:pt idx="1548">
                  <c:v>100.84791655962596</c:v>
                </c:pt>
                <c:pt idx="1549">
                  <c:v>100.84724551670752</c:v>
                </c:pt>
                <c:pt idx="1550">
                  <c:v>100.84824793007101</c:v>
                </c:pt>
                <c:pt idx="1551">
                  <c:v>100.85007724061083</c:v>
                </c:pt>
                <c:pt idx="1552">
                  <c:v>100.85286442152355</c:v>
                </c:pt>
                <c:pt idx="1553">
                  <c:v>100.85305615885821</c:v>
                </c:pt>
                <c:pt idx="1554">
                  <c:v>100.8518444366585</c:v>
                </c:pt>
                <c:pt idx="1555">
                  <c:v>100.85492151793264</c:v>
                </c:pt>
                <c:pt idx="1556">
                  <c:v>100.85712906651221</c:v>
                </c:pt>
                <c:pt idx="1557">
                  <c:v>100.85718593570955</c:v>
                </c:pt>
                <c:pt idx="1558">
                  <c:v>100.85859478568273</c:v>
                </c:pt>
                <c:pt idx="1559">
                  <c:v>100.85849845830246</c:v>
                </c:pt>
                <c:pt idx="1560">
                  <c:v>100.85803867966381</c:v>
                </c:pt>
                <c:pt idx="1561">
                  <c:v>100.85977545122934</c:v>
                </c:pt>
                <c:pt idx="1562">
                  <c:v>100.85932561842074</c:v>
                </c:pt>
                <c:pt idx="1563">
                  <c:v>100.85895190784223</c:v>
                </c:pt>
                <c:pt idx="1564">
                  <c:v>100.85933397488446</c:v>
                </c:pt>
                <c:pt idx="1565">
                  <c:v>100.8575210589651</c:v>
                </c:pt>
                <c:pt idx="1566">
                  <c:v>100.85804889160642</c:v>
                </c:pt>
                <c:pt idx="1567">
                  <c:v>100.85722554505112</c:v>
                </c:pt>
                <c:pt idx="1568">
                  <c:v>100.85612909497424</c:v>
                </c:pt>
                <c:pt idx="1569">
                  <c:v>100.85435758656745</c:v>
                </c:pt>
                <c:pt idx="1570">
                  <c:v>100.85519476548646</c:v>
                </c:pt>
                <c:pt idx="1571">
                  <c:v>100.85520184911152</c:v>
                </c:pt>
                <c:pt idx="1572">
                  <c:v>100.85388488498371</c:v>
                </c:pt>
                <c:pt idx="1573">
                  <c:v>100.85543169025263</c:v>
                </c:pt>
                <c:pt idx="1574">
                  <c:v>100.85872638976721</c:v>
                </c:pt>
                <c:pt idx="1575">
                  <c:v>100.8582341531167</c:v>
                </c:pt>
                <c:pt idx="1576">
                  <c:v>100.85606438201292</c:v>
                </c:pt>
                <c:pt idx="1577">
                  <c:v>100.85532039689134</c:v>
                </c:pt>
                <c:pt idx="1578">
                  <c:v>100.8474855729596</c:v>
                </c:pt>
                <c:pt idx="1579">
                  <c:v>100.8500924261224</c:v>
                </c:pt>
                <c:pt idx="1580">
                  <c:v>100.84925070982035</c:v>
                </c:pt>
                <c:pt idx="1581">
                  <c:v>100.84534197188985</c:v>
                </c:pt>
                <c:pt idx="1582">
                  <c:v>100.84563837138052</c:v>
                </c:pt>
                <c:pt idx="1583">
                  <c:v>100.84318919276869</c:v>
                </c:pt>
                <c:pt idx="1584">
                  <c:v>100.84915852369001</c:v>
                </c:pt>
                <c:pt idx="1585">
                  <c:v>100.84969850841003</c:v>
                </c:pt>
                <c:pt idx="1586">
                  <c:v>100.84660828107997</c:v>
                </c:pt>
                <c:pt idx="1587">
                  <c:v>100.84051294485305</c:v>
                </c:pt>
                <c:pt idx="1588">
                  <c:v>100.8397856591927</c:v>
                </c:pt>
                <c:pt idx="1589">
                  <c:v>100.83534287343375</c:v>
                </c:pt>
                <c:pt idx="1590">
                  <c:v>100.84069748667994</c:v>
                </c:pt>
                <c:pt idx="1591">
                  <c:v>100.84139104341652</c:v>
                </c:pt>
                <c:pt idx="1592">
                  <c:v>100.84346906398731</c:v>
                </c:pt>
                <c:pt idx="1593">
                  <c:v>100.84424331719637</c:v>
                </c:pt>
                <c:pt idx="1594">
                  <c:v>100.84820512820512</c:v>
                </c:pt>
                <c:pt idx="1595">
                  <c:v>100.84923535329098</c:v>
                </c:pt>
                <c:pt idx="1596">
                  <c:v>100.84822847767011</c:v>
                </c:pt>
                <c:pt idx="1597">
                  <c:v>100.84827709932468</c:v>
                </c:pt>
                <c:pt idx="1598">
                  <c:v>100.84558602970904</c:v>
                </c:pt>
                <c:pt idx="1599">
                  <c:v>100.84472538425221</c:v>
                </c:pt>
                <c:pt idx="1600">
                  <c:v>100.84225322088545</c:v>
                </c:pt>
                <c:pt idx="1601">
                  <c:v>100.84078531567269</c:v>
                </c:pt>
                <c:pt idx="1602">
                  <c:v>100.84007347975255</c:v>
                </c:pt>
                <c:pt idx="1603">
                  <c:v>100.8440792246102</c:v>
                </c:pt>
                <c:pt idx="1604">
                  <c:v>100.84517208913066</c:v>
                </c:pt>
                <c:pt idx="1605">
                  <c:v>100.84631759300122</c:v>
                </c:pt>
                <c:pt idx="1606">
                  <c:v>100.84569872154093</c:v>
                </c:pt>
                <c:pt idx="1607">
                  <c:v>100.84596570655427</c:v>
                </c:pt>
                <c:pt idx="1608">
                  <c:v>100.84423512077041</c:v>
                </c:pt>
                <c:pt idx="1609">
                  <c:v>100.84709559108401</c:v>
                </c:pt>
                <c:pt idx="1610">
                  <c:v>100.84599776280534</c:v>
                </c:pt>
                <c:pt idx="1611">
                  <c:v>100.84441524310118</c:v>
                </c:pt>
                <c:pt idx="1612">
                  <c:v>100.84375206197132</c:v>
                </c:pt>
                <c:pt idx="1613">
                  <c:v>100.84543080939947</c:v>
                </c:pt>
                <c:pt idx="1614">
                  <c:v>100.84647701045097</c:v>
                </c:pt>
                <c:pt idx="1615">
                  <c:v>100.8463534907864</c:v>
                </c:pt>
                <c:pt idx="1616">
                  <c:v>100.8454993866952</c:v>
                </c:pt>
                <c:pt idx="1617">
                  <c:v>100.84433137432782</c:v>
                </c:pt>
                <c:pt idx="1618">
                  <c:v>100.84651283380866</c:v>
                </c:pt>
                <c:pt idx="1619">
                  <c:v>100.84665794620076</c:v>
                </c:pt>
                <c:pt idx="1620">
                  <c:v>100.84525909952296</c:v>
                </c:pt>
                <c:pt idx="1621">
                  <c:v>100.84210596503394</c:v>
                </c:pt>
                <c:pt idx="1622">
                  <c:v>100.84290206589091</c:v>
                </c:pt>
                <c:pt idx="1623">
                  <c:v>100.84363031247524</c:v>
                </c:pt>
                <c:pt idx="1624">
                  <c:v>100.84829265167532</c:v>
                </c:pt>
                <c:pt idx="1625">
                  <c:v>100.85125441274388</c:v>
                </c:pt>
                <c:pt idx="1626">
                  <c:v>100.8514279977915</c:v>
                </c:pt>
                <c:pt idx="1627">
                  <c:v>100.8512375926624</c:v>
                </c:pt>
                <c:pt idx="1628">
                  <c:v>100.85181847763511</c:v>
                </c:pt>
                <c:pt idx="1629">
                  <c:v>100.85448109729118</c:v>
                </c:pt>
                <c:pt idx="1630">
                  <c:v>100.85510438847689</c:v>
                </c:pt>
                <c:pt idx="1631">
                  <c:v>100.85377661413823</c:v>
                </c:pt>
                <c:pt idx="1632">
                  <c:v>100.85337098132462</c:v>
                </c:pt>
                <c:pt idx="1633">
                  <c:v>100.85365371304262</c:v>
                </c:pt>
                <c:pt idx="1634">
                  <c:v>100.85352516917595</c:v>
                </c:pt>
                <c:pt idx="1635">
                  <c:v>100.85523548686849</c:v>
                </c:pt>
                <c:pt idx="1636">
                  <c:v>100.85603813044112</c:v>
                </c:pt>
                <c:pt idx="1637">
                  <c:v>100.85846124420218</c:v>
                </c:pt>
                <c:pt idx="1638">
                  <c:v>100.85890484418758</c:v>
                </c:pt>
                <c:pt idx="1639">
                  <c:v>100.8583342307094</c:v>
                </c:pt>
                <c:pt idx="1640">
                  <c:v>100.85741467761747</c:v>
                </c:pt>
                <c:pt idx="1641">
                  <c:v>100.85621994462525</c:v>
                </c:pt>
                <c:pt idx="1642">
                  <c:v>100.85775214753409</c:v>
                </c:pt>
                <c:pt idx="1643">
                  <c:v>100.8590392285255</c:v>
                </c:pt>
                <c:pt idx="1644">
                  <c:v>100.85386324364354</c:v>
                </c:pt>
                <c:pt idx="1645">
                  <c:v>100.85340002971621</c:v>
                </c:pt>
                <c:pt idx="1646">
                  <c:v>100.85427692307692</c:v>
                </c:pt>
                <c:pt idx="1647">
                  <c:v>100.85555867318929</c:v>
                </c:pt>
                <c:pt idx="1648">
                  <c:v>100.85584883607675</c:v>
                </c:pt>
                <c:pt idx="1649">
                  <c:v>100.85691151233897</c:v>
                </c:pt>
                <c:pt idx="1650">
                  <c:v>100.85846293617682</c:v>
                </c:pt>
                <c:pt idx="1651">
                  <c:v>100.85843924484989</c:v>
                </c:pt>
                <c:pt idx="1652">
                  <c:v>100.85949922866975</c:v>
                </c:pt>
                <c:pt idx="1653">
                  <c:v>100.8597389058687</c:v>
                </c:pt>
                <c:pt idx="1654">
                  <c:v>100.85989326327997</c:v>
                </c:pt>
                <c:pt idx="1655">
                  <c:v>100.86175330437625</c:v>
                </c:pt>
                <c:pt idx="1656">
                  <c:v>100.86161919566158</c:v>
                </c:pt>
                <c:pt idx="1657">
                  <c:v>100.86106384726411</c:v>
                </c:pt>
                <c:pt idx="1658">
                  <c:v>100.85992144243055</c:v>
                </c:pt>
                <c:pt idx="1659">
                  <c:v>100.8604826546003</c:v>
                </c:pt>
                <c:pt idx="1660">
                  <c:v>100.85988828931175</c:v>
                </c:pt>
                <c:pt idx="1661">
                  <c:v>100.86120879636142</c:v>
                </c:pt>
                <c:pt idx="1662">
                  <c:v>100.86052702877808</c:v>
                </c:pt>
                <c:pt idx="1663">
                  <c:v>100.86068621452441</c:v>
                </c:pt>
                <c:pt idx="1664">
                  <c:v>100.86014812014977</c:v>
                </c:pt>
                <c:pt idx="1665">
                  <c:v>100.86005058982057</c:v>
                </c:pt>
                <c:pt idx="1666">
                  <c:v>100.86078777189888</c:v>
                </c:pt>
                <c:pt idx="1667">
                  <c:v>100.8611957796014</c:v>
                </c:pt>
                <c:pt idx="1668">
                  <c:v>100.86110785256787</c:v>
                </c:pt>
                <c:pt idx="1669">
                  <c:v>100.86145403058777</c:v>
                </c:pt>
                <c:pt idx="1670">
                  <c:v>100.86111925680035</c:v>
                </c:pt>
                <c:pt idx="1671">
                  <c:v>100.86119089768691</c:v>
                </c:pt>
                <c:pt idx="1672">
                  <c:v>100.86126409036582</c:v>
                </c:pt>
                <c:pt idx="1673">
                  <c:v>100.86108340861892</c:v>
                </c:pt>
                <c:pt idx="1674">
                  <c:v>100.86183880415884</c:v>
                </c:pt>
                <c:pt idx="1675">
                  <c:v>100.8595825426945</c:v>
                </c:pt>
                <c:pt idx="1676">
                  <c:v>100.86038723675212</c:v>
                </c:pt>
                <c:pt idx="1677">
                  <c:v>100.86027520120842</c:v>
                </c:pt>
                <c:pt idx="1678">
                  <c:v>100.85998273435744</c:v>
                </c:pt>
                <c:pt idx="1679">
                  <c:v>100.86018280153988</c:v>
                </c:pt>
                <c:pt idx="1680">
                  <c:v>100.86168224299065</c:v>
                </c:pt>
                <c:pt idx="1681">
                  <c:v>100.86458047396835</c:v>
                </c:pt>
                <c:pt idx="1682">
                  <c:v>100.86489262158523</c:v>
                </c:pt>
                <c:pt idx="1683">
                  <c:v>100.86644708642588</c:v>
                </c:pt>
                <c:pt idx="1684">
                  <c:v>100.86719161871432</c:v>
                </c:pt>
                <c:pt idx="1685">
                  <c:v>100.86943528555517</c:v>
                </c:pt>
                <c:pt idx="1686">
                  <c:v>100.86978708428647</c:v>
                </c:pt>
                <c:pt idx="1687">
                  <c:v>100.86819254575411</c:v>
                </c:pt>
                <c:pt idx="1688">
                  <c:v>100.86769175755408</c:v>
                </c:pt>
                <c:pt idx="1689">
                  <c:v>100.86946551420003</c:v>
                </c:pt>
                <c:pt idx="1690">
                  <c:v>100.86878851012899</c:v>
                </c:pt>
                <c:pt idx="1691">
                  <c:v>100.86789105475157</c:v>
                </c:pt>
                <c:pt idx="1692">
                  <c:v>100.86616478460896</c:v>
                </c:pt>
                <c:pt idx="1693">
                  <c:v>100.86873468663732</c:v>
                </c:pt>
                <c:pt idx="1694">
                  <c:v>100.8689946668437</c:v>
                </c:pt>
                <c:pt idx="1695">
                  <c:v>100.86832740213524</c:v>
                </c:pt>
                <c:pt idx="1696">
                  <c:v>100.86874487284659</c:v>
                </c:pt>
                <c:pt idx="1697">
                  <c:v>100.86822921883521</c:v>
                </c:pt>
                <c:pt idx="1698">
                  <c:v>100.86951874015054</c:v>
                </c:pt>
                <c:pt idx="1699">
                  <c:v>100.86954893016902</c:v>
                </c:pt>
                <c:pt idx="1700">
                  <c:v>100.86978851631493</c:v>
                </c:pt>
                <c:pt idx="1701">
                  <c:v>100.87107733182343</c:v>
                </c:pt>
                <c:pt idx="1702">
                  <c:v>100.87199861620125</c:v>
                </c:pt>
                <c:pt idx="1703">
                  <c:v>100.87513577929406</c:v>
                </c:pt>
                <c:pt idx="1704">
                  <c:v>100.87496567892369</c:v>
                </c:pt>
                <c:pt idx="1705">
                  <c:v>100.87418041932776</c:v>
                </c:pt>
                <c:pt idx="1706">
                  <c:v>100.87371070792402</c:v>
                </c:pt>
                <c:pt idx="1707">
                  <c:v>100.87325376010277</c:v>
                </c:pt>
                <c:pt idx="1708">
                  <c:v>100.87524235016437</c:v>
                </c:pt>
                <c:pt idx="1709">
                  <c:v>100.87573728511157</c:v>
                </c:pt>
                <c:pt idx="1710">
                  <c:v>100.87523051794088</c:v>
                </c:pt>
                <c:pt idx="1711">
                  <c:v>100.87505540195437</c:v>
                </c:pt>
                <c:pt idx="1712">
                  <c:v>100.87683986061268</c:v>
                </c:pt>
                <c:pt idx="1713">
                  <c:v>100.87640531540654</c:v>
                </c:pt>
                <c:pt idx="1714">
                  <c:v>100.87744159325929</c:v>
                </c:pt>
                <c:pt idx="1715">
                  <c:v>100.87467716668783</c:v>
                </c:pt>
                <c:pt idx="1716">
                  <c:v>100.87647236799549</c:v>
                </c:pt>
                <c:pt idx="1717">
                  <c:v>100.87664610768462</c:v>
                </c:pt>
                <c:pt idx="1718">
                  <c:v>100.87802239690112</c:v>
                </c:pt>
                <c:pt idx="1719">
                  <c:v>100.87813162607819</c:v>
                </c:pt>
                <c:pt idx="1720">
                  <c:v>100.87922680675268</c:v>
                </c:pt>
                <c:pt idx="1721">
                  <c:v>100.88081096861221</c:v>
                </c:pt>
                <c:pt idx="1722">
                  <c:v>100.8810982345498</c:v>
                </c:pt>
                <c:pt idx="1723">
                  <c:v>100.88120798635497</c:v>
                </c:pt>
                <c:pt idx="1724">
                  <c:v>100.88095956244597</c:v>
                </c:pt>
                <c:pt idx="1725">
                  <c:v>100.88111853004669</c:v>
                </c:pt>
                <c:pt idx="1726">
                  <c:v>100.8823915051702</c:v>
                </c:pt>
                <c:pt idx="1727">
                  <c:v>100.88292760100461</c:v>
                </c:pt>
                <c:pt idx="1728">
                  <c:v>100.88195413758724</c:v>
                </c:pt>
                <c:pt idx="1729">
                  <c:v>100.88278040135832</c:v>
                </c:pt>
                <c:pt idx="1730">
                  <c:v>100.88280360695656</c:v>
                </c:pt>
                <c:pt idx="1731">
                  <c:v>100.87897496703499</c:v>
                </c:pt>
                <c:pt idx="1732">
                  <c:v>100.87729425542278</c:v>
                </c:pt>
                <c:pt idx="1733">
                  <c:v>100.87928098777516</c:v>
                </c:pt>
                <c:pt idx="1734">
                  <c:v>100.87874691490778</c:v>
                </c:pt>
                <c:pt idx="1735">
                  <c:v>100.87720007882427</c:v>
                </c:pt>
                <c:pt idx="1736">
                  <c:v>100.88012675785403</c:v>
                </c:pt>
                <c:pt idx="1737">
                  <c:v>100.88102535245234</c:v>
                </c:pt>
                <c:pt idx="1738">
                  <c:v>100.88071610634803</c:v>
                </c:pt>
                <c:pt idx="1739">
                  <c:v>100.88186344451873</c:v>
                </c:pt>
                <c:pt idx="1740">
                  <c:v>100.88175372016379</c:v>
                </c:pt>
                <c:pt idx="1741">
                  <c:v>100.88204116603902</c:v>
                </c:pt>
                <c:pt idx="1742">
                  <c:v>100.8808829151492</c:v>
                </c:pt>
                <c:pt idx="1743">
                  <c:v>100.8787853969164</c:v>
                </c:pt>
                <c:pt idx="1744">
                  <c:v>100.8804438924399</c:v>
                </c:pt>
                <c:pt idx="1745">
                  <c:v>100.87867982334798</c:v>
                </c:pt>
                <c:pt idx="1746">
                  <c:v>100.87768595041322</c:v>
                </c:pt>
                <c:pt idx="1747">
                  <c:v>100.8758467378311</c:v>
                </c:pt>
                <c:pt idx="1748">
                  <c:v>100.8781140621783</c:v>
                </c:pt>
                <c:pt idx="1749">
                  <c:v>100.87732349710923</c:v>
                </c:pt>
                <c:pt idx="1750">
                  <c:v>100.87903061015979</c:v>
                </c:pt>
                <c:pt idx="1751">
                  <c:v>100.88118056740294</c:v>
                </c:pt>
                <c:pt idx="1752">
                  <c:v>100.88090088821382</c:v>
                </c:pt>
                <c:pt idx="1753">
                  <c:v>100.88236579865078</c:v>
                </c:pt>
                <c:pt idx="1754">
                  <c:v>100.88167454503663</c:v>
                </c:pt>
                <c:pt idx="1755">
                  <c:v>100.88181391681057</c:v>
                </c:pt>
                <c:pt idx="1756">
                  <c:v>100.88277691972596</c:v>
                </c:pt>
                <c:pt idx="1757">
                  <c:v>100.884425789448</c:v>
                </c:pt>
                <c:pt idx="1758">
                  <c:v>100.88469816042927</c:v>
                </c:pt>
                <c:pt idx="1759">
                  <c:v>100.8849032759794</c:v>
                </c:pt>
                <c:pt idx="1760">
                  <c:v>100.88456326108788</c:v>
                </c:pt>
                <c:pt idx="1761">
                  <c:v>100.88603878916213</c:v>
                </c:pt>
                <c:pt idx="1762">
                  <c:v>100.88613961360555</c:v>
                </c:pt>
                <c:pt idx="1763">
                  <c:v>100.88753799392097</c:v>
                </c:pt>
                <c:pt idx="1764">
                  <c:v>100.8868068833652</c:v>
                </c:pt>
                <c:pt idx="1765">
                  <c:v>100.88392612054429</c:v>
                </c:pt>
                <c:pt idx="1766">
                  <c:v>100.88013525278909</c:v>
                </c:pt>
                <c:pt idx="1767">
                  <c:v>100.88114717072044</c:v>
                </c:pt>
                <c:pt idx="1768">
                  <c:v>100.88111136772133</c:v>
                </c:pt>
                <c:pt idx="1769">
                  <c:v>100.88003080290196</c:v>
                </c:pt>
                <c:pt idx="1770">
                  <c:v>100.88011097835113</c:v>
                </c:pt>
                <c:pt idx="1771">
                  <c:v>100.88067763814284</c:v>
                </c:pt>
                <c:pt idx="1772">
                  <c:v>100.88038470863978</c:v>
                </c:pt>
                <c:pt idx="1773">
                  <c:v>100.87943096302482</c:v>
                </c:pt>
                <c:pt idx="1774">
                  <c:v>100.8762696986164</c:v>
                </c:pt>
                <c:pt idx="1775">
                  <c:v>100.87768468682528</c:v>
                </c:pt>
                <c:pt idx="1776">
                  <c:v>100.87958913861488</c:v>
                </c:pt>
                <c:pt idx="1777">
                  <c:v>100.87952052424853</c:v>
                </c:pt>
                <c:pt idx="1778">
                  <c:v>100.8789588828232</c:v>
                </c:pt>
                <c:pt idx="1779">
                  <c:v>100.87673985237932</c:v>
                </c:pt>
                <c:pt idx="1780">
                  <c:v>100.87646979039511</c:v>
                </c:pt>
                <c:pt idx="1781">
                  <c:v>100.87579855028375</c:v>
                </c:pt>
                <c:pt idx="1782">
                  <c:v>100.8775467990485</c:v>
                </c:pt>
                <c:pt idx="1783">
                  <c:v>100.87640918580375</c:v>
                </c:pt>
                <c:pt idx="1784">
                  <c:v>100.87568901254659</c:v>
                </c:pt>
                <c:pt idx="1785">
                  <c:v>100.87474345682669</c:v>
                </c:pt>
                <c:pt idx="1786">
                  <c:v>100.8748440836346</c:v>
                </c:pt>
                <c:pt idx="1787">
                  <c:v>100.87589879043247</c:v>
                </c:pt>
                <c:pt idx="1788">
                  <c:v>100.87763412189047</c:v>
                </c:pt>
                <c:pt idx="1789">
                  <c:v>100.87925759738935</c:v>
                </c:pt>
                <c:pt idx="1790">
                  <c:v>100.87896754408382</c:v>
                </c:pt>
                <c:pt idx="1791">
                  <c:v>100.87734001885482</c:v>
                </c:pt>
                <c:pt idx="1792">
                  <c:v>100.87766067369292</c:v>
                </c:pt>
                <c:pt idx="1793">
                  <c:v>100.87911829867173</c:v>
                </c:pt>
                <c:pt idx="1794">
                  <c:v>100.87742002277669</c:v>
                </c:pt>
                <c:pt idx="1795">
                  <c:v>100.87893165364636</c:v>
                </c:pt>
                <c:pt idx="1796">
                  <c:v>100.87950090577867</c:v>
                </c:pt>
                <c:pt idx="1797">
                  <c:v>100.88155262104841</c:v>
                </c:pt>
                <c:pt idx="1798">
                  <c:v>100.88067042259199</c:v>
                </c:pt>
                <c:pt idx="1799">
                  <c:v>100.88001499812523</c:v>
                </c:pt>
                <c:pt idx="1800">
                  <c:v>100.87846313347499</c:v>
                </c:pt>
                <c:pt idx="1801">
                  <c:v>100.8779205246118</c:v>
                </c:pt>
                <c:pt idx="1802">
                  <c:v>100.87834074865651</c:v>
                </c:pt>
                <c:pt idx="1803">
                  <c:v>100.87726118281242</c:v>
                </c:pt>
                <c:pt idx="1804">
                  <c:v>100.87603392314941</c:v>
                </c:pt>
                <c:pt idx="1805">
                  <c:v>100.87401440747401</c:v>
                </c:pt>
                <c:pt idx="1806">
                  <c:v>100.87385467717878</c:v>
                </c:pt>
                <c:pt idx="1807">
                  <c:v>100.87548245291154</c:v>
                </c:pt>
                <c:pt idx="1808">
                  <c:v>100.87620242576328</c:v>
                </c:pt>
                <c:pt idx="1809">
                  <c:v>100.87683986061268</c:v>
                </c:pt>
                <c:pt idx="1810">
                  <c:v>100.87656251628978</c:v>
                </c:pt>
                <c:pt idx="1811">
                  <c:v>100.87629296834187</c:v>
                </c:pt>
                <c:pt idx="1812">
                  <c:v>100.87736288777253</c:v>
                </c:pt>
                <c:pt idx="1813">
                  <c:v>100.87928837233012</c:v>
                </c:pt>
                <c:pt idx="1814">
                  <c:v>100.88035328119</c:v>
                </c:pt>
                <c:pt idx="1815">
                  <c:v>100.88052351688715</c:v>
                </c:pt>
                <c:pt idx="1816">
                  <c:v>100.88006482982172</c:v>
                </c:pt>
                <c:pt idx="1817">
                  <c:v>100.88100502512563</c:v>
                </c:pt>
                <c:pt idx="1818">
                  <c:v>100.88171000969099</c:v>
                </c:pt>
                <c:pt idx="1819">
                  <c:v>100.88194707559774</c:v>
                </c:pt>
                <c:pt idx="1820">
                  <c:v>100.88234592682393</c:v>
                </c:pt>
                <c:pt idx="1821">
                  <c:v>100.88267121183594</c:v>
                </c:pt>
                <c:pt idx="1822">
                  <c:v>100.88124373119358</c:v>
                </c:pt>
                <c:pt idx="1823">
                  <c:v>100.87999310771227</c:v>
                </c:pt>
                <c:pt idx="1824">
                  <c:v>100.87954136187443</c:v>
                </c:pt>
                <c:pt idx="1825">
                  <c:v>100.87747076477285</c:v>
                </c:pt>
                <c:pt idx="1826">
                  <c:v>100.87867609386208</c:v>
                </c:pt>
                <c:pt idx="1827">
                  <c:v>100.87830323462602</c:v>
                </c:pt>
                <c:pt idx="1828">
                  <c:v>100.87824316403237</c:v>
                </c:pt>
                <c:pt idx="1829">
                  <c:v>100.8924565148281</c:v>
                </c:pt>
                <c:pt idx="1830">
                  <c:v>100.89341495251384</c:v>
                </c:pt>
                <c:pt idx="1831">
                  <c:v>100.89287782281413</c:v>
                </c:pt>
                <c:pt idx="1832">
                  <c:v>100.89272252826906</c:v>
                </c:pt>
                <c:pt idx="1833">
                  <c:v>100.89179506863337</c:v>
                </c:pt>
                <c:pt idx="1834">
                  <c:v>100.89348686577905</c:v>
                </c:pt>
                <c:pt idx="1835">
                  <c:v>100.89434797351561</c:v>
                </c:pt>
                <c:pt idx="1836">
                  <c:v>100.89458407899072</c:v>
                </c:pt>
                <c:pt idx="1837">
                  <c:v>100.89548760680744</c:v>
                </c:pt>
                <c:pt idx="1838">
                  <c:v>100.89514050640759</c:v>
                </c:pt>
                <c:pt idx="1839">
                  <c:v>100.89478828808815</c:v>
                </c:pt>
                <c:pt idx="1840">
                  <c:v>100.89514422097648</c:v>
                </c:pt>
                <c:pt idx="1841">
                  <c:v>100.89585165898455</c:v>
                </c:pt>
                <c:pt idx="1842">
                  <c:v>100.89491341895287</c:v>
                </c:pt>
                <c:pt idx="1843">
                  <c:v>100.8958928681339</c:v>
                </c:pt>
                <c:pt idx="1844">
                  <c:v>100.89521011080822</c:v>
                </c:pt>
                <c:pt idx="1845">
                  <c:v>100.89487796432599</c:v>
                </c:pt>
                <c:pt idx="1846">
                  <c:v>100.89609386655434</c:v>
                </c:pt>
                <c:pt idx="1847">
                  <c:v>100.89759202878494</c:v>
                </c:pt>
                <c:pt idx="1848">
                  <c:v>100.90016863406409</c:v>
                </c:pt>
                <c:pt idx="1849">
                  <c:v>100.90098927105024</c:v>
                </c:pt>
                <c:pt idx="1850">
                  <c:v>100.90080428954424</c:v>
                </c:pt>
                <c:pt idx="1851">
                  <c:v>100.898042660191</c:v>
                </c:pt>
                <c:pt idx="1852">
                  <c:v>100.89938389632462</c:v>
                </c:pt>
                <c:pt idx="1853">
                  <c:v>100.89813739407235</c:v>
                </c:pt>
                <c:pt idx="1854">
                  <c:v>100.8955862251422</c:v>
                </c:pt>
                <c:pt idx="1855">
                  <c:v>100.89628318894154</c:v>
                </c:pt>
                <c:pt idx="1856">
                  <c:v>100.89725343862541</c:v>
                </c:pt>
                <c:pt idx="1857">
                  <c:v>100.89791255313462</c:v>
                </c:pt>
                <c:pt idx="1858">
                  <c:v>100.89810671256454</c:v>
                </c:pt>
                <c:pt idx="1859">
                  <c:v>100.89870992026829</c:v>
                </c:pt>
                <c:pt idx="1860">
                  <c:v>100.89837607717925</c:v>
                </c:pt>
                <c:pt idx="1861">
                  <c:v>100.89829314595448</c:v>
                </c:pt>
                <c:pt idx="1862">
                  <c:v>100.89917054144738</c:v>
                </c:pt>
                <c:pt idx="1863">
                  <c:v>100.89958783520193</c:v>
                </c:pt>
                <c:pt idx="1864">
                  <c:v>100.90055267180702</c:v>
                </c:pt>
                <c:pt idx="1865">
                  <c:v>100.90028466034462</c:v>
                </c:pt>
                <c:pt idx="1866">
                  <c:v>100.89945822930997</c:v>
                </c:pt>
                <c:pt idx="1867">
                  <c:v>100.89921345636556</c:v>
                </c:pt>
                <c:pt idx="1868">
                  <c:v>100.89866137149508</c:v>
                </c:pt>
                <c:pt idx="1869">
                  <c:v>100.89938475135116</c:v>
                </c:pt>
                <c:pt idx="1870">
                  <c:v>100.89985282425185</c:v>
                </c:pt>
                <c:pt idx="1871">
                  <c:v>100.90017705083888</c:v>
                </c:pt>
                <c:pt idx="1872">
                  <c:v>100.89875755684199</c:v>
                </c:pt>
                <c:pt idx="1873">
                  <c:v>100.90042135894568</c:v>
                </c:pt>
                <c:pt idx="1874">
                  <c:v>100.90167746221557</c:v>
                </c:pt>
                <c:pt idx="1875">
                  <c:v>100.90211559288684</c:v>
                </c:pt>
                <c:pt idx="1876">
                  <c:v>100.90367248645394</c:v>
                </c:pt>
                <c:pt idx="1877">
                  <c:v>100.90504222573324</c:v>
                </c:pt>
                <c:pt idx="1878">
                  <c:v>100.90548415422687</c:v>
                </c:pt>
                <c:pt idx="1879">
                  <c:v>100.90560697743018</c:v>
                </c:pt>
                <c:pt idx="1880">
                  <c:v>100.90725945420935</c:v>
                </c:pt>
                <c:pt idx="1881">
                  <c:v>100.90928593319032</c:v>
                </c:pt>
                <c:pt idx="1882">
                  <c:v>100.9092622963383</c:v>
                </c:pt>
                <c:pt idx="1883">
                  <c:v>100.90857142857143</c:v>
                </c:pt>
                <c:pt idx="1884">
                  <c:v>100.90845266446046</c:v>
                </c:pt>
                <c:pt idx="1885">
                  <c:v>100.90854176644163</c:v>
                </c:pt>
                <c:pt idx="1886">
                  <c:v>100.91079702556299</c:v>
                </c:pt>
                <c:pt idx="1887">
                  <c:v>100.91310346852202</c:v>
                </c:pt>
                <c:pt idx="1888">
                  <c:v>100.91278148963912</c:v>
                </c:pt>
                <c:pt idx="1889">
                  <c:v>100.91407525672194</c:v>
                </c:pt>
                <c:pt idx="1890">
                  <c:v>100.91555222709604</c:v>
                </c:pt>
                <c:pt idx="1891">
                  <c:v>100.91648326843858</c:v>
                </c:pt>
                <c:pt idx="1892">
                  <c:v>100.91765311374164</c:v>
                </c:pt>
                <c:pt idx="1893">
                  <c:v>100.91839491622383</c:v>
                </c:pt>
                <c:pt idx="1894">
                  <c:v>100.9148201438849</c:v>
                </c:pt>
                <c:pt idx="1895">
                  <c:v>100.91719990209448</c:v>
                </c:pt>
                <c:pt idx="1896">
                  <c:v>100.9148201438849</c:v>
                </c:pt>
                <c:pt idx="1897">
                  <c:v>100.91793961908458</c:v>
                </c:pt>
                <c:pt idx="1898">
                  <c:v>100.91643021499456</c:v>
                </c:pt>
                <c:pt idx="1899">
                  <c:v>100.91232876712328</c:v>
                </c:pt>
                <c:pt idx="1900">
                  <c:v>100.91161540758435</c:v>
                </c:pt>
                <c:pt idx="1901">
                  <c:v>100.91458848820182</c:v>
                </c:pt>
                <c:pt idx="1902">
                  <c:v>100.91629610253727</c:v>
                </c:pt>
                <c:pt idx="1903">
                  <c:v>100.91840391440681</c:v>
                </c:pt>
                <c:pt idx="1904">
                  <c:v>100.91900175131349</c:v>
                </c:pt>
                <c:pt idx="1905">
                  <c:v>100.91827098965273</c:v>
                </c:pt>
                <c:pt idx="1906">
                  <c:v>100.91936527394695</c:v>
                </c:pt>
                <c:pt idx="1907">
                  <c:v>100.92015752704124</c:v>
                </c:pt>
                <c:pt idx="1908">
                  <c:v>100.92028761091737</c:v>
                </c:pt>
                <c:pt idx="1909">
                  <c:v>100.92106666666666</c:v>
                </c:pt>
                <c:pt idx="1910">
                  <c:v>100.92220506586945</c:v>
                </c:pt>
                <c:pt idx="1911">
                  <c:v>100.92169208587416</c:v>
                </c:pt>
                <c:pt idx="1912">
                  <c:v>100.92171642037754</c:v>
                </c:pt>
                <c:pt idx="1913">
                  <c:v>100.92072047942683</c:v>
                </c:pt>
                <c:pt idx="1914">
                  <c:v>100.92107982003</c:v>
                </c:pt>
                <c:pt idx="1915">
                  <c:v>100.92228982482393</c:v>
                </c:pt>
                <c:pt idx="1916">
                  <c:v>100.92299888140266</c:v>
                </c:pt>
                <c:pt idx="1917">
                  <c:v>100.92336569579288</c:v>
                </c:pt>
                <c:pt idx="1918">
                  <c:v>100.92370445787635</c:v>
                </c:pt>
                <c:pt idx="1919">
                  <c:v>100.92501060871878</c:v>
                </c:pt>
                <c:pt idx="1920">
                  <c:v>100.92592546249664</c:v>
                </c:pt>
                <c:pt idx="1921">
                  <c:v>100.92544925638151</c:v>
                </c:pt>
                <c:pt idx="1922">
                  <c:v>100.92558139534884</c:v>
                </c:pt>
                <c:pt idx="1923">
                  <c:v>100.92517316345619</c:v>
                </c:pt>
                <c:pt idx="1924">
                  <c:v>100.92466659879874</c:v>
                </c:pt>
                <c:pt idx="1925">
                  <c:v>100.92336222353116</c:v>
                </c:pt>
                <c:pt idx="1926">
                  <c:v>100.92537078240919</c:v>
                </c:pt>
                <c:pt idx="1927">
                  <c:v>100.92515140404335</c:v>
                </c:pt>
                <c:pt idx="1928">
                  <c:v>100.92336172746809</c:v>
                </c:pt>
                <c:pt idx="1929">
                  <c:v>100.92083233036455</c:v>
                </c:pt>
                <c:pt idx="1930">
                  <c:v>100.92390060802386</c:v>
                </c:pt>
                <c:pt idx="1931">
                  <c:v>100.92091112521292</c:v>
                </c:pt>
                <c:pt idx="1932">
                  <c:v>100.91728493384191</c:v>
                </c:pt>
                <c:pt idx="1933">
                  <c:v>100.91819475727887</c:v>
                </c:pt>
                <c:pt idx="1934">
                  <c:v>100.9137019949125</c:v>
                </c:pt>
                <c:pt idx="1935">
                  <c:v>100.91494558385115</c:v>
                </c:pt>
                <c:pt idx="1936">
                  <c:v>100.9160623010556</c:v>
                </c:pt>
                <c:pt idx="1937">
                  <c:v>100.91844325813673</c:v>
                </c:pt>
                <c:pt idx="1938">
                  <c:v>100.91574333027333</c:v>
                </c:pt>
                <c:pt idx="1939">
                  <c:v>100.91579426490669</c:v>
                </c:pt>
                <c:pt idx="1940">
                  <c:v>100.91756137639081</c:v>
                </c:pt>
                <c:pt idx="1941">
                  <c:v>100.91703163869521</c:v>
                </c:pt>
                <c:pt idx="1942">
                  <c:v>100.91826026924404</c:v>
                </c:pt>
                <c:pt idx="1943">
                  <c:v>100.91724851305922</c:v>
                </c:pt>
                <c:pt idx="1944">
                  <c:v>100.91786333680194</c:v>
                </c:pt>
                <c:pt idx="1945">
                  <c:v>100.92126769648165</c:v>
                </c:pt>
                <c:pt idx="1946">
                  <c:v>100.92250497434286</c:v>
                </c:pt>
                <c:pt idx="1947">
                  <c:v>100.9239519304263</c:v>
                </c:pt>
                <c:pt idx="1948">
                  <c:v>100.92248721759226</c:v>
                </c:pt>
                <c:pt idx="1949">
                  <c:v>100.92199544094976</c:v>
                </c:pt>
                <c:pt idx="1950">
                  <c:v>100.91890910834263</c:v>
                </c:pt>
                <c:pt idx="1951">
                  <c:v>100.91891355116185</c:v>
                </c:pt>
                <c:pt idx="1952">
                  <c:v>100.92200057972542</c:v>
                </c:pt>
                <c:pt idx="1953">
                  <c:v>100.92471162772952</c:v>
                </c:pt>
                <c:pt idx="1954">
                  <c:v>100.92439963476851</c:v>
                </c:pt>
                <c:pt idx="1955">
                  <c:v>100.92517032598941</c:v>
                </c:pt>
                <c:pt idx="1956">
                  <c:v>100.9245706131186</c:v>
                </c:pt>
                <c:pt idx="1957">
                  <c:v>100.92468552708999</c:v>
                </c:pt>
                <c:pt idx="1958">
                  <c:v>100.92510832094626</c:v>
                </c:pt>
                <c:pt idx="1959">
                  <c:v>100.92600647443349</c:v>
                </c:pt>
                <c:pt idx="1960">
                  <c:v>100.92564635547825</c:v>
                </c:pt>
                <c:pt idx="1961">
                  <c:v>100.92636815920397</c:v>
                </c:pt>
                <c:pt idx="1962">
                  <c:v>100.92641758023218</c:v>
                </c:pt>
                <c:pt idx="1963">
                  <c:v>100.92613434316337</c:v>
                </c:pt>
                <c:pt idx="1964">
                  <c:v>100.92607115651185</c:v>
                </c:pt>
                <c:pt idx="1965">
                  <c:v>100.92487881633379</c:v>
                </c:pt>
                <c:pt idx="1966">
                  <c:v>100.92540698553501</c:v>
                </c:pt>
                <c:pt idx="1967">
                  <c:v>100.9251466720615</c:v>
                </c:pt>
                <c:pt idx="1968">
                  <c:v>100.92479531495138</c:v>
                </c:pt>
                <c:pt idx="1969">
                  <c:v>100.92532135783937</c:v>
                </c:pt>
                <c:pt idx="1970">
                  <c:v>100.92512963197167</c:v>
                </c:pt>
                <c:pt idx="1971">
                  <c:v>100.92608592511206</c:v>
                </c:pt>
                <c:pt idx="1972">
                  <c:v>100.92614171558323</c:v>
                </c:pt>
                <c:pt idx="1973">
                  <c:v>100.92646647827843</c:v>
                </c:pt>
                <c:pt idx="1974">
                  <c:v>100.92659048776405</c:v>
                </c:pt>
                <c:pt idx="1975">
                  <c:v>100.92713352903888</c:v>
                </c:pt>
                <c:pt idx="1976">
                  <c:v>100.9273450252206</c:v>
                </c:pt>
                <c:pt idx="1977">
                  <c:v>100.92787260742961</c:v>
                </c:pt>
                <c:pt idx="1978">
                  <c:v>100.92890041855074</c:v>
                </c:pt>
                <c:pt idx="1979">
                  <c:v>100.93020308309016</c:v>
                </c:pt>
                <c:pt idx="1980">
                  <c:v>100.93017838714434</c:v>
                </c:pt>
                <c:pt idx="1981">
                  <c:v>100.92991179778606</c:v>
                </c:pt>
                <c:pt idx="1982">
                  <c:v>100.92969079388833</c:v>
                </c:pt>
                <c:pt idx="1983">
                  <c:v>100.92990432888131</c:v>
                </c:pt>
                <c:pt idx="1984">
                  <c:v>100.9303016924209</c:v>
                </c:pt>
                <c:pt idx="1985">
                  <c:v>100.93055148223314</c:v>
                </c:pt>
                <c:pt idx="1986">
                  <c:v>100.93131692828884</c:v>
                </c:pt>
                <c:pt idx="1987">
                  <c:v>100.93100112472828</c:v>
                </c:pt>
                <c:pt idx="1988">
                  <c:v>100.93131413919329</c:v>
                </c:pt>
                <c:pt idx="1989">
                  <c:v>100.93174927080091</c:v>
                </c:pt>
                <c:pt idx="1990">
                  <c:v>100.93234594989943</c:v>
                </c:pt>
                <c:pt idx="1991">
                  <c:v>100.93156939579937</c:v>
                </c:pt>
                <c:pt idx="1992">
                  <c:v>100.93098905966765</c:v>
                </c:pt>
                <c:pt idx="1993">
                  <c:v>100.92880978865406</c:v>
                </c:pt>
                <c:pt idx="1994">
                  <c:v>100.92998598537038</c:v>
                </c:pt>
                <c:pt idx="1995">
                  <c:v>100.92869660525983</c:v>
                </c:pt>
                <c:pt idx="1996">
                  <c:v>100.9304122953951</c:v>
                </c:pt>
                <c:pt idx="1997">
                  <c:v>100.93034474644075</c:v>
                </c:pt>
                <c:pt idx="1998">
                  <c:v>100.93091295265437</c:v>
                </c:pt>
                <c:pt idx="1999">
                  <c:v>100.93010460695648</c:v>
                </c:pt>
                <c:pt idx="2000">
                  <c:v>100.93034187782766</c:v>
                </c:pt>
                <c:pt idx="2001">
                  <c:v>100.93078573391089</c:v>
                </c:pt>
                <c:pt idx="2002">
                  <c:v>100.93191567664547</c:v>
                </c:pt>
                <c:pt idx="2003">
                  <c:v>100.93207386966674</c:v>
                </c:pt>
                <c:pt idx="2004">
                  <c:v>100.93253561253562</c:v>
                </c:pt>
                <c:pt idx="2005">
                  <c:v>100.9340984738008</c:v>
                </c:pt>
                <c:pt idx="2006">
                  <c:v>100.93469495816396</c:v>
                </c:pt>
                <c:pt idx="2007">
                  <c:v>100.93503393708608</c:v>
                </c:pt>
                <c:pt idx="2008">
                  <c:v>100.93578931955118</c:v>
                </c:pt>
                <c:pt idx="2009">
                  <c:v>100.93575412931652</c:v>
                </c:pt>
                <c:pt idx="2010">
                  <c:v>100.93469279690233</c:v>
                </c:pt>
                <c:pt idx="2011">
                  <c:v>100.93471908253846</c:v>
                </c:pt>
                <c:pt idx="2012">
                  <c:v>100.93429522752497</c:v>
                </c:pt>
                <c:pt idx="2013">
                  <c:v>100.93527366556603</c:v>
                </c:pt>
                <c:pt idx="2014">
                  <c:v>100.93646739392899</c:v>
                </c:pt>
                <c:pt idx="2015">
                  <c:v>100.93451327433628</c:v>
                </c:pt>
                <c:pt idx="2016">
                  <c:v>100.93484732593396</c:v>
                </c:pt>
                <c:pt idx="2017">
                  <c:v>100.93345398545431</c:v>
                </c:pt>
                <c:pt idx="2018">
                  <c:v>100.93338734359529</c:v>
                </c:pt>
                <c:pt idx="2019">
                  <c:v>100.93411864208728</c:v>
                </c:pt>
                <c:pt idx="2020">
                  <c:v>100.9354532717668</c:v>
                </c:pt>
                <c:pt idx="2021">
                  <c:v>100.93506244206901</c:v>
                </c:pt>
                <c:pt idx="2022">
                  <c:v>100.93592206737924</c:v>
                </c:pt>
                <c:pt idx="2023">
                  <c:v>100.93642884755809</c:v>
                </c:pt>
                <c:pt idx="2024">
                  <c:v>100.93723893730255</c:v>
                </c:pt>
                <c:pt idx="2025">
                  <c:v>100.93763563196595</c:v>
                </c:pt>
                <c:pt idx="2026">
                  <c:v>100.93723161745216</c:v>
                </c:pt>
                <c:pt idx="2027">
                  <c:v>100.93755932918468</c:v>
                </c:pt>
                <c:pt idx="2028">
                  <c:v>100.93832208996432</c:v>
                </c:pt>
                <c:pt idx="2029">
                  <c:v>100.9371089226716</c:v>
                </c:pt>
                <c:pt idx="2030">
                  <c:v>100.93723893730255</c:v>
                </c:pt>
                <c:pt idx="2031">
                  <c:v>100.93709555737374</c:v>
                </c:pt>
                <c:pt idx="2032">
                  <c:v>100.93691087061933</c:v>
                </c:pt>
                <c:pt idx="2033">
                  <c:v>100.93713563623621</c:v>
                </c:pt>
                <c:pt idx="2034">
                  <c:v>100.93784450627329</c:v>
                </c:pt>
                <c:pt idx="2035">
                  <c:v>100.93777917914761</c:v>
                </c:pt>
                <c:pt idx="2036">
                  <c:v>100.93786049050325</c:v>
                </c:pt>
                <c:pt idx="2037">
                  <c:v>100.93857901726427</c:v>
                </c:pt>
                <c:pt idx="2038">
                  <c:v>100.93874235572893</c:v>
                </c:pt>
                <c:pt idx="2039">
                  <c:v>100.94074370652119</c:v>
                </c:pt>
                <c:pt idx="2040">
                  <c:v>100.94087036426652</c:v>
                </c:pt>
                <c:pt idx="2041">
                  <c:v>100.94117384024524</c:v>
                </c:pt>
                <c:pt idx="2042">
                  <c:v>100.94194684017239</c:v>
                </c:pt>
                <c:pt idx="2043">
                  <c:v>100.94064627384927</c:v>
                </c:pt>
                <c:pt idx="2044">
                  <c:v>100.93953970515393</c:v>
                </c:pt>
                <c:pt idx="2045">
                  <c:v>100.93934643737161</c:v>
                </c:pt>
                <c:pt idx="2046">
                  <c:v>100.93893791161469</c:v>
                </c:pt>
                <c:pt idx="2047">
                  <c:v>100.94041718038396</c:v>
                </c:pt>
                <c:pt idx="2048">
                  <c:v>100.94050251256282</c:v>
                </c:pt>
                <c:pt idx="2049">
                  <c:v>100.94049862553835</c:v>
                </c:pt>
                <c:pt idx="2050">
                  <c:v>100.93990427319193</c:v>
                </c:pt>
                <c:pt idx="2051">
                  <c:v>100.93794646834694</c:v>
                </c:pt>
                <c:pt idx="2052">
                  <c:v>100.93900208649957</c:v>
                </c:pt>
                <c:pt idx="2053">
                  <c:v>100.93853884407346</c:v>
                </c:pt>
                <c:pt idx="2054">
                  <c:v>100.93910404772926</c:v>
                </c:pt>
                <c:pt idx="2055">
                  <c:v>100.93817264661803</c:v>
                </c:pt>
                <c:pt idx="2056">
                  <c:v>100.93879112471308</c:v>
                </c:pt>
                <c:pt idx="2057">
                  <c:v>100.94003697044896</c:v>
                </c:pt>
                <c:pt idx="2058">
                  <c:v>100.94004607944908</c:v>
                </c:pt>
                <c:pt idx="2059">
                  <c:v>100.94118173056862</c:v>
                </c:pt>
                <c:pt idx="2060">
                  <c:v>100.9408886669995</c:v>
                </c:pt>
                <c:pt idx="2061">
                  <c:v>100.94092877526991</c:v>
                </c:pt>
                <c:pt idx="2062">
                  <c:v>100.93993841658593</c:v>
                </c:pt>
                <c:pt idx="2063">
                  <c:v>100.93936786906737</c:v>
                </c:pt>
                <c:pt idx="2064">
                  <c:v>100.93799164144086</c:v>
                </c:pt>
                <c:pt idx="2065">
                  <c:v>100.93734289418676</c:v>
                </c:pt>
                <c:pt idx="2066">
                  <c:v>100.93649499576276</c:v>
                </c:pt>
                <c:pt idx="2067">
                  <c:v>100.93669532486419</c:v>
                </c:pt>
                <c:pt idx="2068">
                  <c:v>100.93254522147842</c:v>
                </c:pt>
                <c:pt idx="2069">
                  <c:v>100.93113716731807</c:v>
                </c:pt>
                <c:pt idx="2070">
                  <c:v>100.93380334449657</c:v>
                </c:pt>
                <c:pt idx="2071">
                  <c:v>100.93276356512109</c:v>
                </c:pt>
                <c:pt idx="2072">
                  <c:v>100.93494362513462</c:v>
                </c:pt>
                <c:pt idx="2073">
                  <c:v>100.93536165264531</c:v>
                </c:pt>
                <c:pt idx="2074">
                  <c:v>100.93313454414023</c:v>
                </c:pt>
                <c:pt idx="2075">
                  <c:v>100.93288096007437</c:v>
                </c:pt>
                <c:pt idx="2076">
                  <c:v>100.93382887162578</c:v>
                </c:pt>
                <c:pt idx="2077">
                  <c:v>100.93305817832307</c:v>
                </c:pt>
                <c:pt idx="2078">
                  <c:v>100.92885470496334</c:v>
                </c:pt>
                <c:pt idx="2079">
                  <c:v>100.9335641381013</c:v>
                </c:pt>
                <c:pt idx="2080">
                  <c:v>100.92792836664009</c:v>
                </c:pt>
                <c:pt idx="2081">
                  <c:v>100.92306092742774</c:v>
                </c:pt>
                <c:pt idx="2082">
                  <c:v>100.92263561636675</c:v>
                </c:pt>
                <c:pt idx="2083">
                  <c:v>100.92590784788581</c:v>
                </c:pt>
                <c:pt idx="2084">
                  <c:v>100.92891151765504</c:v>
                </c:pt>
                <c:pt idx="2085">
                  <c:v>100.92891151765504</c:v>
                </c:pt>
                <c:pt idx="2086">
                  <c:v>100.92726379162059</c:v>
                </c:pt>
                <c:pt idx="2087">
                  <c:v>100.92792836664009</c:v>
                </c:pt>
                <c:pt idx="2088">
                  <c:v>100.93255444348871</c:v>
                </c:pt>
                <c:pt idx="2089">
                  <c:v>100.932532152646</c:v>
                </c:pt>
                <c:pt idx="2090">
                  <c:v>100.9308584876462</c:v>
                </c:pt>
                <c:pt idx="2091">
                  <c:v>100.92766594373339</c:v>
                </c:pt>
                <c:pt idx="2092">
                  <c:v>100.92741406475106</c:v>
                </c:pt>
                <c:pt idx="2093">
                  <c:v>100.92595418415145</c:v>
                </c:pt>
                <c:pt idx="2094">
                  <c:v>100.92688830706911</c:v>
                </c:pt>
                <c:pt idx="2095">
                  <c:v>100.92569395196466</c:v>
                </c:pt>
                <c:pt idx="2096">
                  <c:v>100.92170813798941</c:v>
                </c:pt>
                <c:pt idx="2097">
                  <c:v>100.92082703649713</c:v>
                </c:pt>
                <c:pt idx="2098">
                  <c:v>100.92193732569409</c:v>
                </c:pt>
                <c:pt idx="2099">
                  <c:v>100.92117491977685</c:v>
                </c:pt>
                <c:pt idx="2100">
                  <c:v>100.9251263177199</c:v>
                </c:pt>
                <c:pt idx="2101">
                  <c:v>100.92513057884686</c:v>
                </c:pt>
                <c:pt idx="2102">
                  <c:v>100.92942929518701</c:v>
                </c:pt>
                <c:pt idx="2103">
                  <c:v>100.92925303393345</c:v>
                </c:pt>
                <c:pt idx="2104">
                  <c:v>100.92994787506582</c:v>
                </c:pt>
                <c:pt idx="2105">
                  <c:v>100.933196416078</c:v>
                </c:pt>
                <c:pt idx="2106">
                  <c:v>100.92903380484296</c:v>
                </c:pt>
                <c:pt idx="2107">
                  <c:v>100.93031974058228</c:v>
                </c:pt>
                <c:pt idx="2108">
                  <c:v>100.92732317249084</c:v>
                </c:pt>
                <c:pt idx="2109">
                  <c:v>100.92785019164793</c:v>
                </c:pt>
                <c:pt idx="2110">
                  <c:v>100.92794722621163</c:v>
                </c:pt>
                <c:pt idx="2111">
                  <c:v>100.92882647847361</c:v>
                </c:pt>
                <c:pt idx="2112">
                  <c:v>100.92860502418023</c:v>
                </c:pt>
                <c:pt idx="2113">
                  <c:v>100.92562393602654</c:v>
                </c:pt>
                <c:pt idx="2114">
                  <c:v>100.92215186960438</c:v>
                </c:pt>
                <c:pt idx="2115">
                  <c:v>100.92368577100575</c:v>
                </c:pt>
                <c:pt idx="2116">
                  <c:v>100.92080691334243</c:v>
                </c:pt>
                <c:pt idx="2117">
                  <c:v>100.91895018585325</c:v>
                </c:pt>
                <c:pt idx="2118">
                  <c:v>100.91404406693528</c:v>
                </c:pt>
                <c:pt idx="2119">
                  <c:v>100.91190213994464</c:v>
                </c:pt>
                <c:pt idx="2120">
                  <c:v>100.91950506492624</c:v>
                </c:pt>
                <c:pt idx="2121">
                  <c:v>100.91899510139295</c:v>
                </c:pt>
                <c:pt idx="2122">
                  <c:v>100.91989282959635</c:v>
                </c:pt>
                <c:pt idx="2123">
                  <c:v>100.9211701964753</c:v>
                </c:pt>
                <c:pt idx="2124">
                  <c:v>100.92307342459701</c:v>
                </c:pt>
                <c:pt idx="2125">
                  <c:v>100.92108139813901</c:v>
                </c:pt>
                <c:pt idx="2126">
                  <c:v>100.92484400688083</c:v>
                </c:pt>
                <c:pt idx="2127">
                  <c:v>100.92734012064976</c:v>
                </c:pt>
                <c:pt idx="2128">
                  <c:v>100.928527448116</c:v>
                </c:pt>
                <c:pt idx="2129">
                  <c:v>100.92864976919647</c:v>
                </c:pt>
                <c:pt idx="2130">
                  <c:v>100.92851191266861</c:v>
                </c:pt>
                <c:pt idx="2131">
                  <c:v>100.92782952162676</c:v>
                </c:pt>
                <c:pt idx="2132">
                  <c:v>100.92678749203876</c:v>
                </c:pt>
                <c:pt idx="2133">
                  <c:v>100.92929485954519</c:v>
                </c:pt>
                <c:pt idx="2134">
                  <c:v>100.92968202496763</c:v>
                </c:pt>
                <c:pt idx="2135">
                  <c:v>100.93007406007489</c:v>
                </c:pt>
                <c:pt idx="2136">
                  <c:v>100.93019691074166</c:v>
                </c:pt>
                <c:pt idx="2137">
                  <c:v>100.92745853679457</c:v>
                </c:pt>
                <c:pt idx="2138">
                  <c:v>100.92780575846636</c:v>
                </c:pt>
                <c:pt idx="2139">
                  <c:v>100.92845618847927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74-40BB-A60F-F40FB1B7ABF1}"/>
            </c:ext>
          </c:extLst>
        </c:ser>
        <c:ser>
          <c:idx val="2"/>
          <c:order val="2"/>
          <c:tx>
            <c:v>Worst of</c:v>
          </c:tx>
          <c:spPr>
            <a:ln w="76200">
              <a:solidFill>
                <a:schemeClr val="tx1">
                  <a:alpha val="43000"/>
                </a:schemeClr>
              </a:solidFill>
            </a:ln>
          </c:spPr>
          <c:marker>
            <c:symbol val="none"/>
          </c:marker>
          <c:xVal>
            <c:numRef>
              <c:f>'Perf Historique'!$G$33:$G$2172</c:f>
              <c:numCache>
                <c:formatCode>m/d/yyyy</c:formatCode>
                <c:ptCount val="2140"/>
                <c:pt idx="0">
                  <c:v>40385</c:v>
                </c:pt>
                <c:pt idx="1">
                  <c:v>40386</c:v>
                </c:pt>
                <c:pt idx="2">
                  <c:v>40387</c:v>
                </c:pt>
                <c:pt idx="3">
                  <c:v>40388</c:v>
                </c:pt>
                <c:pt idx="4">
                  <c:v>40389</c:v>
                </c:pt>
                <c:pt idx="5">
                  <c:v>40392</c:v>
                </c:pt>
                <c:pt idx="6">
                  <c:v>40393</c:v>
                </c:pt>
                <c:pt idx="7">
                  <c:v>40394</c:v>
                </c:pt>
                <c:pt idx="8">
                  <c:v>40395</c:v>
                </c:pt>
                <c:pt idx="9">
                  <c:v>40396</c:v>
                </c:pt>
                <c:pt idx="10">
                  <c:v>40399</c:v>
                </c:pt>
                <c:pt idx="11">
                  <c:v>40400</c:v>
                </c:pt>
                <c:pt idx="12">
                  <c:v>40401</c:v>
                </c:pt>
                <c:pt idx="13">
                  <c:v>40402</c:v>
                </c:pt>
                <c:pt idx="14">
                  <c:v>40403</c:v>
                </c:pt>
                <c:pt idx="15">
                  <c:v>40406</c:v>
                </c:pt>
                <c:pt idx="16">
                  <c:v>40407</c:v>
                </c:pt>
                <c:pt idx="17">
                  <c:v>40408</c:v>
                </c:pt>
                <c:pt idx="18">
                  <c:v>40409</c:v>
                </c:pt>
                <c:pt idx="19">
                  <c:v>40410</c:v>
                </c:pt>
                <c:pt idx="20">
                  <c:v>40413</c:v>
                </c:pt>
                <c:pt idx="21">
                  <c:v>40414</c:v>
                </c:pt>
                <c:pt idx="22">
                  <c:v>40415</c:v>
                </c:pt>
                <c:pt idx="23">
                  <c:v>40416</c:v>
                </c:pt>
                <c:pt idx="24">
                  <c:v>40417</c:v>
                </c:pt>
                <c:pt idx="25">
                  <c:v>40420</c:v>
                </c:pt>
                <c:pt idx="26">
                  <c:v>40421</c:v>
                </c:pt>
                <c:pt idx="27">
                  <c:v>40422</c:v>
                </c:pt>
                <c:pt idx="28">
                  <c:v>40423</c:v>
                </c:pt>
                <c:pt idx="29">
                  <c:v>40424</c:v>
                </c:pt>
                <c:pt idx="30">
                  <c:v>40428</c:v>
                </c:pt>
                <c:pt idx="31">
                  <c:v>40429</c:v>
                </c:pt>
                <c:pt idx="32">
                  <c:v>40430</c:v>
                </c:pt>
                <c:pt idx="33">
                  <c:v>40431</c:v>
                </c:pt>
                <c:pt idx="34">
                  <c:v>40434</c:v>
                </c:pt>
                <c:pt idx="35">
                  <c:v>40435</c:v>
                </c:pt>
                <c:pt idx="36">
                  <c:v>40436</c:v>
                </c:pt>
                <c:pt idx="37">
                  <c:v>40437</c:v>
                </c:pt>
                <c:pt idx="38">
                  <c:v>40438</c:v>
                </c:pt>
                <c:pt idx="39">
                  <c:v>40441</c:v>
                </c:pt>
                <c:pt idx="40">
                  <c:v>40442</c:v>
                </c:pt>
                <c:pt idx="41">
                  <c:v>40443</c:v>
                </c:pt>
                <c:pt idx="42">
                  <c:v>40444</c:v>
                </c:pt>
                <c:pt idx="43">
                  <c:v>40445</c:v>
                </c:pt>
                <c:pt idx="44">
                  <c:v>40448</c:v>
                </c:pt>
                <c:pt idx="45">
                  <c:v>40449</c:v>
                </c:pt>
                <c:pt idx="46">
                  <c:v>40450</c:v>
                </c:pt>
                <c:pt idx="47">
                  <c:v>40451</c:v>
                </c:pt>
                <c:pt idx="48">
                  <c:v>40452</c:v>
                </c:pt>
                <c:pt idx="49">
                  <c:v>40455</c:v>
                </c:pt>
                <c:pt idx="50">
                  <c:v>40456</c:v>
                </c:pt>
                <c:pt idx="51">
                  <c:v>40457</c:v>
                </c:pt>
                <c:pt idx="52">
                  <c:v>40458</c:v>
                </c:pt>
                <c:pt idx="53">
                  <c:v>40459</c:v>
                </c:pt>
                <c:pt idx="54">
                  <c:v>40462</c:v>
                </c:pt>
                <c:pt idx="55">
                  <c:v>40463</c:v>
                </c:pt>
                <c:pt idx="56">
                  <c:v>40464</c:v>
                </c:pt>
                <c:pt idx="57">
                  <c:v>40465</c:v>
                </c:pt>
                <c:pt idx="58">
                  <c:v>40466</c:v>
                </c:pt>
                <c:pt idx="59">
                  <c:v>40469</c:v>
                </c:pt>
                <c:pt idx="60">
                  <c:v>40470</c:v>
                </c:pt>
                <c:pt idx="61">
                  <c:v>40471</c:v>
                </c:pt>
                <c:pt idx="62">
                  <c:v>40472</c:v>
                </c:pt>
                <c:pt idx="63">
                  <c:v>40473</c:v>
                </c:pt>
                <c:pt idx="64">
                  <c:v>40476</c:v>
                </c:pt>
                <c:pt idx="65">
                  <c:v>40477</c:v>
                </c:pt>
                <c:pt idx="66">
                  <c:v>40478</c:v>
                </c:pt>
                <c:pt idx="67">
                  <c:v>40479</c:v>
                </c:pt>
                <c:pt idx="68">
                  <c:v>40480</c:v>
                </c:pt>
                <c:pt idx="69">
                  <c:v>40483</c:v>
                </c:pt>
                <c:pt idx="70">
                  <c:v>40484</c:v>
                </c:pt>
                <c:pt idx="71">
                  <c:v>40485</c:v>
                </c:pt>
                <c:pt idx="72">
                  <c:v>40486</c:v>
                </c:pt>
                <c:pt idx="73">
                  <c:v>40487</c:v>
                </c:pt>
                <c:pt idx="74">
                  <c:v>40490</c:v>
                </c:pt>
                <c:pt idx="75">
                  <c:v>40491</c:v>
                </c:pt>
                <c:pt idx="76">
                  <c:v>40492</c:v>
                </c:pt>
                <c:pt idx="77">
                  <c:v>40493</c:v>
                </c:pt>
                <c:pt idx="78">
                  <c:v>40494</c:v>
                </c:pt>
                <c:pt idx="79">
                  <c:v>40497</c:v>
                </c:pt>
                <c:pt idx="80">
                  <c:v>40498</c:v>
                </c:pt>
                <c:pt idx="81">
                  <c:v>40499</c:v>
                </c:pt>
                <c:pt idx="82">
                  <c:v>40500</c:v>
                </c:pt>
                <c:pt idx="83">
                  <c:v>40501</c:v>
                </c:pt>
                <c:pt idx="84">
                  <c:v>40504</c:v>
                </c:pt>
                <c:pt idx="85">
                  <c:v>40505</c:v>
                </c:pt>
                <c:pt idx="86">
                  <c:v>40506</c:v>
                </c:pt>
                <c:pt idx="87">
                  <c:v>40508</c:v>
                </c:pt>
                <c:pt idx="88">
                  <c:v>40511</c:v>
                </c:pt>
                <c:pt idx="89">
                  <c:v>40512</c:v>
                </c:pt>
                <c:pt idx="90">
                  <c:v>40513</c:v>
                </c:pt>
                <c:pt idx="91">
                  <c:v>40514</c:v>
                </c:pt>
                <c:pt idx="92">
                  <c:v>40515</c:v>
                </c:pt>
                <c:pt idx="93">
                  <c:v>40518</c:v>
                </c:pt>
                <c:pt idx="94">
                  <c:v>40519</c:v>
                </c:pt>
                <c:pt idx="95">
                  <c:v>40520</c:v>
                </c:pt>
                <c:pt idx="96">
                  <c:v>40521</c:v>
                </c:pt>
                <c:pt idx="97">
                  <c:v>40522</c:v>
                </c:pt>
                <c:pt idx="98">
                  <c:v>40525</c:v>
                </c:pt>
                <c:pt idx="99">
                  <c:v>40526</c:v>
                </c:pt>
                <c:pt idx="100">
                  <c:v>40527</c:v>
                </c:pt>
                <c:pt idx="101">
                  <c:v>40528</c:v>
                </c:pt>
                <c:pt idx="102">
                  <c:v>40529</c:v>
                </c:pt>
                <c:pt idx="103">
                  <c:v>40532</c:v>
                </c:pt>
                <c:pt idx="104">
                  <c:v>40533</c:v>
                </c:pt>
                <c:pt idx="105">
                  <c:v>40534</c:v>
                </c:pt>
                <c:pt idx="106">
                  <c:v>40535</c:v>
                </c:pt>
                <c:pt idx="107">
                  <c:v>40539</c:v>
                </c:pt>
                <c:pt idx="108">
                  <c:v>40540</c:v>
                </c:pt>
                <c:pt idx="109">
                  <c:v>40541</c:v>
                </c:pt>
                <c:pt idx="110">
                  <c:v>40542</c:v>
                </c:pt>
                <c:pt idx="111">
                  <c:v>40543</c:v>
                </c:pt>
                <c:pt idx="112">
                  <c:v>40546</c:v>
                </c:pt>
                <c:pt idx="113">
                  <c:v>40547</c:v>
                </c:pt>
                <c:pt idx="114">
                  <c:v>40548</c:v>
                </c:pt>
                <c:pt idx="115">
                  <c:v>40549</c:v>
                </c:pt>
                <c:pt idx="116">
                  <c:v>40550</c:v>
                </c:pt>
                <c:pt idx="117">
                  <c:v>40553</c:v>
                </c:pt>
                <c:pt idx="118">
                  <c:v>40554</c:v>
                </c:pt>
                <c:pt idx="119">
                  <c:v>40555</c:v>
                </c:pt>
                <c:pt idx="120">
                  <c:v>40556</c:v>
                </c:pt>
                <c:pt idx="121">
                  <c:v>40557</c:v>
                </c:pt>
                <c:pt idx="122">
                  <c:v>40561</c:v>
                </c:pt>
                <c:pt idx="123">
                  <c:v>40562</c:v>
                </c:pt>
                <c:pt idx="124">
                  <c:v>40563</c:v>
                </c:pt>
                <c:pt idx="125">
                  <c:v>40564</c:v>
                </c:pt>
                <c:pt idx="126">
                  <c:v>40567</c:v>
                </c:pt>
                <c:pt idx="127">
                  <c:v>40568</c:v>
                </c:pt>
                <c:pt idx="128">
                  <c:v>40569</c:v>
                </c:pt>
                <c:pt idx="129">
                  <c:v>40570</c:v>
                </c:pt>
                <c:pt idx="130">
                  <c:v>40571</c:v>
                </c:pt>
                <c:pt idx="131">
                  <c:v>40574</c:v>
                </c:pt>
                <c:pt idx="132">
                  <c:v>40575</c:v>
                </c:pt>
                <c:pt idx="133">
                  <c:v>40576</c:v>
                </c:pt>
                <c:pt idx="134">
                  <c:v>40577</c:v>
                </c:pt>
                <c:pt idx="135">
                  <c:v>40578</c:v>
                </c:pt>
                <c:pt idx="136">
                  <c:v>40581</c:v>
                </c:pt>
                <c:pt idx="137">
                  <c:v>40582</c:v>
                </c:pt>
                <c:pt idx="138">
                  <c:v>40583</c:v>
                </c:pt>
                <c:pt idx="139">
                  <c:v>40584</c:v>
                </c:pt>
                <c:pt idx="140">
                  <c:v>40585</c:v>
                </c:pt>
                <c:pt idx="141">
                  <c:v>40588</c:v>
                </c:pt>
                <c:pt idx="142">
                  <c:v>40589</c:v>
                </c:pt>
                <c:pt idx="143">
                  <c:v>40590</c:v>
                </c:pt>
                <c:pt idx="144">
                  <c:v>40591</c:v>
                </c:pt>
                <c:pt idx="145">
                  <c:v>40592</c:v>
                </c:pt>
                <c:pt idx="146">
                  <c:v>40596</c:v>
                </c:pt>
                <c:pt idx="147">
                  <c:v>40597</c:v>
                </c:pt>
                <c:pt idx="148">
                  <c:v>40598</c:v>
                </c:pt>
                <c:pt idx="149">
                  <c:v>40599</c:v>
                </c:pt>
                <c:pt idx="150">
                  <c:v>40602</c:v>
                </c:pt>
                <c:pt idx="151">
                  <c:v>40603</c:v>
                </c:pt>
                <c:pt idx="152">
                  <c:v>40604</c:v>
                </c:pt>
                <c:pt idx="153">
                  <c:v>40605</c:v>
                </c:pt>
                <c:pt idx="154">
                  <c:v>40606</c:v>
                </c:pt>
                <c:pt idx="155">
                  <c:v>40609</c:v>
                </c:pt>
                <c:pt idx="156">
                  <c:v>40610</c:v>
                </c:pt>
                <c:pt idx="157">
                  <c:v>40611</c:v>
                </c:pt>
                <c:pt idx="158">
                  <c:v>40612</c:v>
                </c:pt>
                <c:pt idx="159">
                  <c:v>40613</c:v>
                </c:pt>
                <c:pt idx="160">
                  <c:v>40616</c:v>
                </c:pt>
                <c:pt idx="161">
                  <c:v>40617</c:v>
                </c:pt>
                <c:pt idx="162">
                  <c:v>40618</c:v>
                </c:pt>
                <c:pt idx="163">
                  <c:v>40619</c:v>
                </c:pt>
                <c:pt idx="164">
                  <c:v>40620</c:v>
                </c:pt>
                <c:pt idx="165">
                  <c:v>40623</c:v>
                </c:pt>
                <c:pt idx="166">
                  <c:v>40624</c:v>
                </c:pt>
                <c:pt idx="167">
                  <c:v>40625</c:v>
                </c:pt>
                <c:pt idx="168">
                  <c:v>40626</c:v>
                </c:pt>
                <c:pt idx="169">
                  <c:v>40627</c:v>
                </c:pt>
                <c:pt idx="170">
                  <c:v>40630</c:v>
                </c:pt>
                <c:pt idx="171">
                  <c:v>40631</c:v>
                </c:pt>
                <c:pt idx="172">
                  <c:v>40632</c:v>
                </c:pt>
                <c:pt idx="173">
                  <c:v>40633</c:v>
                </c:pt>
                <c:pt idx="174">
                  <c:v>40634</c:v>
                </c:pt>
                <c:pt idx="175">
                  <c:v>40637</c:v>
                </c:pt>
                <c:pt idx="176">
                  <c:v>40638</c:v>
                </c:pt>
                <c:pt idx="177">
                  <c:v>40639</c:v>
                </c:pt>
                <c:pt idx="178">
                  <c:v>40640</c:v>
                </c:pt>
                <c:pt idx="179">
                  <c:v>40641</c:v>
                </c:pt>
                <c:pt idx="180">
                  <c:v>40644</c:v>
                </c:pt>
                <c:pt idx="181">
                  <c:v>40645</c:v>
                </c:pt>
                <c:pt idx="182">
                  <c:v>40646</c:v>
                </c:pt>
                <c:pt idx="183">
                  <c:v>40647</c:v>
                </c:pt>
                <c:pt idx="184">
                  <c:v>40648</c:v>
                </c:pt>
                <c:pt idx="185">
                  <c:v>40651</c:v>
                </c:pt>
                <c:pt idx="186">
                  <c:v>40652</c:v>
                </c:pt>
                <c:pt idx="187">
                  <c:v>40653</c:v>
                </c:pt>
                <c:pt idx="188">
                  <c:v>40654</c:v>
                </c:pt>
                <c:pt idx="189">
                  <c:v>40658</c:v>
                </c:pt>
                <c:pt idx="190">
                  <c:v>40659</c:v>
                </c:pt>
                <c:pt idx="191">
                  <c:v>40660</c:v>
                </c:pt>
                <c:pt idx="192">
                  <c:v>40661</c:v>
                </c:pt>
                <c:pt idx="193">
                  <c:v>40662</c:v>
                </c:pt>
                <c:pt idx="194">
                  <c:v>40665</c:v>
                </c:pt>
                <c:pt idx="195">
                  <c:v>40666</c:v>
                </c:pt>
                <c:pt idx="196">
                  <c:v>40667</c:v>
                </c:pt>
                <c:pt idx="197">
                  <c:v>40668</c:v>
                </c:pt>
                <c:pt idx="198">
                  <c:v>40669</c:v>
                </c:pt>
                <c:pt idx="199">
                  <c:v>40672</c:v>
                </c:pt>
                <c:pt idx="200">
                  <c:v>40673</c:v>
                </c:pt>
                <c:pt idx="201">
                  <c:v>40674</c:v>
                </c:pt>
                <c:pt idx="202">
                  <c:v>40675</c:v>
                </c:pt>
                <c:pt idx="203">
                  <c:v>40676</c:v>
                </c:pt>
                <c:pt idx="204">
                  <c:v>40679</c:v>
                </c:pt>
                <c:pt idx="205">
                  <c:v>40680</c:v>
                </c:pt>
                <c:pt idx="206">
                  <c:v>40681</c:v>
                </c:pt>
                <c:pt idx="207">
                  <c:v>40682</c:v>
                </c:pt>
                <c:pt idx="208">
                  <c:v>40683</c:v>
                </c:pt>
                <c:pt idx="209">
                  <c:v>40686</c:v>
                </c:pt>
                <c:pt idx="210">
                  <c:v>40687</c:v>
                </c:pt>
                <c:pt idx="211">
                  <c:v>40688</c:v>
                </c:pt>
                <c:pt idx="212">
                  <c:v>40689</c:v>
                </c:pt>
                <c:pt idx="213">
                  <c:v>40690</c:v>
                </c:pt>
                <c:pt idx="214">
                  <c:v>40694</c:v>
                </c:pt>
                <c:pt idx="215">
                  <c:v>40695</c:v>
                </c:pt>
                <c:pt idx="216">
                  <c:v>40696</c:v>
                </c:pt>
                <c:pt idx="217">
                  <c:v>40697</c:v>
                </c:pt>
                <c:pt idx="218">
                  <c:v>40700</c:v>
                </c:pt>
                <c:pt idx="219">
                  <c:v>40701</c:v>
                </c:pt>
                <c:pt idx="220">
                  <c:v>40702</c:v>
                </c:pt>
                <c:pt idx="221">
                  <c:v>40703</c:v>
                </c:pt>
                <c:pt idx="222">
                  <c:v>40704</c:v>
                </c:pt>
                <c:pt idx="223">
                  <c:v>40707</c:v>
                </c:pt>
                <c:pt idx="224">
                  <c:v>40708</c:v>
                </c:pt>
                <c:pt idx="225">
                  <c:v>40709</c:v>
                </c:pt>
                <c:pt idx="226">
                  <c:v>40710</c:v>
                </c:pt>
                <c:pt idx="227">
                  <c:v>40711</c:v>
                </c:pt>
                <c:pt idx="228">
                  <c:v>40714</c:v>
                </c:pt>
                <c:pt idx="229">
                  <c:v>40715</c:v>
                </c:pt>
                <c:pt idx="230">
                  <c:v>40716</c:v>
                </c:pt>
                <c:pt idx="231">
                  <c:v>40717</c:v>
                </c:pt>
                <c:pt idx="232">
                  <c:v>40718</c:v>
                </c:pt>
                <c:pt idx="233">
                  <c:v>40721</c:v>
                </c:pt>
                <c:pt idx="234">
                  <c:v>40722</c:v>
                </c:pt>
                <c:pt idx="235">
                  <c:v>40723</c:v>
                </c:pt>
                <c:pt idx="236">
                  <c:v>40724</c:v>
                </c:pt>
                <c:pt idx="237">
                  <c:v>40725</c:v>
                </c:pt>
                <c:pt idx="238">
                  <c:v>40729</c:v>
                </c:pt>
                <c:pt idx="239">
                  <c:v>40730</c:v>
                </c:pt>
                <c:pt idx="240">
                  <c:v>40731</c:v>
                </c:pt>
                <c:pt idx="241">
                  <c:v>40732</c:v>
                </c:pt>
                <c:pt idx="242">
                  <c:v>40735</c:v>
                </c:pt>
                <c:pt idx="243">
                  <c:v>40736</c:v>
                </c:pt>
                <c:pt idx="244">
                  <c:v>40737</c:v>
                </c:pt>
                <c:pt idx="245">
                  <c:v>40738</c:v>
                </c:pt>
                <c:pt idx="246">
                  <c:v>40739</c:v>
                </c:pt>
                <c:pt idx="247">
                  <c:v>40742</c:v>
                </c:pt>
                <c:pt idx="248">
                  <c:v>40743</c:v>
                </c:pt>
                <c:pt idx="249">
                  <c:v>40744</c:v>
                </c:pt>
                <c:pt idx="250">
                  <c:v>40745</c:v>
                </c:pt>
                <c:pt idx="251">
                  <c:v>40746</c:v>
                </c:pt>
                <c:pt idx="252">
                  <c:v>40749</c:v>
                </c:pt>
                <c:pt idx="253">
                  <c:v>40750</c:v>
                </c:pt>
                <c:pt idx="254">
                  <c:v>40751</c:v>
                </c:pt>
                <c:pt idx="255">
                  <c:v>40752</c:v>
                </c:pt>
                <c:pt idx="256">
                  <c:v>40753</c:v>
                </c:pt>
                <c:pt idx="257">
                  <c:v>40756</c:v>
                </c:pt>
                <c:pt idx="258">
                  <c:v>40757</c:v>
                </c:pt>
                <c:pt idx="259">
                  <c:v>40758</c:v>
                </c:pt>
                <c:pt idx="260">
                  <c:v>40759</c:v>
                </c:pt>
                <c:pt idx="261">
                  <c:v>40760</c:v>
                </c:pt>
                <c:pt idx="262">
                  <c:v>40763</c:v>
                </c:pt>
                <c:pt idx="263">
                  <c:v>40764</c:v>
                </c:pt>
                <c:pt idx="264">
                  <c:v>40765</c:v>
                </c:pt>
                <c:pt idx="265">
                  <c:v>40766</c:v>
                </c:pt>
                <c:pt idx="266">
                  <c:v>40767</c:v>
                </c:pt>
                <c:pt idx="267">
                  <c:v>40770</c:v>
                </c:pt>
                <c:pt idx="268">
                  <c:v>40771</c:v>
                </c:pt>
                <c:pt idx="269">
                  <c:v>40772</c:v>
                </c:pt>
                <c:pt idx="270">
                  <c:v>40773</c:v>
                </c:pt>
                <c:pt idx="271">
                  <c:v>40774</c:v>
                </c:pt>
                <c:pt idx="272">
                  <c:v>40777</c:v>
                </c:pt>
                <c:pt idx="273">
                  <c:v>40778</c:v>
                </c:pt>
                <c:pt idx="274">
                  <c:v>40779</c:v>
                </c:pt>
                <c:pt idx="275">
                  <c:v>40780</c:v>
                </c:pt>
                <c:pt idx="276">
                  <c:v>40781</c:v>
                </c:pt>
                <c:pt idx="277">
                  <c:v>40784</c:v>
                </c:pt>
                <c:pt idx="278">
                  <c:v>40785</c:v>
                </c:pt>
                <c:pt idx="279">
                  <c:v>40786</c:v>
                </c:pt>
                <c:pt idx="280">
                  <c:v>40787</c:v>
                </c:pt>
                <c:pt idx="281">
                  <c:v>40788</c:v>
                </c:pt>
                <c:pt idx="282">
                  <c:v>40792</c:v>
                </c:pt>
                <c:pt idx="283">
                  <c:v>40793</c:v>
                </c:pt>
                <c:pt idx="284">
                  <c:v>40794</c:v>
                </c:pt>
                <c:pt idx="285">
                  <c:v>40795</c:v>
                </c:pt>
                <c:pt idx="286">
                  <c:v>40798</c:v>
                </c:pt>
                <c:pt idx="287">
                  <c:v>40799</c:v>
                </c:pt>
                <c:pt idx="288">
                  <c:v>40800</c:v>
                </c:pt>
                <c:pt idx="289">
                  <c:v>40801</c:v>
                </c:pt>
                <c:pt idx="290">
                  <c:v>40802</c:v>
                </c:pt>
                <c:pt idx="291">
                  <c:v>40805</c:v>
                </c:pt>
                <c:pt idx="292">
                  <c:v>40806</c:v>
                </c:pt>
                <c:pt idx="293">
                  <c:v>40807</c:v>
                </c:pt>
                <c:pt idx="294">
                  <c:v>40808</c:v>
                </c:pt>
                <c:pt idx="295">
                  <c:v>40809</c:v>
                </c:pt>
                <c:pt idx="296">
                  <c:v>40812</c:v>
                </c:pt>
                <c:pt idx="297">
                  <c:v>40813</c:v>
                </c:pt>
                <c:pt idx="298">
                  <c:v>40814</c:v>
                </c:pt>
                <c:pt idx="299">
                  <c:v>40815</c:v>
                </c:pt>
                <c:pt idx="300">
                  <c:v>40816</c:v>
                </c:pt>
                <c:pt idx="301">
                  <c:v>40819</c:v>
                </c:pt>
                <c:pt idx="302">
                  <c:v>40820</c:v>
                </c:pt>
                <c:pt idx="303">
                  <c:v>40821</c:v>
                </c:pt>
                <c:pt idx="304">
                  <c:v>40822</c:v>
                </c:pt>
                <c:pt idx="305">
                  <c:v>40823</c:v>
                </c:pt>
                <c:pt idx="306">
                  <c:v>40826</c:v>
                </c:pt>
                <c:pt idx="307">
                  <c:v>40827</c:v>
                </c:pt>
                <c:pt idx="308">
                  <c:v>40828</c:v>
                </c:pt>
                <c:pt idx="309">
                  <c:v>40829</c:v>
                </c:pt>
                <c:pt idx="310">
                  <c:v>40830</c:v>
                </c:pt>
                <c:pt idx="311">
                  <c:v>40833</c:v>
                </c:pt>
                <c:pt idx="312">
                  <c:v>40834</c:v>
                </c:pt>
                <c:pt idx="313">
                  <c:v>40835</c:v>
                </c:pt>
                <c:pt idx="314">
                  <c:v>40836</c:v>
                </c:pt>
                <c:pt idx="315">
                  <c:v>40837</c:v>
                </c:pt>
                <c:pt idx="316">
                  <c:v>40840</c:v>
                </c:pt>
                <c:pt idx="317">
                  <c:v>40841</c:v>
                </c:pt>
                <c:pt idx="318">
                  <c:v>40842</c:v>
                </c:pt>
                <c:pt idx="319">
                  <c:v>40843</c:v>
                </c:pt>
                <c:pt idx="320">
                  <c:v>40844</c:v>
                </c:pt>
                <c:pt idx="321">
                  <c:v>40847</c:v>
                </c:pt>
                <c:pt idx="322">
                  <c:v>40848</c:v>
                </c:pt>
                <c:pt idx="323">
                  <c:v>40849</c:v>
                </c:pt>
                <c:pt idx="324">
                  <c:v>40850</c:v>
                </c:pt>
                <c:pt idx="325">
                  <c:v>40851</c:v>
                </c:pt>
                <c:pt idx="326">
                  <c:v>40854</c:v>
                </c:pt>
                <c:pt idx="327">
                  <c:v>40855</c:v>
                </c:pt>
                <c:pt idx="328">
                  <c:v>40856</c:v>
                </c:pt>
                <c:pt idx="329">
                  <c:v>40857</c:v>
                </c:pt>
                <c:pt idx="330">
                  <c:v>40858</c:v>
                </c:pt>
                <c:pt idx="331">
                  <c:v>40861</c:v>
                </c:pt>
                <c:pt idx="332">
                  <c:v>40862</c:v>
                </c:pt>
                <c:pt idx="333">
                  <c:v>40863</c:v>
                </c:pt>
                <c:pt idx="334">
                  <c:v>40864</c:v>
                </c:pt>
                <c:pt idx="335">
                  <c:v>40865</c:v>
                </c:pt>
                <c:pt idx="336">
                  <c:v>40868</c:v>
                </c:pt>
                <c:pt idx="337">
                  <c:v>40869</c:v>
                </c:pt>
                <c:pt idx="338">
                  <c:v>40870</c:v>
                </c:pt>
                <c:pt idx="339">
                  <c:v>40872</c:v>
                </c:pt>
                <c:pt idx="340">
                  <c:v>40875</c:v>
                </c:pt>
                <c:pt idx="341">
                  <c:v>40876</c:v>
                </c:pt>
                <c:pt idx="342">
                  <c:v>40877</c:v>
                </c:pt>
                <c:pt idx="343">
                  <c:v>40878</c:v>
                </c:pt>
                <c:pt idx="344">
                  <c:v>40879</c:v>
                </c:pt>
                <c:pt idx="345">
                  <c:v>40882</c:v>
                </c:pt>
                <c:pt idx="346">
                  <c:v>40883</c:v>
                </c:pt>
                <c:pt idx="347">
                  <c:v>40884</c:v>
                </c:pt>
                <c:pt idx="348">
                  <c:v>40885</c:v>
                </c:pt>
                <c:pt idx="349">
                  <c:v>40886</c:v>
                </c:pt>
                <c:pt idx="350">
                  <c:v>40889</c:v>
                </c:pt>
                <c:pt idx="351">
                  <c:v>40890</c:v>
                </c:pt>
                <c:pt idx="352">
                  <c:v>40891</c:v>
                </c:pt>
                <c:pt idx="353">
                  <c:v>40892</c:v>
                </c:pt>
                <c:pt idx="354">
                  <c:v>40893</c:v>
                </c:pt>
                <c:pt idx="355">
                  <c:v>40896</c:v>
                </c:pt>
                <c:pt idx="356">
                  <c:v>40897</c:v>
                </c:pt>
                <c:pt idx="357">
                  <c:v>40898</c:v>
                </c:pt>
                <c:pt idx="358">
                  <c:v>40899</c:v>
                </c:pt>
                <c:pt idx="359">
                  <c:v>40900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40911</c:v>
                </c:pt>
                <c:pt idx="365">
                  <c:v>40912</c:v>
                </c:pt>
                <c:pt idx="366">
                  <c:v>40913</c:v>
                </c:pt>
                <c:pt idx="367">
                  <c:v>40914</c:v>
                </c:pt>
                <c:pt idx="368">
                  <c:v>40917</c:v>
                </c:pt>
                <c:pt idx="369">
                  <c:v>40918</c:v>
                </c:pt>
                <c:pt idx="370">
                  <c:v>40919</c:v>
                </c:pt>
                <c:pt idx="371">
                  <c:v>40920</c:v>
                </c:pt>
                <c:pt idx="372">
                  <c:v>40921</c:v>
                </c:pt>
                <c:pt idx="373">
                  <c:v>40925</c:v>
                </c:pt>
                <c:pt idx="374">
                  <c:v>40926</c:v>
                </c:pt>
                <c:pt idx="375">
                  <c:v>40927</c:v>
                </c:pt>
                <c:pt idx="376">
                  <c:v>40928</c:v>
                </c:pt>
                <c:pt idx="377">
                  <c:v>40931</c:v>
                </c:pt>
                <c:pt idx="378">
                  <c:v>40932</c:v>
                </c:pt>
                <c:pt idx="379">
                  <c:v>40933</c:v>
                </c:pt>
                <c:pt idx="380">
                  <c:v>40934</c:v>
                </c:pt>
                <c:pt idx="381">
                  <c:v>40935</c:v>
                </c:pt>
                <c:pt idx="382">
                  <c:v>40938</c:v>
                </c:pt>
                <c:pt idx="383">
                  <c:v>40939</c:v>
                </c:pt>
                <c:pt idx="384">
                  <c:v>40940</c:v>
                </c:pt>
                <c:pt idx="385">
                  <c:v>40941</c:v>
                </c:pt>
                <c:pt idx="386">
                  <c:v>40942</c:v>
                </c:pt>
                <c:pt idx="387">
                  <c:v>40945</c:v>
                </c:pt>
                <c:pt idx="388">
                  <c:v>40946</c:v>
                </c:pt>
                <c:pt idx="389">
                  <c:v>40947</c:v>
                </c:pt>
                <c:pt idx="390">
                  <c:v>40948</c:v>
                </c:pt>
                <c:pt idx="391">
                  <c:v>40949</c:v>
                </c:pt>
                <c:pt idx="392">
                  <c:v>40952</c:v>
                </c:pt>
                <c:pt idx="393">
                  <c:v>40953</c:v>
                </c:pt>
                <c:pt idx="394">
                  <c:v>40954</c:v>
                </c:pt>
                <c:pt idx="395">
                  <c:v>40955</c:v>
                </c:pt>
                <c:pt idx="396">
                  <c:v>40956</c:v>
                </c:pt>
                <c:pt idx="397">
                  <c:v>40960</c:v>
                </c:pt>
                <c:pt idx="398">
                  <c:v>40961</c:v>
                </c:pt>
                <c:pt idx="399">
                  <c:v>40962</c:v>
                </c:pt>
                <c:pt idx="400">
                  <c:v>40963</c:v>
                </c:pt>
                <c:pt idx="401">
                  <c:v>40966</c:v>
                </c:pt>
                <c:pt idx="402">
                  <c:v>40967</c:v>
                </c:pt>
                <c:pt idx="403">
                  <c:v>40968</c:v>
                </c:pt>
                <c:pt idx="404">
                  <c:v>40969</c:v>
                </c:pt>
                <c:pt idx="405">
                  <c:v>40970</c:v>
                </c:pt>
                <c:pt idx="406">
                  <c:v>40973</c:v>
                </c:pt>
                <c:pt idx="407">
                  <c:v>40974</c:v>
                </c:pt>
                <c:pt idx="408">
                  <c:v>40975</c:v>
                </c:pt>
                <c:pt idx="409">
                  <c:v>40976</c:v>
                </c:pt>
                <c:pt idx="410">
                  <c:v>40977</c:v>
                </c:pt>
                <c:pt idx="411">
                  <c:v>40980</c:v>
                </c:pt>
                <c:pt idx="412">
                  <c:v>40981</c:v>
                </c:pt>
                <c:pt idx="413">
                  <c:v>40982</c:v>
                </c:pt>
                <c:pt idx="414">
                  <c:v>40983</c:v>
                </c:pt>
                <c:pt idx="415">
                  <c:v>40984</c:v>
                </c:pt>
                <c:pt idx="416">
                  <c:v>40987</c:v>
                </c:pt>
                <c:pt idx="417">
                  <c:v>40988</c:v>
                </c:pt>
                <c:pt idx="418">
                  <c:v>40989</c:v>
                </c:pt>
                <c:pt idx="419">
                  <c:v>40990</c:v>
                </c:pt>
                <c:pt idx="420">
                  <c:v>40991</c:v>
                </c:pt>
                <c:pt idx="421">
                  <c:v>40994</c:v>
                </c:pt>
                <c:pt idx="422">
                  <c:v>40995</c:v>
                </c:pt>
                <c:pt idx="423">
                  <c:v>40996</c:v>
                </c:pt>
                <c:pt idx="424">
                  <c:v>40997</c:v>
                </c:pt>
                <c:pt idx="425">
                  <c:v>40998</c:v>
                </c:pt>
                <c:pt idx="426">
                  <c:v>41001</c:v>
                </c:pt>
                <c:pt idx="427">
                  <c:v>41002</c:v>
                </c:pt>
                <c:pt idx="428">
                  <c:v>41003</c:v>
                </c:pt>
                <c:pt idx="429">
                  <c:v>41004</c:v>
                </c:pt>
                <c:pt idx="430">
                  <c:v>41008</c:v>
                </c:pt>
                <c:pt idx="431">
                  <c:v>41009</c:v>
                </c:pt>
                <c:pt idx="432">
                  <c:v>41010</c:v>
                </c:pt>
                <c:pt idx="433">
                  <c:v>41011</c:v>
                </c:pt>
                <c:pt idx="434">
                  <c:v>41012</c:v>
                </c:pt>
                <c:pt idx="435">
                  <c:v>41015</c:v>
                </c:pt>
                <c:pt idx="436">
                  <c:v>41016</c:v>
                </c:pt>
                <c:pt idx="437">
                  <c:v>41017</c:v>
                </c:pt>
                <c:pt idx="438">
                  <c:v>41018</c:v>
                </c:pt>
                <c:pt idx="439">
                  <c:v>41019</c:v>
                </c:pt>
                <c:pt idx="440">
                  <c:v>41022</c:v>
                </c:pt>
                <c:pt idx="441">
                  <c:v>41023</c:v>
                </c:pt>
                <c:pt idx="442">
                  <c:v>41024</c:v>
                </c:pt>
                <c:pt idx="443">
                  <c:v>41025</c:v>
                </c:pt>
                <c:pt idx="444">
                  <c:v>41026</c:v>
                </c:pt>
                <c:pt idx="445">
                  <c:v>41029</c:v>
                </c:pt>
                <c:pt idx="446">
                  <c:v>41030</c:v>
                </c:pt>
                <c:pt idx="447">
                  <c:v>41031</c:v>
                </c:pt>
                <c:pt idx="448">
                  <c:v>41032</c:v>
                </c:pt>
                <c:pt idx="449">
                  <c:v>41033</c:v>
                </c:pt>
                <c:pt idx="450">
                  <c:v>41036</c:v>
                </c:pt>
                <c:pt idx="451">
                  <c:v>41037</c:v>
                </c:pt>
                <c:pt idx="452">
                  <c:v>41038</c:v>
                </c:pt>
                <c:pt idx="453">
                  <c:v>41039</c:v>
                </c:pt>
                <c:pt idx="454">
                  <c:v>41040</c:v>
                </c:pt>
                <c:pt idx="455">
                  <c:v>41043</c:v>
                </c:pt>
                <c:pt idx="456">
                  <c:v>41044</c:v>
                </c:pt>
                <c:pt idx="457">
                  <c:v>41045</c:v>
                </c:pt>
                <c:pt idx="458">
                  <c:v>41046</c:v>
                </c:pt>
                <c:pt idx="459">
                  <c:v>41047</c:v>
                </c:pt>
                <c:pt idx="460">
                  <c:v>41050</c:v>
                </c:pt>
                <c:pt idx="461">
                  <c:v>41051</c:v>
                </c:pt>
                <c:pt idx="462">
                  <c:v>41052</c:v>
                </c:pt>
                <c:pt idx="463">
                  <c:v>41053</c:v>
                </c:pt>
                <c:pt idx="464">
                  <c:v>41054</c:v>
                </c:pt>
                <c:pt idx="465">
                  <c:v>41058</c:v>
                </c:pt>
                <c:pt idx="466">
                  <c:v>41059</c:v>
                </c:pt>
                <c:pt idx="467">
                  <c:v>41060</c:v>
                </c:pt>
                <c:pt idx="468">
                  <c:v>41061</c:v>
                </c:pt>
                <c:pt idx="469">
                  <c:v>41064</c:v>
                </c:pt>
                <c:pt idx="470">
                  <c:v>41065</c:v>
                </c:pt>
                <c:pt idx="471">
                  <c:v>41066</c:v>
                </c:pt>
                <c:pt idx="472">
                  <c:v>41067</c:v>
                </c:pt>
                <c:pt idx="473">
                  <c:v>41068</c:v>
                </c:pt>
                <c:pt idx="474">
                  <c:v>41071</c:v>
                </c:pt>
                <c:pt idx="475">
                  <c:v>41072</c:v>
                </c:pt>
                <c:pt idx="476">
                  <c:v>41073</c:v>
                </c:pt>
                <c:pt idx="477">
                  <c:v>41074</c:v>
                </c:pt>
                <c:pt idx="478">
                  <c:v>41075</c:v>
                </c:pt>
                <c:pt idx="479">
                  <c:v>41078</c:v>
                </c:pt>
                <c:pt idx="480">
                  <c:v>41079</c:v>
                </c:pt>
                <c:pt idx="481">
                  <c:v>41080</c:v>
                </c:pt>
                <c:pt idx="482">
                  <c:v>41081</c:v>
                </c:pt>
                <c:pt idx="483">
                  <c:v>41082</c:v>
                </c:pt>
                <c:pt idx="484">
                  <c:v>41085</c:v>
                </c:pt>
                <c:pt idx="485">
                  <c:v>41086</c:v>
                </c:pt>
                <c:pt idx="486">
                  <c:v>41087</c:v>
                </c:pt>
                <c:pt idx="487">
                  <c:v>41088</c:v>
                </c:pt>
                <c:pt idx="488">
                  <c:v>41089</c:v>
                </c:pt>
                <c:pt idx="489">
                  <c:v>41092</c:v>
                </c:pt>
                <c:pt idx="490">
                  <c:v>41093</c:v>
                </c:pt>
                <c:pt idx="491">
                  <c:v>41095</c:v>
                </c:pt>
                <c:pt idx="492">
                  <c:v>41096</c:v>
                </c:pt>
                <c:pt idx="493">
                  <c:v>41099</c:v>
                </c:pt>
                <c:pt idx="494">
                  <c:v>41100</c:v>
                </c:pt>
                <c:pt idx="495">
                  <c:v>41101</c:v>
                </c:pt>
                <c:pt idx="496">
                  <c:v>41102</c:v>
                </c:pt>
                <c:pt idx="497">
                  <c:v>41103</c:v>
                </c:pt>
                <c:pt idx="498">
                  <c:v>41106</c:v>
                </c:pt>
                <c:pt idx="499">
                  <c:v>41107</c:v>
                </c:pt>
                <c:pt idx="500">
                  <c:v>41108</c:v>
                </c:pt>
                <c:pt idx="501">
                  <c:v>41109</c:v>
                </c:pt>
                <c:pt idx="502">
                  <c:v>41110</c:v>
                </c:pt>
                <c:pt idx="503">
                  <c:v>41113</c:v>
                </c:pt>
                <c:pt idx="504">
                  <c:v>41114</c:v>
                </c:pt>
                <c:pt idx="505">
                  <c:v>41115</c:v>
                </c:pt>
                <c:pt idx="506">
                  <c:v>41116</c:v>
                </c:pt>
                <c:pt idx="507">
                  <c:v>41117</c:v>
                </c:pt>
                <c:pt idx="508">
                  <c:v>41120</c:v>
                </c:pt>
                <c:pt idx="509">
                  <c:v>41121</c:v>
                </c:pt>
                <c:pt idx="510">
                  <c:v>41122</c:v>
                </c:pt>
                <c:pt idx="511">
                  <c:v>41123</c:v>
                </c:pt>
                <c:pt idx="512">
                  <c:v>41124</c:v>
                </c:pt>
                <c:pt idx="513">
                  <c:v>41127</c:v>
                </c:pt>
                <c:pt idx="514">
                  <c:v>41128</c:v>
                </c:pt>
                <c:pt idx="515">
                  <c:v>41129</c:v>
                </c:pt>
                <c:pt idx="516">
                  <c:v>41130</c:v>
                </c:pt>
                <c:pt idx="517">
                  <c:v>41131</c:v>
                </c:pt>
                <c:pt idx="518">
                  <c:v>41134</c:v>
                </c:pt>
                <c:pt idx="519">
                  <c:v>41135</c:v>
                </c:pt>
                <c:pt idx="520">
                  <c:v>41136</c:v>
                </c:pt>
                <c:pt idx="521">
                  <c:v>41137</c:v>
                </c:pt>
                <c:pt idx="522">
                  <c:v>41138</c:v>
                </c:pt>
                <c:pt idx="523">
                  <c:v>41141</c:v>
                </c:pt>
                <c:pt idx="524">
                  <c:v>41142</c:v>
                </c:pt>
                <c:pt idx="525">
                  <c:v>41143</c:v>
                </c:pt>
                <c:pt idx="526">
                  <c:v>41144</c:v>
                </c:pt>
                <c:pt idx="527">
                  <c:v>41145</c:v>
                </c:pt>
                <c:pt idx="528">
                  <c:v>41148</c:v>
                </c:pt>
                <c:pt idx="529">
                  <c:v>41149</c:v>
                </c:pt>
                <c:pt idx="530">
                  <c:v>41150</c:v>
                </c:pt>
                <c:pt idx="531">
                  <c:v>41151</c:v>
                </c:pt>
                <c:pt idx="532">
                  <c:v>41152</c:v>
                </c:pt>
                <c:pt idx="533">
                  <c:v>41156</c:v>
                </c:pt>
                <c:pt idx="534">
                  <c:v>41157</c:v>
                </c:pt>
                <c:pt idx="535">
                  <c:v>41158</c:v>
                </c:pt>
                <c:pt idx="536">
                  <c:v>41159</c:v>
                </c:pt>
                <c:pt idx="537">
                  <c:v>41162</c:v>
                </c:pt>
                <c:pt idx="538">
                  <c:v>41163</c:v>
                </c:pt>
                <c:pt idx="539">
                  <c:v>41164</c:v>
                </c:pt>
                <c:pt idx="540">
                  <c:v>41165</c:v>
                </c:pt>
                <c:pt idx="541">
                  <c:v>41166</c:v>
                </c:pt>
                <c:pt idx="542">
                  <c:v>41169</c:v>
                </c:pt>
                <c:pt idx="543">
                  <c:v>41170</c:v>
                </c:pt>
                <c:pt idx="544">
                  <c:v>41171</c:v>
                </c:pt>
                <c:pt idx="545">
                  <c:v>41172</c:v>
                </c:pt>
                <c:pt idx="546">
                  <c:v>41173</c:v>
                </c:pt>
                <c:pt idx="547">
                  <c:v>41176</c:v>
                </c:pt>
                <c:pt idx="548">
                  <c:v>41177</c:v>
                </c:pt>
                <c:pt idx="549">
                  <c:v>41178</c:v>
                </c:pt>
                <c:pt idx="550">
                  <c:v>41179</c:v>
                </c:pt>
                <c:pt idx="551">
                  <c:v>41180</c:v>
                </c:pt>
                <c:pt idx="552">
                  <c:v>41183</c:v>
                </c:pt>
                <c:pt idx="553">
                  <c:v>41184</c:v>
                </c:pt>
                <c:pt idx="554">
                  <c:v>41185</c:v>
                </c:pt>
                <c:pt idx="555">
                  <c:v>41186</c:v>
                </c:pt>
                <c:pt idx="556">
                  <c:v>41187</c:v>
                </c:pt>
                <c:pt idx="557">
                  <c:v>41190</c:v>
                </c:pt>
                <c:pt idx="558">
                  <c:v>41191</c:v>
                </c:pt>
                <c:pt idx="559">
                  <c:v>41192</c:v>
                </c:pt>
                <c:pt idx="560">
                  <c:v>41193</c:v>
                </c:pt>
                <c:pt idx="561">
                  <c:v>41194</c:v>
                </c:pt>
                <c:pt idx="562">
                  <c:v>41197</c:v>
                </c:pt>
                <c:pt idx="563">
                  <c:v>41198</c:v>
                </c:pt>
                <c:pt idx="564">
                  <c:v>41199</c:v>
                </c:pt>
                <c:pt idx="565">
                  <c:v>41200</c:v>
                </c:pt>
                <c:pt idx="566">
                  <c:v>41201</c:v>
                </c:pt>
                <c:pt idx="567">
                  <c:v>41204</c:v>
                </c:pt>
                <c:pt idx="568">
                  <c:v>41205</c:v>
                </c:pt>
                <c:pt idx="569">
                  <c:v>41206</c:v>
                </c:pt>
                <c:pt idx="570">
                  <c:v>41207</c:v>
                </c:pt>
                <c:pt idx="571">
                  <c:v>41208</c:v>
                </c:pt>
                <c:pt idx="572">
                  <c:v>41213</c:v>
                </c:pt>
                <c:pt idx="573">
                  <c:v>41214</c:v>
                </c:pt>
                <c:pt idx="574">
                  <c:v>41215</c:v>
                </c:pt>
                <c:pt idx="575">
                  <c:v>41218</c:v>
                </c:pt>
                <c:pt idx="576">
                  <c:v>41219</c:v>
                </c:pt>
                <c:pt idx="577">
                  <c:v>41220</c:v>
                </c:pt>
                <c:pt idx="578">
                  <c:v>41221</c:v>
                </c:pt>
                <c:pt idx="579">
                  <c:v>41222</c:v>
                </c:pt>
                <c:pt idx="580">
                  <c:v>41225</c:v>
                </c:pt>
                <c:pt idx="581">
                  <c:v>41226</c:v>
                </c:pt>
                <c:pt idx="582">
                  <c:v>41227</c:v>
                </c:pt>
                <c:pt idx="583">
                  <c:v>41228</c:v>
                </c:pt>
                <c:pt idx="584">
                  <c:v>41229</c:v>
                </c:pt>
                <c:pt idx="585">
                  <c:v>41232</c:v>
                </c:pt>
                <c:pt idx="586">
                  <c:v>41233</c:v>
                </c:pt>
                <c:pt idx="587">
                  <c:v>41234</c:v>
                </c:pt>
                <c:pt idx="588">
                  <c:v>41236</c:v>
                </c:pt>
                <c:pt idx="589">
                  <c:v>41239</c:v>
                </c:pt>
                <c:pt idx="590">
                  <c:v>41240</c:v>
                </c:pt>
                <c:pt idx="591">
                  <c:v>41241</c:v>
                </c:pt>
                <c:pt idx="592">
                  <c:v>41242</c:v>
                </c:pt>
                <c:pt idx="593">
                  <c:v>41243</c:v>
                </c:pt>
                <c:pt idx="594">
                  <c:v>41246</c:v>
                </c:pt>
                <c:pt idx="595">
                  <c:v>41247</c:v>
                </c:pt>
                <c:pt idx="596">
                  <c:v>41248</c:v>
                </c:pt>
                <c:pt idx="597">
                  <c:v>41249</c:v>
                </c:pt>
                <c:pt idx="598">
                  <c:v>41250</c:v>
                </c:pt>
                <c:pt idx="599">
                  <c:v>41253</c:v>
                </c:pt>
                <c:pt idx="600">
                  <c:v>41254</c:v>
                </c:pt>
                <c:pt idx="601">
                  <c:v>41255</c:v>
                </c:pt>
                <c:pt idx="602">
                  <c:v>41256</c:v>
                </c:pt>
                <c:pt idx="603">
                  <c:v>41257</c:v>
                </c:pt>
                <c:pt idx="604">
                  <c:v>41260</c:v>
                </c:pt>
                <c:pt idx="605">
                  <c:v>41261</c:v>
                </c:pt>
                <c:pt idx="606">
                  <c:v>41262</c:v>
                </c:pt>
                <c:pt idx="607">
                  <c:v>41263</c:v>
                </c:pt>
                <c:pt idx="608">
                  <c:v>41264</c:v>
                </c:pt>
                <c:pt idx="609">
                  <c:v>41267</c:v>
                </c:pt>
                <c:pt idx="610">
                  <c:v>41269</c:v>
                </c:pt>
                <c:pt idx="611">
                  <c:v>41270</c:v>
                </c:pt>
                <c:pt idx="612">
                  <c:v>41271</c:v>
                </c:pt>
                <c:pt idx="613">
                  <c:v>41274</c:v>
                </c:pt>
                <c:pt idx="614">
                  <c:v>41276</c:v>
                </c:pt>
                <c:pt idx="615">
                  <c:v>41277</c:v>
                </c:pt>
                <c:pt idx="616">
                  <c:v>41278</c:v>
                </c:pt>
                <c:pt idx="617">
                  <c:v>41281</c:v>
                </c:pt>
                <c:pt idx="618">
                  <c:v>41282</c:v>
                </c:pt>
                <c:pt idx="619">
                  <c:v>41283</c:v>
                </c:pt>
                <c:pt idx="620">
                  <c:v>41284</c:v>
                </c:pt>
                <c:pt idx="621">
                  <c:v>41285</c:v>
                </c:pt>
                <c:pt idx="622">
                  <c:v>41288</c:v>
                </c:pt>
                <c:pt idx="623">
                  <c:v>41289</c:v>
                </c:pt>
                <c:pt idx="624">
                  <c:v>41290</c:v>
                </c:pt>
                <c:pt idx="625">
                  <c:v>41291</c:v>
                </c:pt>
                <c:pt idx="626">
                  <c:v>41292</c:v>
                </c:pt>
                <c:pt idx="627">
                  <c:v>41296</c:v>
                </c:pt>
                <c:pt idx="628">
                  <c:v>41297</c:v>
                </c:pt>
                <c:pt idx="629">
                  <c:v>41298</c:v>
                </c:pt>
                <c:pt idx="630">
                  <c:v>41299</c:v>
                </c:pt>
                <c:pt idx="631">
                  <c:v>41302</c:v>
                </c:pt>
                <c:pt idx="632">
                  <c:v>41303</c:v>
                </c:pt>
                <c:pt idx="633">
                  <c:v>41304</c:v>
                </c:pt>
                <c:pt idx="634">
                  <c:v>41305</c:v>
                </c:pt>
                <c:pt idx="635">
                  <c:v>41306</c:v>
                </c:pt>
                <c:pt idx="636">
                  <c:v>41309</c:v>
                </c:pt>
                <c:pt idx="637">
                  <c:v>41310</c:v>
                </c:pt>
                <c:pt idx="638">
                  <c:v>41311</c:v>
                </c:pt>
                <c:pt idx="639">
                  <c:v>41312</c:v>
                </c:pt>
                <c:pt idx="640">
                  <c:v>41313</c:v>
                </c:pt>
                <c:pt idx="641">
                  <c:v>41316</c:v>
                </c:pt>
                <c:pt idx="642">
                  <c:v>41317</c:v>
                </c:pt>
                <c:pt idx="643">
                  <c:v>41318</c:v>
                </c:pt>
                <c:pt idx="644">
                  <c:v>41319</c:v>
                </c:pt>
                <c:pt idx="645">
                  <c:v>41320</c:v>
                </c:pt>
                <c:pt idx="646">
                  <c:v>41324</c:v>
                </c:pt>
                <c:pt idx="647">
                  <c:v>41325</c:v>
                </c:pt>
                <c:pt idx="648">
                  <c:v>41326</c:v>
                </c:pt>
                <c:pt idx="649">
                  <c:v>41327</c:v>
                </c:pt>
                <c:pt idx="650">
                  <c:v>41330</c:v>
                </c:pt>
                <c:pt idx="651">
                  <c:v>41331</c:v>
                </c:pt>
                <c:pt idx="652">
                  <c:v>41332</c:v>
                </c:pt>
                <c:pt idx="653">
                  <c:v>41333</c:v>
                </c:pt>
                <c:pt idx="654">
                  <c:v>41334</c:v>
                </c:pt>
                <c:pt idx="655">
                  <c:v>41337</c:v>
                </c:pt>
                <c:pt idx="656">
                  <c:v>41338</c:v>
                </c:pt>
                <c:pt idx="657">
                  <c:v>41339</c:v>
                </c:pt>
                <c:pt idx="658">
                  <c:v>41340</c:v>
                </c:pt>
                <c:pt idx="659">
                  <c:v>41341</c:v>
                </c:pt>
                <c:pt idx="660">
                  <c:v>41344</c:v>
                </c:pt>
                <c:pt idx="661">
                  <c:v>41345</c:v>
                </c:pt>
                <c:pt idx="662">
                  <c:v>41346</c:v>
                </c:pt>
                <c:pt idx="663">
                  <c:v>41347</c:v>
                </c:pt>
                <c:pt idx="664">
                  <c:v>41348</c:v>
                </c:pt>
                <c:pt idx="665">
                  <c:v>41351</c:v>
                </c:pt>
                <c:pt idx="666">
                  <c:v>41352</c:v>
                </c:pt>
                <c:pt idx="667">
                  <c:v>41353</c:v>
                </c:pt>
                <c:pt idx="668">
                  <c:v>41354</c:v>
                </c:pt>
                <c:pt idx="669">
                  <c:v>41355</c:v>
                </c:pt>
                <c:pt idx="670">
                  <c:v>41358</c:v>
                </c:pt>
                <c:pt idx="671">
                  <c:v>41359</c:v>
                </c:pt>
                <c:pt idx="672">
                  <c:v>41360</c:v>
                </c:pt>
                <c:pt idx="673">
                  <c:v>41361</c:v>
                </c:pt>
                <c:pt idx="674">
                  <c:v>41365</c:v>
                </c:pt>
                <c:pt idx="675">
                  <c:v>41366</c:v>
                </c:pt>
                <c:pt idx="676">
                  <c:v>41367</c:v>
                </c:pt>
                <c:pt idx="677">
                  <c:v>41368</c:v>
                </c:pt>
                <c:pt idx="678">
                  <c:v>41369</c:v>
                </c:pt>
                <c:pt idx="679">
                  <c:v>41372</c:v>
                </c:pt>
                <c:pt idx="680">
                  <c:v>41373</c:v>
                </c:pt>
                <c:pt idx="681">
                  <c:v>41374</c:v>
                </c:pt>
                <c:pt idx="682">
                  <c:v>41375</c:v>
                </c:pt>
                <c:pt idx="683">
                  <c:v>41376</c:v>
                </c:pt>
                <c:pt idx="684">
                  <c:v>41379</c:v>
                </c:pt>
                <c:pt idx="685">
                  <c:v>41380</c:v>
                </c:pt>
                <c:pt idx="686">
                  <c:v>41381</c:v>
                </c:pt>
                <c:pt idx="687">
                  <c:v>41382</c:v>
                </c:pt>
                <c:pt idx="688">
                  <c:v>41383</c:v>
                </c:pt>
                <c:pt idx="689">
                  <c:v>41386</c:v>
                </c:pt>
                <c:pt idx="690">
                  <c:v>41387</c:v>
                </c:pt>
                <c:pt idx="691">
                  <c:v>41388</c:v>
                </c:pt>
                <c:pt idx="692">
                  <c:v>41389</c:v>
                </c:pt>
                <c:pt idx="693">
                  <c:v>41390</c:v>
                </c:pt>
                <c:pt idx="694">
                  <c:v>41393</c:v>
                </c:pt>
                <c:pt idx="695">
                  <c:v>41394</c:v>
                </c:pt>
                <c:pt idx="696">
                  <c:v>41395</c:v>
                </c:pt>
                <c:pt idx="697">
                  <c:v>41396</c:v>
                </c:pt>
                <c:pt idx="698">
                  <c:v>41397</c:v>
                </c:pt>
                <c:pt idx="699">
                  <c:v>41400</c:v>
                </c:pt>
                <c:pt idx="700">
                  <c:v>41401</c:v>
                </c:pt>
                <c:pt idx="701">
                  <c:v>41402</c:v>
                </c:pt>
                <c:pt idx="702">
                  <c:v>41403</c:v>
                </c:pt>
                <c:pt idx="703">
                  <c:v>41404</c:v>
                </c:pt>
                <c:pt idx="704">
                  <c:v>41407</c:v>
                </c:pt>
                <c:pt idx="705">
                  <c:v>41408</c:v>
                </c:pt>
                <c:pt idx="706">
                  <c:v>41409</c:v>
                </c:pt>
                <c:pt idx="707">
                  <c:v>41410</c:v>
                </c:pt>
                <c:pt idx="708">
                  <c:v>41411</c:v>
                </c:pt>
                <c:pt idx="709">
                  <c:v>41414</c:v>
                </c:pt>
                <c:pt idx="710">
                  <c:v>41415</c:v>
                </c:pt>
                <c:pt idx="711">
                  <c:v>41416</c:v>
                </c:pt>
                <c:pt idx="712">
                  <c:v>41417</c:v>
                </c:pt>
                <c:pt idx="713">
                  <c:v>41418</c:v>
                </c:pt>
                <c:pt idx="714">
                  <c:v>41422</c:v>
                </c:pt>
                <c:pt idx="715">
                  <c:v>41423</c:v>
                </c:pt>
                <c:pt idx="716">
                  <c:v>41424</c:v>
                </c:pt>
                <c:pt idx="717">
                  <c:v>41425</c:v>
                </c:pt>
                <c:pt idx="718">
                  <c:v>41428</c:v>
                </c:pt>
                <c:pt idx="719">
                  <c:v>41429</c:v>
                </c:pt>
                <c:pt idx="720">
                  <c:v>41430</c:v>
                </c:pt>
                <c:pt idx="721">
                  <c:v>41431</c:v>
                </c:pt>
                <c:pt idx="722">
                  <c:v>41432</c:v>
                </c:pt>
                <c:pt idx="723">
                  <c:v>41435</c:v>
                </c:pt>
                <c:pt idx="724">
                  <c:v>41436</c:v>
                </c:pt>
                <c:pt idx="725">
                  <c:v>41437</c:v>
                </c:pt>
                <c:pt idx="726">
                  <c:v>41438</c:v>
                </c:pt>
                <c:pt idx="727">
                  <c:v>41439</c:v>
                </c:pt>
                <c:pt idx="728">
                  <c:v>41442</c:v>
                </c:pt>
                <c:pt idx="729">
                  <c:v>41443</c:v>
                </c:pt>
                <c:pt idx="730">
                  <c:v>41444</c:v>
                </c:pt>
                <c:pt idx="731">
                  <c:v>41445</c:v>
                </c:pt>
                <c:pt idx="732">
                  <c:v>41446</c:v>
                </c:pt>
                <c:pt idx="733">
                  <c:v>41449</c:v>
                </c:pt>
                <c:pt idx="734">
                  <c:v>41450</c:v>
                </c:pt>
                <c:pt idx="735">
                  <c:v>41451</c:v>
                </c:pt>
                <c:pt idx="736">
                  <c:v>41452</c:v>
                </c:pt>
                <c:pt idx="737">
                  <c:v>41453</c:v>
                </c:pt>
                <c:pt idx="738">
                  <c:v>41456</c:v>
                </c:pt>
                <c:pt idx="739">
                  <c:v>41457</c:v>
                </c:pt>
                <c:pt idx="740">
                  <c:v>41458</c:v>
                </c:pt>
                <c:pt idx="741">
                  <c:v>41460</c:v>
                </c:pt>
                <c:pt idx="742">
                  <c:v>41463</c:v>
                </c:pt>
                <c:pt idx="743">
                  <c:v>41464</c:v>
                </c:pt>
                <c:pt idx="744">
                  <c:v>41465</c:v>
                </c:pt>
                <c:pt idx="745">
                  <c:v>41466</c:v>
                </c:pt>
                <c:pt idx="746">
                  <c:v>41467</c:v>
                </c:pt>
                <c:pt idx="747">
                  <c:v>41470</c:v>
                </c:pt>
                <c:pt idx="748">
                  <c:v>41471</c:v>
                </c:pt>
                <c:pt idx="749">
                  <c:v>41472</c:v>
                </c:pt>
                <c:pt idx="750">
                  <c:v>41473</c:v>
                </c:pt>
                <c:pt idx="751">
                  <c:v>41474</c:v>
                </c:pt>
                <c:pt idx="752">
                  <c:v>41477</c:v>
                </c:pt>
                <c:pt idx="753">
                  <c:v>41478</c:v>
                </c:pt>
                <c:pt idx="754">
                  <c:v>41479</c:v>
                </c:pt>
                <c:pt idx="755">
                  <c:v>41480</c:v>
                </c:pt>
                <c:pt idx="756">
                  <c:v>41481</c:v>
                </c:pt>
                <c:pt idx="757">
                  <c:v>41484</c:v>
                </c:pt>
                <c:pt idx="758">
                  <c:v>41485</c:v>
                </c:pt>
                <c:pt idx="759">
                  <c:v>41486</c:v>
                </c:pt>
                <c:pt idx="760">
                  <c:v>41487</c:v>
                </c:pt>
                <c:pt idx="761">
                  <c:v>41488</c:v>
                </c:pt>
                <c:pt idx="762">
                  <c:v>41491</c:v>
                </c:pt>
                <c:pt idx="763">
                  <c:v>41492</c:v>
                </c:pt>
                <c:pt idx="764">
                  <c:v>41493</c:v>
                </c:pt>
                <c:pt idx="765">
                  <c:v>41494</c:v>
                </c:pt>
                <c:pt idx="766">
                  <c:v>41495</c:v>
                </c:pt>
                <c:pt idx="767">
                  <c:v>41498</c:v>
                </c:pt>
                <c:pt idx="768">
                  <c:v>41499</c:v>
                </c:pt>
                <c:pt idx="769">
                  <c:v>41500</c:v>
                </c:pt>
                <c:pt idx="770">
                  <c:v>41501</c:v>
                </c:pt>
                <c:pt idx="771">
                  <c:v>41502</c:v>
                </c:pt>
                <c:pt idx="772">
                  <c:v>41505</c:v>
                </c:pt>
                <c:pt idx="773">
                  <c:v>41506</c:v>
                </c:pt>
                <c:pt idx="774">
                  <c:v>41507</c:v>
                </c:pt>
                <c:pt idx="775">
                  <c:v>41508</c:v>
                </c:pt>
                <c:pt idx="776">
                  <c:v>41509</c:v>
                </c:pt>
                <c:pt idx="777">
                  <c:v>41512</c:v>
                </c:pt>
                <c:pt idx="778">
                  <c:v>41513</c:v>
                </c:pt>
                <c:pt idx="779">
                  <c:v>41514</c:v>
                </c:pt>
                <c:pt idx="780">
                  <c:v>41515</c:v>
                </c:pt>
                <c:pt idx="781">
                  <c:v>41516</c:v>
                </c:pt>
                <c:pt idx="782">
                  <c:v>41520</c:v>
                </c:pt>
                <c:pt idx="783">
                  <c:v>41521</c:v>
                </c:pt>
                <c:pt idx="784">
                  <c:v>41522</c:v>
                </c:pt>
                <c:pt idx="785">
                  <c:v>41523</c:v>
                </c:pt>
                <c:pt idx="786">
                  <c:v>41526</c:v>
                </c:pt>
                <c:pt idx="787">
                  <c:v>41527</c:v>
                </c:pt>
                <c:pt idx="788">
                  <c:v>41528</c:v>
                </c:pt>
                <c:pt idx="789">
                  <c:v>41529</c:v>
                </c:pt>
                <c:pt idx="790">
                  <c:v>41530</c:v>
                </c:pt>
                <c:pt idx="791">
                  <c:v>41533</c:v>
                </c:pt>
                <c:pt idx="792">
                  <c:v>41534</c:v>
                </c:pt>
                <c:pt idx="793">
                  <c:v>41535</c:v>
                </c:pt>
                <c:pt idx="794">
                  <c:v>41536</c:v>
                </c:pt>
                <c:pt idx="795">
                  <c:v>41537</c:v>
                </c:pt>
                <c:pt idx="796">
                  <c:v>41540</c:v>
                </c:pt>
                <c:pt idx="797">
                  <c:v>41541</c:v>
                </c:pt>
                <c:pt idx="798">
                  <c:v>41542</c:v>
                </c:pt>
                <c:pt idx="799">
                  <c:v>41543</c:v>
                </c:pt>
                <c:pt idx="800">
                  <c:v>41544</c:v>
                </c:pt>
                <c:pt idx="801">
                  <c:v>41547</c:v>
                </c:pt>
                <c:pt idx="802">
                  <c:v>41548</c:v>
                </c:pt>
                <c:pt idx="803">
                  <c:v>41549</c:v>
                </c:pt>
                <c:pt idx="804">
                  <c:v>41550</c:v>
                </c:pt>
                <c:pt idx="805">
                  <c:v>41551</c:v>
                </c:pt>
                <c:pt idx="806">
                  <c:v>41554</c:v>
                </c:pt>
                <c:pt idx="807">
                  <c:v>41555</c:v>
                </c:pt>
                <c:pt idx="808">
                  <c:v>41556</c:v>
                </c:pt>
                <c:pt idx="809">
                  <c:v>41557</c:v>
                </c:pt>
                <c:pt idx="810">
                  <c:v>41558</c:v>
                </c:pt>
                <c:pt idx="811">
                  <c:v>41561</c:v>
                </c:pt>
                <c:pt idx="812">
                  <c:v>41562</c:v>
                </c:pt>
                <c:pt idx="813">
                  <c:v>41563</c:v>
                </c:pt>
                <c:pt idx="814">
                  <c:v>41564</c:v>
                </c:pt>
                <c:pt idx="815">
                  <c:v>41565</c:v>
                </c:pt>
                <c:pt idx="816">
                  <c:v>41568</c:v>
                </c:pt>
                <c:pt idx="817">
                  <c:v>41569</c:v>
                </c:pt>
                <c:pt idx="818">
                  <c:v>41570</c:v>
                </c:pt>
                <c:pt idx="819">
                  <c:v>41571</c:v>
                </c:pt>
                <c:pt idx="820">
                  <c:v>41572</c:v>
                </c:pt>
                <c:pt idx="821">
                  <c:v>41575</c:v>
                </c:pt>
                <c:pt idx="822">
                  <c:v>41576</c:v>
                </c:pt>
                <c:pt idx="823">
                  <c:v>41577</c:v>
                </c:pt>
                <c:pt idx="824">
                  <c:v>41578</c:v>
                </c:pt>
                <c:pt idx="825">
                  <c:v>41579</c:v>
                </c:pt>
                <c:pt idx="826">
                  <c:v>41582</c:v>
                </c:pt>
                <c:pt idx="827">
                  <c:v>41583</c:v>
                </c:pt>
                <c:pt idx="828">
                  <c:v>41584</c:v>
                </c:pt>
                <c:pt idx="829">
                  <c:v>41585</c:v>
                </c:pt>
                <c:pt idx="830">
                  <c:v>41586</c:v>
                </c:pt>
                <c:pt idx="831">
                  <c:v>41589</c:v>
                </c:pt>
                <c:pt idx="832">
                  <c:v>41590</c:v>
                </c:pt>
                <c:pt idx="833">
                  <c:v>41591</c:v>
                </c:pt>
                <c:pt idx="834">
                  <c:v>41592</c:v>
                </c:pt>
                <c:pt idx="835">
                  <c:v>41593</c:v>
                </c:pt>
                <c:pt idx="836">
                  <c:v>41596</c:v>
                </c:pt>
                <c:pt idx="837">
                  <c:v>41597</c:v>
                </c:pt>
                <c:pt idx="838">
                  <c:v>41598</c:v>
                </c:pt>
                <c:pt idx="839">
                  <c:v>41599</c:v>
                </c:pt>
                <c:pt idx="840">
                  <c:v>41600</c:v>
                </c:pt>
                <c:pt idx="841">
                  <c:v>41603</c:v>
                </c:pt>
                <c:pt idx="842">
                  <c:v>41604</c:v>
                </c:pt>
                <c:pt idx="843">
                  <c:v>41605</c:v>
                </c:pt>
                <c:pt idx="844">
                  <c:v>41607</c:v>
                </c:pt>
                <c:pt idx="845">
                  <c:v>41610</c:v>
                </c:pt>
                <c:pt idx="846">
                  <c:v>41611</c:v>
                </c:pt>
                <c:pt idx="847">
                  <c:v>41612</c:v>
                </c:pt>
                <c:pt idx="848">
                  <c:v>41613</c:v>
                </c:pt>
                <c:pt idx="849">
                  <c:v>41614</c:v>
                </c:pt>
                <c:pt idx="850">
                  <c:v>41617</c:v>
                </c:pt>
                <c:pt idx="851">
                  <c:v>41618</c:v>
                </c:pt>
                <c:pt idx="852">
                  <c:v>41619</c:v>
                </c:pt>
                <c:pt idx="853">
                  <c:v>41620</c:v>
                </c:pt>
                <c:pt idx="854">
                  <c:v>41621</c:v>
                </c:pt>
                <c:pt idx="855">
                  <c:v>41624</c:v>
                </c:pt>
                <c:pt idx="856">
                  <c:v>41625</c:v>
                </c:pt>
                <c:pt idx="857">
                  <c:v>41626</c:v>
                </c:pt>
                <c:pt idx="858">
                  <c:v>41627</c:v>
                </c:pt>
                <c:pt idx="859">
                  <c:v>41628</c:v>
                </c:pt>
                <c:pt idx="860">
                  <c:v>41631</c:v>
                </c:pt>
                <c:pt idx="861">
                  <c:v>41632</c:v>
                </c:pt>
                <c:pt idx="862">
                  <c:v>41634</c:v>
                </c:pt>
                <c:pt idx="863">
                  <c:v>41635</c:v>
                </c:pt>
                <c:pt idx="864">
                  <c:v>41638</c:v>
                </c:pt>
                <c:pt idx="865">
                  <c:v>41639</c:v>
                </c:pt>
                <c:pt idx="866">
                  <c:v>41641</c:v>
                </c:pt>
                <c:pt idx="867">
                  <c:v>41642</c:v>
                </c:pt>
                <c:pt idx="868">
                  <c:v>41645</c:v>
                </c:pt>
                <c:pt idx="869">
                  <c:v>41646</c:v>
                </c:pt>
                <c:pt idx="870">
                  <c:v>41647</c:v>
                </c:pt>
                <c:pt idx="871">
                  <c:v>41648</c:v>
                </c:pt>
                <c:pt idx="872">
                  <c:v>41649</c:v>
                </c:pt>
                <c:pt idx="873">
                  <c:v>41652</c:v>
                </c:pt>
                <c:pt idx="874">
                  <c:v>41653</c:v>
                </c:pt>
                <c:pt idx="875">
                  <c:v>41654</c:v>
                </c:pt>
                <c:pt idx="876">
                  <c:v>41655</c:v>
                </c:pt>
                <c:pt idx="877">
                  <c:v>41656</c:v>
                </c:pt>
                <c:pt idx="878">
                  <c:v>41660</c:v>
                </c:pt>
                <c:pt idx="879">
                  <c:v>41661</c:v>
                </c:pt>
                <c:pt idx="880">
                  <c:v>41662</c:v>
                </c:pt>
                <c:pt idx="881">
                  <c:v>41663</c:v>
                </c:pt>
                <c:pt idx="882">
                  <c:v>41666</c:v>
                </c:pt>
                <c:pt idx="883">
                  <c:v>41667</c:v>
                </c:pt>
                <c:pt idx="884">
                  <c:v>41668</c:v>
                </c:pt>
                <c:pt idx="885">
                  <c:v>41669</c:v>
                </c:pt>
                <c:pt idx="886">
                  <c:v>41670</c:v>
                </c:pt>
                <c:pt idx="887">
                  <c:v>41673</c:v>
                </c:pt>
                <c:pt idx="888">
                  <c:v>41674</c:v>
                </c:pt>
                <c:pt idx="889">
                  <c:v>41675</c:v>
                </c:pt>
                <c:pt idx="890">
                  <c:v>41676</c:v>
                </c:pt>
                <c:pt idx="891">
                  <c:v>41677</c:v>
                </c:pt>
                <c:pt idx="892">
                  <c:v>41680</c:v>
                </c:pt>
                <c:pt idx="893">
                  <c:v>41681</c:v>
                </c:pt>
                <c:pt idx="894">
                  <c:v>41682</c:v>
                </c:pt>
                <c:pt idx="895">
                  <c:v>41683</c:v>
                </c:pt>
                <c:pt idx="896">
                  <c:v>41684</c:v>
                </c:pt>
                <c:pt idx="897">
                  <c:v>41688</c:v>
                </c:pt>
                <c:pt idx="898">
                  <c:v>41689</c:v>
                </c:pt>
                <c:pt idx="899">
                  <c:v>41690</c:v>
                </c:pt>
                <c:pt idx="900">
                  <c:v>41691</c:v>
                </c:pt>
                <c:pt idx="901">
                  <c:v>41694</c:v>
                </c:pt>
                <c:pt idx="902">
                  <c:v>41695</c:v>
                </c:pt>
                <c:pt idx="903">
                  <c:v>41696</c:v>
                </c:pt>
                <c:pt idx="904">
                  <c:v>41697</c:v>
                </c:pt>
                <c:pt idx="905">
                  <c:v>41698</c:v>
                </c:pt>
                <c:pt idx="906">
                  <c:v>41701</c:v>
                </c:pt>
                <c:pt idx="907">
                  <c:v>41702</c:v>
                </c:pt>
                <c:pt idx="908">
                  <c:v>41703</c:v>
                </c:pt>
                <c:pt idx="909">
                  <c:v>41704</c:v>
                </c:pt>
                <c:pt idx="910">
                  <c:v>41705</c:v>
                </c:pt>
                <c:pt idx="911">
                  <c:v>41708</c:v>
                </c:pt>
                <c:pt idx="912">
                  <c:v>41709</c:v>
                </c:pt>
                <c:pt idx="913">
                  <c:v>41710</c:v>
                </c:pt>
                <c:pt idx="914">
                  <c:v>41711</c:v>
                </c:pt>
                <c:pt idx="915">
                  <c:v>41712</c:v>
                </c:pt>
                <c:pt idx="916">
                  <c:v>41715</c:v>
                </c:pt>
                <c:pt idx="917">
                  <c:v>41716</c:v>
                </c:pt>
                <c:pt idx="918">
                  <c:v>41717</c:v>
                </c:pt>
                <c:pt idx="919">
                  <c:v>41718</c:v>
                </c:pt>
                <c:pt idx="920">
                  <c:v>41719</c:v>
                </c:pt>
                <c:pt idx="921">
                  <c:v>41722</c:v>
                </c:pt>
                <c:pt idx="922">
                  <c:v>41723</c:v>
                </c:pt>
                <c:pt idx="923">
                  <c:v>41724</c:v>
                </c:pt>
                <c:pt idx="924">
                  <c:v>41725</c:v>
                </c:pt>
                <c:pt idx="925">
                  <c:v>41726</c:v>
                </c:pt>
                <c:pt idx="926">
                  <c:v>41729</c:v>
                </c:pt>
                <c:pt idx="927">
                  <c:v>41730</c:v>
                </c:pt>
                <c:pt idx="928">
                  <c:v>41731</c:v>
                </c:pt>
                <c:pt idx="929">
                  <c:v>41732</c:v>
                </c:pt>
                <c:pt idx="930">
                  <c:v>41733</c:v>
                </c:pt>
                <c:pt idx="931">
                  <c:v>41736</c:v>
                </c:pt>
                <c:pt idx="932">
                  <c:v>41737</c:v>
                </c:pt>
                <c:pt idx="933">
                  <c:v>41738</c:v>
                </c:pt>
                <c:pt idx="934">
                  <c:v>41739</c:v>
                </c:pt>
                <c:pt idx="935">
                  <c:v>41740</c:v>
                </c:pt>
                <c:pt idx="936">
                  <c:v>41743</c:v>
                </c:pt>
                <c:pt idx="937">
                  <c:v>41744</c:v>
                </c:pt>
                <c:pt idx="938">
                  <c:v>41745</c:v>
                </c:pt>
                <c:pt idx="939">
                  <c:v>41746</c:v>
                </c:pt>
                <c:pt idx="940">
                  <c:v>41750</c:v>
                </c:pt>
                <c:pt idx="941">
                  <c:v>41751</c:v>
                </c:pt>
                <c:pt idx="942">
                  <c:v>41752</c:v>
                </c:pt>
                <c:pt idx="943">
                  <c:v>41753</c:v>
                </c:pt>
                <c:pt idx="944">
                  <c:v>41754</c:v>
                </c:pt>
                <c:pt idx="945">
                  <c:v>41757</c:v>
                </c:pt>
                <c:pt idx="946">
                  <c:v>41758</c:v>
                </c:pt>
                <c:pt idx="947">
                  <c:v>41759</c:v>
                </c:pt>
                <c:pt idx="948">
                  <c:v>41760</c:v>
                </c:pt>
                <c:pt idx="949">
                  <c:v>41761</c:v>
                </c:pt>
                <c:pt idx="950">
                  <c:v>41764</c:v>
                </c:pt>
                <c:pt idx="951">
                  <c:v>41765</c:v>
                </c:pt>
                <c:pt idx="952">
                  <c:v>41766</c:v>
                </c:pt>
                <c:pt idx="953">
                  <c:v>41767</c:v>
                </c:pt>
                <c:pt idx="954">
                  <c:v>41768</c:v>
                </c:pt>
                <c:pt idx="955">
                  <c:v>41771</c:v>
                </c:pt>
                <c:pt idx="956">
                  <c:v>41772</c:v>
                </c:pt>
                <c:pt idx="957">
                  <c:v>41773</c:v>
                </c:pt>
                <c:pt idx="958">
                  <c:v>41774</c:v>
                </c:pt>
                <c:pt idx="959">
                  <c:v>41775</c:v>
                </c:pt>
                <c:pt idx="960">
                  <c:v>41778</c:v>
                </c:pt>
                <c:pt idx="961">
                  <c:v>41779</c:v>
                </c:pt>
                <c:pt idx="962">
                  <c:v>41780</c:v>
                </c:pt>
                <c:pt idx="963">
                  <c:v>41781</c:v>
                </c:pt>
                <c:pt idx="964">
                  <c:v>41782</c:v>
                </c:pt>
                <c:pt idx="965">
                  <c:v>41786</c:v>
                </c:pt>
                <c:pt idx="966">
                  <c:v>41787</c:v>
                </c:pt>
                <c:pt idx="967">
                  <c:v>41788</c:v>
                </c:pt>
                <c:pt idx="968">
                  <c:v>41789</c:v>
                </c:pt>
                <c:pt idx="969">
                  <c:v>41792</c:v>
                </c:pt>
                <c:pt idx="970">
                  <c:v>41793</c:v>
                </c:pt>
                <c:pt idx="971">
                  <c:v>41794</c:v>
                </c:pt>
                <c:pt idx="972">
                  <c:v>41795</c:v>
                </c:pt>
                <c:pt idx="973">
                  <c:v>41796</c:v>
                </c:pt>
                <c:pt idx="974">
                  <c:v>41799</c:v>
                </c:pt>
                <c:pt idx="975">
                  <c:v>41800</c:v>
                </c:pt>
                <c:pt idx="976">
                  <c:v>41801</c:v>
                </c:pt>
                <c:pt idx="977">
                  <c:v>41802</c:v>
                </c:pt>
                <c:pt idx="978">
                  <c:v>41803</c:v>
                </c:pt>
                <c:pt idx="979">
                  <c:v>41806</c:v>
                </c:pt>
                <c:pt idx="980">
                  <c:v>41807</c:v>
                </c:pt>
                <c:pt idx="981">
                  <c:v>41808</c:v>
                </c:pt>
                <c:pt idx="982">
                  <c:v>41809</c:v>
                </c:pt>
                <c:pt idx="983">
                  <c:v>41810</c:v>
                </c:pt>
                <c:pt idx="984">
                  <c:v>41813</c:v>
                </c:pt>
                <c:pt idx="985">
                  <c:v>41814</c:v>
                </c:pt>
                <c:pt idx="986">
                  <c:v>41815</c:v>
                </c:pt>
                <c:pt idx="987">
                  <c:v>41816</c:v>
                </c:pt>
                <c:pt idx="988">
                  <c:v>41817</c:v>
                </c:pt>
                <c:pt idx="989">
                  <c:v>41820</c:v>
                </c:pt>
                <c:pt idx="990">
                  <c:v>41821</c:v>
                </c:pt>
                <c:pt idx="991">
                  <c:v>41822</c:v>
                </c:pt>
                <c:pt idx="992">
                  <c:v>41823</c:v>
                </c:pt>
                <c:pt idx="993">
                  <c:v>41827</c:v>
                </c:pt>
                <c:pt idx="994">
                  <c:v>41828</c:v>
                </c:pt>
                <c:pt idx="995">
                  <c:v>41829</c:v>
                </c:pt>
                <c:pt idx="996">
                  <c:v>41830</c:v>
                </c:pt>
                <c:pt idx="997">
                  <c:v>41831</c:v>
                </c:pt>
                <c:pt idx="998">
                  <c:v>41834</c:v>
                </c:pt>
                <c:pt idx="999">
                  <c:v>41835</c:v>
                </c:pt>
                <c:pt idx="1000">
                  <c:v>41836</c:v>
                </c:pt>
                <c:pt idx="1001">
                  <c:v>41837</c:v>
                </c:pt>
                <c:pt idx="1002">
                  <c:v>41838</c:v>
                </c:pt>
                <c:pt idx="1003">
                  <c:v>41841</c:v>
                </c:pt>
                <c:pt idx="1004">
                  <c:v>41842</c:v>
                </c:pt>
                <c:pt idx="1005">
                  <c:v>41843</c:v>
                </c:pt>
                <c:pt idx="1006">
                  <c:v>41844</c:v>
                </c:pt>
                <c:pt idx="1007">
                  <c:v>41845</c:v>
                </c:pt>
                <c:pt idx="1008">
                  <c:v>41848</c:v>
                </c:pt>
                <c:pt idx="1009">
                  <c:v>41849</c:v>
                </c:pt>
                <c:pt idx="1010">
                  <c:v>41850</c:v>
                </c:pt>
                <c:pt idx="1011">
                  <c:v>41851</c:v>
                </c:pt>
                <c:pt idx="1012">
                  <c:v>41852</c:v>
                </c:pt>
                <c:pt idx="1013">
                  <c:v>41855</c:v>
                </c:pt>
                <c:pt idx="1014">
                  <c:v>41856</c:v>
                </c:pt>
                <c:pt idx="1015">
                  <c:v>41857</c:v>
                </c:pt>
                <c:pt idx="1016">
                  <c:v>41858</c:v>
                </c:pt>
                <c:pt idx="1017">
                  <c:v>41859</c:v>
                </c:pt>
                <c:pt idx="1018">
                  <c:v>41862</c:v>
                </c:pt>
                <c:pt idx="1019">
                  <c:v>41863</c:v>
                </c:pt>
                <c:pt idx="1020">
                  <c:v>41864</c:v>
                </c:pt>
                <c:pt idx="1021">
                  <c:v>41865</c:v>
                </c:pt>
                <c:pt idx="1022">
                  <c:v>41866</c:v>
                </c:pt>
                <c:pt idx="1023">
                  <c:v>41869</c:v>
                </c:pt>
                <c:pt idx="1024">
                  <c:v>41870</c:v>
                </c:pt>
                <c:pt idx="1025">
                  <c:v>41871</c:v>
                </c:pt>
                <c:pt idx="1026">
                  <c:v>41872</c:v>
                </c:pt>
                <c:pt idx="1027">
                  <c:v>41873</c:v>
                </c:pt>
                <c:pt idx="1028">
                  <c:v>41876</c:v>
                </c:pt>
                <c:pt idx="1029">
                  <c:v>41877</c:v>
                </c:pt>
                <c:pt idx="1030">
                  <c:v>41878</c:v>
                </c:pt>
                <c:pt idx="1031">
                  <c:v>41879</c:v>
                </c:pt>
                <c:pt idx="1032">
                  <c:v>41880</c:v>
                </c:pt>
                <c:pt idx="1033">
                  <c:v>41884</c:v>
                </c:pt>
                <c:pt idx="1034">
                  <c:v>41885</c:v>
                </c:pt>
                <c:pt idx="1035">
                  <c:v>41886</c:v>
                </c:pt>
                <c:pt idx="1036">
                  <c:v>41887</c:v>
                </c:pt>
                <c:pt idx="1037">
                  <c:v>41890</c:v>
                </c:pt>
                <c:pt idx="1038">
                  <c:v>41891</c:v>
                </c:pt>
                <c:pt idx="1039">
                  <c:v>41892</c:v>
                </c:pt>
                <c:pt idx="1040">
                  <c:v>41893</c:v>
                </c:pt>
                <c:pt idx="1041">
                  <c:v>41894</c:v>
                </c:pt>
                <c:pt idx="1042">
                  <c:v>41897</c:v>
                </c:pt>
                <c:pt idx="1043">
                  <c:v>41898</c:v>
                </c:pt>
                <c:pt idx="1044">
                  <c:v>41899</c:v>
                </c:pt>
                <c:pt idx="1045">
                  <c:v>41900</c:v>
                </c:pt>
                <c:pt idx="1046">
                  <c:v>41901</c:v>
                </c:pt>
                <c:pt idx="1047">
                  <c:v>41904</c:v>
                </c:pt>
                <c:pt idx="1048">
                  <c:v>41905</c:v>
                </c:pt>
                <c:pt idx="1049">
                  <c:v>41906</c:v>
                </c:pt>
                <c:pt idx="1050">
                  <c:v>41907</c:v>
                </c:pt>
                <c:pt idx="1051">
                  <c:v>41908</c:v>
                </c:pt>
                <c:pt idx="1052">
                  <c:v>41911</c:v>
                </c:pt>
                <c:pt idx="1053">
                  <c:v>41912</c:v>
                </c:pt>
                <c:pt idx="1054">
                  <c:v>41913</c:v>
                </c:pt>
                <c:pt idx="1055">
                  <c:v>41914</c:v>
                </c:pt>
                <c:pt idx="1056">
                  <c:v>41915</c:v>
                </c:pt>
                <c:pt idx="1057">
                  <c:v>41918</c:v>
                </c:pt>
                <c:pt idx="1058">
                  <c:v>41919</c:v>
                </c:pt>
                <c:pt idx="1059">
                  <c:v>41920</c:v>
                </c:pt>
                <c:pt idx="1060">
                  <c:v>41921</c:v>
                </c:pt>
                <c:pt idx="1061">
                  <c:v>41922</c:v>
                </c:pt>
                <c:pt idx="1062">
                  <c:v>41925</c:v>
                </c:pt>
                <c:pt idx="1063">
                  <c:v>41926</c:v>
                </c:pt>
                <c:pt idx="1064">
                  <c:v>41927</c:v>
                </c:pt>
                <c:pt idx="1065">
                  <c:v>41928</c:v>
                </c:pt>
                <c:pt idx="1066">
                  <c:v>41929</c:v>
                </c:pt>
                <c:pt idx="1067">
                  <c:v>41932</c:v>
                </c:pt>
                <c:pt idx="1068">
                  <c:v>41933</c:v>
                </c:pt>
                <c:pt idx="1069">
                  <c:v>41934</c:v>
                </c:pt>
                <c:pt idx="1070">
                  <c:v>41935</c:v>
                </c:pt>
                <c:pt idx="1071">
                  <c:v>41936</c:v>
                </c:pt>
                <c:pt idx="1072">
                  <c:v>41939</c:v>
                </c:pt>
                <c:pt idx="1073">
                  <c:v>41940</c:v>
                </c:pt>
                <c:pt idx="1074">
                  <c:v>41941</c:v>
                </c:pt>
                <c:pt idx="1075">
                  <c:v>41942</c:v>
                </c:pt>
                <c:pt idx="1076">
                  <c:v>41943</c:v>
                </c:pt>
                <c:pt idx="1077">
                  <c:v>41946</c:v>
                </c:pt>
                <c:pt idx="1078">
                  <c:v>41947</c:v>
                </c:pt>
                <c:pt idx="1079">
                  <c:v>41948</c:v>
                </c:pt>
                <c:pt idx="1080">
                  <c:v>41949</c:v>
                </c:pt>
                <c:pt idx="1081">
                  <c:v>41950</c:v>
                </c:pt>
                <c:pt idx="1082">
                  <c:v>41953</c:v>
                </c:pt>
                <c:pt idx="1083">
                  <c:v>41954</c:v>
                </c:pt>
                <c:pt idx="1084">
                  <c:v>41955</c:v>
                </c:pt>
                <c:pt idx="1085">
                  <c:v>41956</c:v>
                </c:pt>
                <c:pt idx="1086">
                  <c:v>41957</c:v>
                </c:pt>
                <c:pt idx="1087">
                  <c:v>41960</c:v>
                </c:pt>
                <c:pt idx="1088">
                  <c:v>41961</c:v>
                </c:pt>
                <c:pt idx="1089">
                  <c:v>41962</c:v>
                </c:pt>
                <c:pt idx="1090">
                  <c:v>41963</c:v>
                </c:pt>
                <c:pt idx="1091">
                  <c:v>41964</c:v>
                </c:pt>
                <c:pt idx="1092">
                  <c:v>41967</c:v>
                </c:pt>
                <c:pt idx="1093">
                  <c:v>41968</c:v>
                </c:pt>
                <c:pt idx="1094">
                  <c:v>41969</c:v>
                </c:pt>
                <c:pt idx="1095">
                  <c:v>41971</c:v>
                </c:pt>
                <c:pt idx="1096">
                  <c:v>41974</c:v>
                </c:pt>
                <c:pt idx="1097">
                  <c:v>41975</c:v>
                </c:pt>
                <c:pt idx="1098">
                  <c:v>41976</c:v>
                </c:pt>
                <c:pt idx="1099">
                  <c:v>41977</c:v>
                </c:pt>
                <c:pt idx="1100">
                  <c:v>41978</c:v>
                </c:pt>
                <c:pt idx="1101">
                  <c:v>41981</c:v>
                </c:pt>
                <c:pt idx="1102">
                  <c:v>41982</c:v>
                </c:pt>
                <c:pt idx="1103">
                  <c:v>41983</c:v>
                </c:pt>
                <c:pt idx="1104">
                  <c:v>41984</c:v>
                </c:pt>
                <c:pt idx="1105">
                  <c:v>41985</c:v>
                </c:pt>
                <c:pt idx="1106">
                  <c:v>41988</c:v>
                </c:pt>
                <c:pt idx="1107">
                  <c:v>41989</c:v>
                </c:pt>
                <c:pt idx="1108">
                  <c:v>41990</c:v>
                </c:pt>
                <c:pt idx="1109">
                  <c:v>41991</c:v>
                </c:pt>
                <c:pt idx="1110">
                  <c:v>41992</c:v>
                </c:pt>
                <c:pt idx="1111">
                  <c:v>41995</c:v>
                </c:pt>
                <c:pt idx="1112">
                  <c:v>41996</c:v>
                </c:pt>
                <c:pt idx="1113">
                  <c:v>41997</c:v>
                </c:pt>
                <c:pt idx="1114">
                  <c:v>41999</c:v>
                </c:pt>
                <c:pt idx="1115">
                  <c:v>42002</c:v>
                </c:pt>
                <c:pt idx="1116">
                  <c:v>42003</c:v>
                </c:pt>
                <c:pt idx="1117">
                  <c:v>42004</c:v>
                </c:pt>
                <c:pt idx="1118">
                  <c:v>42006</c:v>
                </c:pt>
                <c:pt idx="1119">
                  <c:v>42009</c:v>
                </c:pt>
                <c:pt idx="1120">
                  <c:v>42010</c:v>
                </c:pt>
                <c:pt idx="1121">
                  <c:v>42011</c:v>
                </c:pt>
                <c:pt idx="1122">
                  <c:v>42012</c:v>
                </c:pt>
                <c:pt idx="1123">
                  <c:v>42013</c:v>
                </c:pt>
                <c:pt idx="1124">
                  <c:v>42016</c:v>
                </c:pt>
                <c:pt idx="1125">
                  <c:v>42017</c:v>
                </c:pt>
                <c:pt idx="1126">
                  <c:v>42018</c:v>
                </c:pt>
                <c:pt idx="1127">
                  <c:v>42019</c:v>
                </c:pt>
                <c:pt idx="1128">
                  <c:v>42020</c:v>
                </c:pt>
                <c:pt idx="1129">
                  <c:v>42024</c:v>
                </c:pt>
                <c:pt idx="1130">
                  <c:v>42025</c:v>
                </c:pt>
                <c:pt idx="1131">
                  <c:v>42026</c:v>
                </c:pt>
                <c:pt idx="1132">
                  <c:v>42027</c:v>
                </c:pt>
                <c:pt idx="1133">
                  <c:v>42030</c:v>
                </c:pt>
                <c:pt idx="1134">
                  <c:v>42031</c:v>
                </c:pt>
                <c:pt idx="1135">
                  <c:v>42032</c:v>
                </c:pt>
                <c:pt idx="1136">
                  <c:v>42033</c:v>
                </c:pt>
                <c:pt idx="1137">
                  <c:v>42034</c:v>
                </c:pt>
                <c:pt idx="1138">
                  <c:v>42037</c:v>
                </c:pt>
                <c:pt idx="1139">
                  <c:v>42038</c:v>
                </c:pt>
                <c:pt idx="1140">
                  <c:v>42039</c:v>
                </c:pt>
                <c:pt idx="1141">
                  <c:v>42040</c:v>
                </c:pt>
                <c:pt idx="1142">
                  <c:v>42041</c:v>
                </c:pt>
                <c:pt idx="1143">
                  <c:v>42044</c:v>
                </c:pt>
                <c:pt idx="1144">
                  <c:v>42045</c:v>
                </c:pt>
                <c:pt idx="1145">
                  <c:v>42046</c:v>
                </c:pt>
                <c:pt idx="1146">
                  <c:v>42047</c:v>
                </c:pt>
                <c:pt idx="1147">
                  <c:v>42048</c:v>
                </c:pt>
                <c:pt idx="1148">
                  <c:v>42052</c:v>
                </c:pt>
                <c:pt idx="1149">
                  <c:v>42053</c:v>
                </c:pt>
                <c:pt idx="1150">
                  <c:v>42054</c:v>
                </c:pt>
                <c:pt idx="1151">
                  <c:v>42055</c:v>
                </c:pt>
                <c:pt idx="1152">
                  <c:v>42058</c:v>
                </c:pt>
                <c:pt idx="1153">
                  <c:v>42059</c:v>
                </c:pt>
                <c:pt idx="1154">
                  <c:v>42060</c:v>
                </c:pt>
                <c:pt idx="1155">
                  <c:v>42061</c:v>
                </c:pt>
                <c:pt idx="1156">
                  <c:v>42062</c:v>
                </c:pt>
                <c:pt idx="1157">
                  <c:v>42065</c:v>
                </c:pt>
                <c:pt idx="1158">
                  <c:v>42066</c:v>
                </c:pt>
                <c:pt idx="1159">
                  <c:v>42067</c:v>
                </c:pt>
                <c:pt idx="1160">
                  <c:v>42068</c:v>
                </c:pt>
                <c:pt idx="1161">
                  <c:v>42069</c:v>
                </c:pt>
                <c:pt idx="1162">
                  <c:v>42072</c:v>
                </c:pt>
                <c:pt idx="1163">
                  <c:v>42073</c:v>
                </c:pt>
                <c:pt idx="1164">
                  <c:v>42074</c:v>
                </c:pt>
                <c:pt idx="1165">
                  <c:v>42075</c:v>
                </c:pt>
                <c:pt idx="1166">
                  <c:v>42076</c:v>
                </c:pt>
                <c:pt idx="1167">
                  <c:v>42079</c:v>
                </c:pt>
                <c:pt idx="1168">
                  <c:v>42080</c:v>
                </c:pt>
                <c:pt idx="1169">
                  <c:v>42081</c:v>
                </c:pt>
                <c:pt idx="1170">
                  <c:v>42082</c:v>
                </c:pt>
                <c:pt idx="1171">
                  <c:v>42083</c:v>
                </c:pt>
                <c:pt idx="1172">
                  <c:v>42086</c:v>
                </c:pt>
                <c:pt idx="1173">
                  <c:v>42087</c:v>
                </c:pt>
                <c:pt idx="1174">
                  <c:v>42088</c:v>
                </c:pt>
                <c:pt idx="1175">
                  <c:v>42089</c:v>
                </c:pt>
                <c:pt idx="1176">
                  <c:v>42090</c:v>
                </c:pt>
                <c:pt idx="1177">
                  <c:v>42093</c:v>
                </c:pt>
                <c:pt idx="1178">
                  <c:v>42094</c:v>
                </c:pt>
                <c:pt idx="1179">
                  <c:v>42095</c:v>
                </c:pt>
                <c:pt idx="1180">
                  <c:v>42096</c:v>
                </c:pt>
                <c:pt idx="1181">
                  <c:v>42100</c:v>
                </c:pt>
                <c:pt idx="1182">
                  <c:v>42101</c:v>
                </c:pt>
                <c:pt idx="1183">
                  <c:v>42102</c:v>
                </c:pt>
                <c:pt idx="1184">
                  <c:v>42103</c:v>
                </c:pt>
                <c:pt idx="1185">
                  <c:v>42104</c:v>
                </c:pt>
                <c:pt idx="1186">
                  <c:v>42107</c:v>
                </c:pt>
                <c:pt idx="1187">
                  <c:v>42108</c:v>
                </c:pt>
                <c:pt idx="1188">
                  <c:v>42109</c:v>
                </c:pt>
                <c:pt idx="1189">
                  <c:v>42110</c:v>
                </c:pt>
                <c:pt idx="1190">
                  <c:v>42111</c:v>
                </c:pt>
                <c:pt idx="1191">
                  <c:v>42114</c:v>
                </c:pt>
                <c:pt idx="1192">
                  <c:v>42115</c:v>
                </c:pt>
                <c:pt idx="1193">
                  <c:v>42116</c:v>
                </c:pt>
                <c:pt idx="1194">
                  <c:v>42117</c:v>
                </c:pt>
                <c:pt idx="1195">
                  <c:v>42118</c:v>
                </c:pt>
                <c:pt idx="1196">
                  <c:v>42121</c:v>
                </c:pt>
                <c:pt idx="1197">
                  <c:v>42122</c:v>
                </c:pt>
                <c:pt idx="1198">
                  <c:v>42123</c:v>
                </c:pt>
                <c:pt idx="1199">
                  <c:v>42124</c:v>
                </c:pt>
                <c:pt idx="1200">
                  <c:v>42125</c:v>
                </c:pt>
                <c:pt idx="1201">
                  <c:v>42128</c:v>
                </c:pt>
                <c:pt idx="1202">
                  <c:v>42129</c:v>
                </c:pt>
                <c:pt idx="1203">
                  <c:v>42130</c:v>
                </c:pt>
                <c:pt idx="1204">
                  <c:v>42131</c:v>
                </c:pt>
                <c:pt idx="1205">
                  <c:v>42132</c:v>
                </c:pt>
                <c:pt idx="1206">
                  <c:v>42135</c:v>
                </c:pt>
                <c:pt idx="1207">
                  <c:v>42136</c:v>
                </c:pt>
                <c:pt idx="1208">
                  <c:v>42137</c:v>
                </c:pt>
                <c:pt idx="1209">
                  <c:v>42138</c:v>
                </c:pt>
                <c:pt idx="1210">
                  <c:v>42139</c:v>
                </c:pt>
                <c:pt idx="1211">
                  <c:v>42142</c:v>
                </c:pt>
                <c:pt idx="1212">
                  <c:v>42143</c:v>
                </c:pt>
                <c:pt idx="1213">
                  <c:v>42144</c:v>
                </c:pt>
                <c:pt idx="1214">
                  <c:v>42145</c:v>
                </c:pt>
                <c:pt idx="1215">
                  <c:v>42146</c:v>
                </c:pt>
                <c:pt idx="1216">
                  <c:v>42150</c:v>
                </c:pt>
                <c:pt idx="1217">
                  <c:v>42151</c:v>
                </c:pt>
                <c:pt idx="1218">
                  <c:v>42152</c:v>
                </c:pt>
                <c:pt idx="1219">
                  <c:v>42153</c:v>
                </c:pt>
                <c:pt idx="1220">
                  <c:v>42156</c:v>
                </c:pt>
                <c:pt idx="1221">
                  <c:v>42157</c:v>
                </c:pt>
                <c:pt idx="1222">
                  <c:v>42158</c:v>
                </c:pt>
                <c:pt idx="1223">
                  <c:v>42159</c:v>
                </c:pt>
                <c:pt idx="1224">
                  <c:v>42160</c:v>
                </c:pt>
                <c:pt idx="1225">
                  <c:v>42163</c:v>
                </c:pt>
                <c:pt idx="1226">
                  <c:v>42164</c:v>
                </c:pt>
                <c:pt idx="1227">
                  <c:v>42165</c:v>
                </c:pt>
                <c:pt idx="1228">
                  <c:v>42166</c:v>
                </c:pt>
                <c:pt idx="1229">
                  <c:v>42167</c:v>
                </c:pt>
                <c:pt idx="1230">
                  <c:v>42170</c:v>
                </c:pt>
                <c:pt idx="1231">
                  <c:v>42171</c:v>
                </c:pt>
                <c:pt idx="1232">
                  <c:v>42172</c:v>
                </c:pt>
                <c:pt idx="1233">
                  <c:v>42173</c:v>
                </c:pt>
                <c:pt idx="1234">
                  <c:v>42174</c:v>
                </c:pt>
                <c:pt idx="1235">
                  <c:v>42177</c:v>
                </c:pt>
                <c:pt idx="1236">
                  <c:v>42178</c:v>
                </c:pt>
                <c:pt idx="1237">
                  <c:v>42179</c:v>
                </c:pt>
                <c:pt idx="1238">
                  <c:v>42180</c:v>
                </c:pt>
                <c:pt idx="1239">
                  <c:v>42181</c:v>
                </c:pt>
                <c:pt idx="1240">
                  <c:v>42184</c:v>
                </c:pt>
                <c:pt idx="1241">
                  <c:v>42185</c:v>
                </c:pt>
                <c:pt idx="1242">
                  <c:v>42186</c:v>
                </c:pt>
                <c:pt idx="1243">
                  <c:v>42187</c:v>
                </c:pt>
                <c:pt idx="1244">
                  <c:v>42191</c:v>
                </c:pt>
                <c:pt idx="1245">
                  <c:v>42192</c:v>
                </c:pt>
                <c:pt idx="1246">
                  <c:v>42193</c:v>
                </c:pt>
                <c:pt idx="1247">
                  <c:v>42194</c:v>
                </c:pt>
                <c:pt idx="1248">
                  <c:v>42195</c:v>
                </c:pt>
                <c:pt idx="1249">
                  <c:v>42198</c:v>
                </c:pt>
                <c:pt idx="1250">
                  <c:v>42199</c:v>
                </c:pt>
                <c:pt idx="1251">
                  <c:v>42200</c:v>
                </c:pt>
                <c:pt idx="1252">
                  <c:v>42201</c:v>
                </c:pt>
                <c:pt idx="1253">
                  <c:v>42202</c:v>
                </c:pt>
                <c:pt idx="1254">
                  <c:v>42205</c:v>
                </c:pt>
                <c:pt idx="1255">
                  <c:v>42206</c:v>
                </c:pt>
                <c:pt idx="1256">
                  <c:v>42207</c:v>
                </c:pt>
                <c:pt idx="1257">
                  <c:v>42208</c:v>
                </c:pt>
                <c:pt idx="1258">
                  <c:v>42209</c:v>
                </c:pt>
                <c:pt idx="1259">
                  <c:v>42212</c:v>
                </c:pt>
                <c:pt idx="1260">
                  <c:v>42213</c:v>
                </c:pt>
                <c:pt idx="1261">
                  <c:v>42214</c:v>
                </c:pt>
                <c:pt idx="1262">
                  <c:v>42215</c:v>
                </c:pt>
                <c:pt idx="1263">
                  <c:v>42216</c:v>
                </c:pt>
                <c:pt idx="1264">
                  <c:v>42219</c:v>
                </c:pt>
                <c:pt idx="1265">
                  <c:v>42220</c:v>
                </c:pt>
                <c:pt idx="1266">
                  <c:v>42221</c:v>
                </c:pt>
                <c:pt idx="1267">
                  <c:v>42222</c:v>
                </c:pt>
                <c:pt idx="1268">
                  <c:v>42223</c:v>
                </c:pt>
                <c:pt idx="1269">
                  <c:v>42226</c:v>
                </c:pt>
                <c:pt idx="1270">
                  <c:v>42227</c:v>
                </c:pt>
                <c:pt idx="1271">
                  <c:v>42228</c:v>
                </c:pt>
                <c:pt idx="1272">
                  <c:v>42229</c:v>
                </c:pt>
                <c:pt idx="1273">
                  <c:v>42230</c:v>
                </c:pt>
                <c:pt idx="1274">
                  <c:v>42233</c:v>
                </c:pt>
                <c:pt idx="1275">
                  <c:v>42234</c:v>
                </c:pt>
                <c:pt idx="1276">
                  <c:v>42235</c:v>
                </c:pt>
                <c:pt idx="1277">
                  <c:v>42236</c:v>
                </c:pt>
                <c:pt idx="1278">
                  <c:v>42237</c:v>
                </c:pt>
                <c:pt idx="1279">
                  <c:v>42240</c:v>
                </c:pt>
                <c:pt idx="1280">
                  <c:v>42241</c:v>
                </c:pt>
                <c:pt idx="1281">
                  <c:v>42242</c:v>
                </c:pt>
                <c:pt idx="1282">
                  <c:v>42243</c:v>
                </c:pt>
                <c:pt idx="1283">
                  <c:v>42244</c:v>
                </c:pt>
                <c:pt idx="1284">
                  <c:v>42247</c:v>
                </c:pt>
                <c:pt idx="1285">
                  <c:v>42248</c:v>
                </c:pt>
                <c:pt idx="1286">
                  <c:v>42249</c:v>
                </c:pt>
                <c:pt idx="1287">
                  <c:v>42250</c:v>
                </c:pt>
                <c:pt idx="1288">
                  <c:v>42251</c:v>
                </c:pt>
                <c:pt idx="1289">
                  <c:v>42255</c:v>
                </c:pt>
                <c:pt idx="1290">
                  <c:v>42256</c:v>
                </c:pt>
                <c:pt idx="1291">
                  <c:v>42257</c:v>
                </c:pt>
                <c:pt idx="1292">
                  <c:v>42258</c:v>
                </c:pt>
                <c:pt idx="1293">
                  <c:v>42261</c:v>
                </c:pt>
                <c:pt idx="1294">
                  <c:v>42262</c:v>
                </c:pt>
                <c:pt idx="1295">
                  <c:v>42263</c:v>
                </c:pt>
                <c:pt idx="1296">
                  <c:v>42264</c:v>
                </c:pt>
                <c:pt idx="1297">
                  <c:v>42265</c:v>
                </c:pt>
                <c:pt idx="1298">
                  <c:v>42268</c:v>
                </c:pt>
                <c:pt idx="1299">
                  <c:v>42269</c:v>
                </c:pt>
                <c:pt idx="1300">
                  <c:v>42270</c:v>
                </c:pt>
                <c:pt idx="1301">
                  <c:v>42271</c:v>
                </c:pt>
                <c:pt idx="1302">
                  <c:v>42272</c:v>
                </c:pt>
                <c:pt idx="1303">
                  <c:v>42275</c:v>
                </c:pt>
                <c:pt idx="1304">
                  <c:v>42276</c:v>
                </c:pt>
                <c:pt idx="1305">
                  <c:v>42277</c:v>
                </c:pt>
                <c:pt idx="1306">
                  <c:v>42278</c:v>
                </c:pt>
                <c:pt idx="1307">
                  <c:v>42279</c:v>
                </c:pt>
                <c:pt idx="1308">
                  <c:v>42282</c:v>
                </c:pt>
                <c:pt idx="1309">
                  <c:v>42283</c:v>
                </c:pt>
                <c:pt idx="1310">
                  <c:v>42284</c:v>
                </c:pt>
                <c:pt idx="1311">
                  <c:v>42285</c:v>
                </c:pt>
                <c:pt idx="1312">
                  <c:v>42286</c:v>
                </c:pt>
                <c:pt idx="1313">
                  <c:v>42289</c:v>
                </c:pt>
                <c:pt idx="1314">
                  <c:v>42290</c:v>
                </c:pt>
                <c:pt idx="1315">
                  <c:v>42291</c:v>
                </c:pt>
                <c:pt idx="1316">
                  <c:v>42292</c:v>
                </c:pt>
                <c:pt idx="1317">
                  <c:v>42293</c:v>
                </c:pt>
                <c:pt idx="1318">
                  <c:v>42296</c:v>
                </c:pt>
                <c:pt idx="1319">
                  <c:v>42297</c:v>
                </c:pt>
                <c:pt idx="1320">
                  <c:v>42298</c:v>
                </c:pt>
                <c:pt idx="1321">
                  <c:v>42299</c:v>
                </c:pt>
                <c:pt idx="1322">
                  <c:v>42300</c:v>
                </c:pt>
                <c:pt idx="1323">
                  <c:v>42303</c:v>
                </c:pt>
                <c:pt idx="1324">
                  <c:v>42304</c:v>
                </c:pt>
                <c:pt idx="1325">
                  <c:v>42305</c:v>
                </c:pt>
                <c:pt idx="1326">
                  <c:v>42306</c:v>
                </c:pt>
                <c:pt idx="1327">
                  <c:v>42307</c:v>
                </c:pt>
                <c:pt idx="1328">
                  <c:v>42310</c:v>
                </c:pt>
                <c:pt idx="1329">
                  <c:v>42311</c:v>
                </c:pt>
                <c:pt idx="1330">
                  <c:v>42312</c:v>
                </c:pt>
                <c:pt idx="1331">
                  <c:v>42313</c:v>
                </c:pt>
                <c:pt idx="1332">
                  <c:v>42314</c:v>
                </c:pt>
                <c:pt idx="1333">
                  <c:v>42317</c:v>
                </c:pt>
                <c:pt idx="1334">
                  <c:v>42318</c:v>
                </c:pt>
                <c:pt idx="1335">
                  <c:v>42319</c:v>
                </c:pt>
                <c:pt idx="1336">
                  <c:v>42320</c:v>
                </c:pt>
                <c:pt idx="1337">
                  <c:v>42321</c:v>
                </c:pt>
                <c:pt idx="1338">
                  <c:v>42324</c:v>
                </c:pt>
                <c:pt idx="1339">
                  <c:v>42325</c:v>
                </c:pt>
                <c:pt idx="1340">
                  <c:v>42326</c:v>
                </c:pt>
                <c:pt idx="1341">
                  <c:v>42327</c:v>
                </c:pt>
                <c:pt idx="1342">
                  <c:v>42328</c:v>
                </c:pt>
                <c:pt idx="1343">
                  <c:v>42331</c:v>
                </c:pt>
                <c:pt idx="1344">
                  <c:v>42332</c:v>
                </c:pt>
                <c:pt idx="1345">
                  <c:v>42333</c:v>
                </c:pt>
                <c:pt idx="1346">
                  <c:v>42335</c:v>
                </c:pt>
                <c:pt idx="1347">
                  <c:v>42338</c:v>
                </c:pt>
                <c:pt idx="1348">
                  <c:v>42339</c:v>
                </c:pt>
                <c:pt idx="1349">
                  <c:v>42340</c:v>
                </c:pt>
                <c:pt idx="1350">
                  <c:v>42341</c:v>
                </c:pt>
                <c:pt idx="1351">
                  <c:v>42342</c:v>
                </c:pt>
                <c:pt idx="1352">
                  <c:v>42345</c:v>
                </c:pt>
                <c:pt idx="1353">
                  <c:v>42346</c:v>
                </c:pt>
                <c:pt idx="1354">
                  <c:v>42347</c:v>
                </c:pt>
                <c:pt idx="1355">
                  <c:v>42348</c:v>
                </c:pt>
                <c:pt idx="1356">
                  <c:v>42349</c:v>
                </c:pt>
                <c:pt idx="1357">
                  <c:v>42352</c:v>
                </c:pt>
                <c:pt idx="1358">
                  <c:v>42353</c:v>
                </c:pt>
                <c:pt idx="1359">
                  <c:v>42354</c:v>
                </c:pt>
                <c:pt idx="1360">
                  <c:v>42355</c:v>
                </c:pt>
                <c:pt idx="1361">
                  <c:v>42356</c:v>
                </c:pt>
                <c:pt idx="1362">
                  <c:v>42359</c:v>
                </c:pt>
                <c:pt idx="1363">
                  <c:v>42360</c:v>
                </c:pt>
                <c:pt idx="1364">
                  <c:v>42361</c:v>
                </c:pt>
                <c:pt idx="1365">
                  <c:v>42362</c:v>
                </c:pt>
                <c:pt idx="1366">
                  <c:v>42366</c:v>
                </c:pt>
                <c:pt idx="1367">
                  <c:v>42367</c:v>
                </c:pt>
                <c:pt idx="1368">
                  <c:v>42368</c:v>
                </c:pt>
                <c:pt idx="1369">
                  <c:v>42369</c:v>
                </c:pt>
                <c:pt idx="1370">
                  <c:v>42373</c:v>
                </c:pt>
                <c:pt idx="1371">
                  <c:v>42374</c:v>
                </c:pt>
                <c:pt idx="1372">
                  <c:v>42375</c:v>
                </c:pt>
                <c:pt idx="1373">
                  <c:v>42376</c:v>
                </c:pt>
                <c:pt idx="1374">
                  <c:v>42377</c:v>
                </c:pt>
                <c:pt idx="1375">
                  <c:v>42380</c:v>
                </c:pt>
                <c:pt idx="1376">
                  <c:v>42381</c:v>
                </c:pt>
                <c:pt idx="1377">
                  <c:v>42382</c:v>
                </c:pt>
                <c:pt idx="1378">
                  <c:v>42383</c:v>
                </c:pt>
                <c:pt idx="1379">
                  <c:v>42384</c:v>
                </c:pt>
                <c:pt idx="1380">
                  <c:v>42388</c:v>
                </c:pt>
                <c:pt idx="1381">
                  <c:v>42389</c:v>
                </c:pt>
                <c:pt idx="1382">
                  <c:v>42390</c:v>
                </c:pt>
                <c:pt idx="1383">
                  <c:v>42391</c:v>
                </c:pt>
                <c:pt idx="1384">
                  <c:v>42394</c:v>
                </c:pt>
                <c:pt idx="1385">
                  <c:v>42395</c:v>
                </c:pt>
                <c:pt idx="1386">
                  <c:v>42396</c:v>
                </c:pt>
                <c:pt idx="1387">
                  <c:v>42397</c:v>
                </c:pt>
                <c:pt idx="1388">
                  <c:v>42398</c:v>
                </c:pt>
                <c:pt idx="1389">
                  <c:v>42401</c:v>
                </c:pt>
                <c:pt idx="1390">
                  <c:v>42402</c:v>
                </c:pt>
                <c:pt idx="1391">
                  <c:v>42403</c:v>
                </c:pt>
                <c:pt idx="1392">
                  <c:v>42404</c:v>
                </c:pt>
                <c:pt idx="1393">
                  <c:v>42405</c:v>
                </c:pt>
                <c:pt idx="1394">
                  <c:v>42408</c:v>
                </c:pt>
                <c:pt idx="1395">
                  <c:v>42409</c:v>
                </c:pt>
                <c:pt idx="1396">
                  <c:v>42410</c:v>
                </c:pt>
                <c:pt idx="1397">
                  <c:v>42411</c:v>
                </c:pt>
                <c:pt idx="1398">
                  <c:v>42412</c:v>
                </c:pt>
                <c:pt idx="1399">
                  <c:v>42416</c:v>
                </c:pt>
                <c:pt idx="1400">
                  <c:v>42417</c:v>
                </c:pt>
                <c:pt idx="1401">
                  <c:v>42418</c:v>
                </c:pt>
                <c:pt idx="1402">
                  <c:v>42419</c:v>
                </c:pt>
                <c:pt idx="1403">
                  <c:v>42422</c:v>
                </c:pt>
                <c:pt idx="1404">
                  <c:v>42423</c:v>
                </c:pt>
                <c:pt idx="1405">
                  <c:v>42424</c:v>
                </c:pt>
                <c:pt idx="1406">
                  <c:v>42425</c:v>
                </c:pt>
                <c:pt idx="1407">
                  <c:v>42426</c:v>
                </c:pt>
                <c:pt idx="1408">
                  <c:v>42429</c:v>
                </c:pt>
                <c:pt idx="1409">
                  <c:v>42430</c:v>
                </c:pt>
                <c:pt idx="1410">
                  <c:v>42431</c:v>
                </c:pt>
                <c:pt idx="1411">
                  <c:v>42432</c:v>
                </c:pt>
                <c:pt idx="1412">
                  <c:v>42433</c:v>
                </c:pt>
                <c:pt idx="1413">
                  <c:v>42436</c:v>
                </c:pt>
                <c:pt idx="1414">
                  <c:v>42437</c:v>
                </c:pt>
                <c:pt idx="1415">
                  <c:v>42438</c:v>
                </c:pt>
                <c:pt idx="1416">
                  <c:v>42439</c:v>
                </c:pt>
                <c:pt idx="1417">
                  <c:v>42440</c:v>
                </c:pt>
                <c:pt idx="1418">
                  <c:v>42443</c:v>
                </c:pt>
                <c:pt idx="1419">
                  <c:v>42444</c:v>
                </c:pt>
                <c:pt idx="1420">
                  <c:v>42445</c:v>
                </c:pt>
                <c:pt idx="1421">
                  <c:v>42446</c:v>
                </c:pt>
                <c:pt idx="1422">
                  <c:v>42447</c:v>
                </c:pt>
                <c:pt idx="1423">
                  <c:v>42450</c:v>
                </c:pt>
                <c:pt idx="1424">
                  <c:v>42451</c:v>
                </c:pt>
                <c:pt idx="1425">
                  <c:v>42452</c:v>
                </c:pt>
                <c:pt idx="1426">
                  <c:v>42453</c:v>
                </c:pt>
                <c:pt idx="1427">
                  <c:v>42457</c:v>
                </c:pt>
                <c:pt idx="1428">
                  <c:v>42458</c:v>
                </c:pt>
                <c:pt idx="1429">
                  <c:v>42459</c:v>
                </c:pt>
                <c:pt idx="1430">
                  <c:v>42460</c:v>
                </c:pt>
                <c:pt idx="1431">
                  <c:v>42461</c:v>
                </c:pt>
                <c:pt idx="1432">
                  <c:v>42464</c:v>
                </c:pt>
                <c:pt idx="1433">
                  <c:v>42465</c:v>
                </c:pt>
                <c:pt idx="1434">
                  <c:v>42466</c:v>
                </c:pt>
                <c:pt idx="1435">
                  <c:v>42467</c:v>
                </c:pt>
                <c:pt idx="1436">
                  <c:v>42468</c:v>
                </c:pt>
                <c:pt idx="1437">
                  <c:v>42471</c:v>
                </c:pt>
                <c:pt idx="1438">
                  <c:v>42472</c:v>
                </c:pt>
                <c:pt idx="1439">
                  <c:v>42473</c:v>
                </c:pt>
                <c:pt idx="1440">
                  <c:v>42474</c:v>
                </c:pt>
                <c:pt idx="1441">
                  <c:v>42475</c:v>
                </c:pt>
                <c:pt idx="1442">
                  <c:v>42478</c:v>
                </c:pt>
                <c:pt idx="1443">
                  <c:v>42479</c:v>
                </c:pt>
                <c:pt idx="1444">
                  <c:v>42480</c:v>
                </c:pt>
                <c:pt idx="1445">
                  <c:v>42481</c:v>
                </c:pt>
                <c:pt idx="1446">
                  <c:v>42482</c:v>
                </c:pt>
                <c:pt idx="1447">
                  <c:v>42485</c:v>
                </c:pt>
                <c:pt idx="1448">
                  <c:v>42486</c:v>
                </c:pt>
                <c:pt idx="1449">
                  <c:v>42487</c:v>
                </c:pt>
                <c:pt idx="1450">
                  <c:v>42488</c:v>
                </c:pt>
                <c:pt idx="1451">
                  <c:v>42489</c:v>
                </c:pt>
                <c:pt idx="1452">
                  <c:v>42492</c:v>
                </c:pt>
                <c:pt idx="1453">
                  <c:v>42493</c:v>
                </c:pt>
                <c:pt idx="1454">
                  <c:v>42494</c:v>
                </c:pt>
                <c:pt idx="1455">
                  <c:v>42495</c:v>
                </c:pt>
                <c:pt idx="1456">
                  <c:v>42496</c:v>
                </c:pt>
                <c:pt idx="1457">
                  <c:v>42499</c:v>
                </c:pt>
                <c:pt idx="1458">
                  <c:v>42500</c:v>
                </c:pt>
                <c:pt idx="1459">
                  <c:v>42501</c:v>
                </c:pt>
                <c:pt idx="1460">
                  <c:v>42502</c:v>
                </c:pt>
                <c:pt idx="1461">
                  <c:v>42503</c:v>
                </c:pt>
                <c:pt idx="1462">
                  <c:v>42506</c:v>
                </c:pt>
                <c:pt idx="1463">
                  <c:v>42507</c:v>
                </c:pt>
                <c:pt idx="1464">
                  <c:v>42508</c:v>
                </c:pt>
                <c:pt idx="1465">
                  <c:v>42509</c:v>
                </c:pt>
                <c:pt idx="1466">
                  <c:v>42510</c:v>
                </c:pt>
                <c:pt idx="1467">
                  <c:v>42513</c:v>
                </c:pt>
                <c:pt idx="1468">
                  <c:v>42514</c:v>
                </c:pt>
                <c:pt idx="1469">
                  <c:v>42515</c:v>
                </c:pt>
                <c:pt idx="1470">
                  <c:v>42516</c:v>
                </c:pt>
                <c:pt idx="1471">
                  <c:v>42517</c:v>
                </c:pt>
                <c:pt idx="1472">
                  <c:v>42521</c:v>
                </c:pt>
                <c:pt idx="1473">
                  <c:v>42522</c:v>
                </c:pt>
                <c:pt idx="1474">
                  <c:v>42523</c:v>
                </c:pt>
                <c:pt idx="1475">
                  <c:v>42524</c:v>
                </c:pt>
                <c:pt idx="1476">
                  <c:v>42527</c:v>
                </c:pt>
                <c:pt idx="1477">
                  <c:v>42528</c:v>
                </c:pt>
                <c:pt idx="1478">
                  <c:v>42529</c:v>
                </c:pt>
                <c:pt idx="1479">
                  <c:v>42530</c:v>
                </c:pt>
                <c:pt idx="1480">
                  <c:v>42531</c:v>
                </c:pt>
                <c:pt idx="1481">
                  <c:v>42534</c:v>
                </c:pt>
                <c:pt idx="1482">
                  <c:v>42535</c:v>
                </c:pt>
                <c:pt idx="1483">
                  <c:v>42536</c:v>
                </c:pt>
                <c:pt idx="1484">
                  <c:v>42537</c:v>
                </c:pt>
                <c:pt idx="1485">
                  <c:v>42538</c:v>
                </c:pt>
                <c:pt idx="1486">
                  <c:v>42541</c:v>
                </c:pt>
                <c:pt idx="1487">
                  <c:v>42542</c:v>
                </c:pt>
                <c:pt idx="1488">
                  <c:v>42543</c:v>
                </c:pt>
                <c:pt idx="1489">
                  <c:v>42544</c:v>
                </c:pt>
                <c:pt idx="1490">
                  <c:v>42545</c:v>
                </c:pt>
                <c:pt idx="1491">
                  <c:v>42548</c:v>
                </c:pt>
                <c:pt idx="1492">
                  <c:v>42549</c:v>
                </c:pt>
                <c:pt idx="1493">
                  <c:v>42550</c:v>
                </c:pt>
                <c:pt idx="1494">
                  <c:v>42551</c:v>
                </c:pt>
                <c:pt idx="1495">
                  <c:v>42552</c:v>
                </c:pt>
                <c:pt idx="1496">
                  <c:v>42556</c:v>
                </c:pt>
                <c:pt idx="1497">
                  <c:v>42557</c:v>
                </c:pt>
                <c:pt idx="1498">
                  <c:v>42558</c:v>
                </c:pt>
                <c:pt idx="1499">
                  <c:v>42559</c:v>
                </c:pt>
                <c:pt idx="1500">
                  <c:v>42562</c:v>
                </c:pt>
                <c:pt idx="1501">
                  <c:v>42563</c:v>
                </c:pt>
                <c:pt idx="1502">
                  <c:v>42564</c:v>
                </c:pt>
                <c:pt idx="1503">
                  <c:v>42565</c:v>
                </c:pt>
                <c:pt idx="1504">
                  <c:v>42566</c:v>
                </c:pt>
                <c:pt idx="1505">
                  <c:v>42569</c:v>
                </c:pt>
                <c:pt idx="1506">
                  <c:v>42570</c:v>
                </c:pt>
                <c:pt idx="1507">
                  <c:v>42571</c:v>
                </c:pt>
                <c:pt idx="1508">
                  <c:v>42572</c:v>
                </c:pt>
                <c:pt idx="1509">
                  <c:v>42573</c:v>
                </c:pt>
                <c:pt idx="1510">
                  <c:v>42576</c:v>
                </c:pt>
                <c:pt idx="1511">
                  <c:v>42577</c:v>
                </c:pt>
                <c:pt idx="1512">
                  <c:v>42578</c:v>
                </c:pt>
                <c:pt idx="1513">
                  <c:v>42579</c:v>
                </c:pt>
                <c:pt idx="1514">
                  <c:v>42580</c:v>
                </c:pt>
                <c:pt idx="1515">
                  <c:v>42583</c:v>
                </c:pt>
                <c:pt idx="1516">
                  <c:v>42584</c:v>
                </c:pt>
                <c:pt idx="1517">
                  <c:v>42585</c:v>
                </c:pt>
                <c:pt idx="1518">
                  <c:v>42586</c:v>
                </c:pt>
                <c:pt idx="1519">
                  <c:v>42587</c:v>
                </c:pt>
                <c:pt idx="1520">
                  <c:v>42590</c:v>
                </c:pt>
                <c:pt idx="1521">
                  <c:v>42591</c:v>
                </c:pt>
                <c:pt idx="1522">
                  <c:v>42592</c:v>
                </c:pt>
                <c:pt idx="1523">
                  <c:v>42593</c:v>
                </c:pt>
                <c:pt idx="1524">
                  <c:v>42594</c:v>
                </c:pt>
                <c:pt idx="1525">
                  <c:v>42597</c:v>
                </c:pt>
                <c:pt idx="1526">
                  <c:v>42598</c:v>
                </c:pt>
                <c:pt idx="1527">
                  <c:v>42599</c:v>
                </c:pt>
                <c:pt idx="1528">
                  <c:v>42600</c:v>
                </c:pt>
                <c:pt idx="1529">
                  <c:v>42601</c:v>
                </c:pt>
                <c:pt idx="1530">
                  <c:v>42604</c:v>
                </c:pt>
                <c:pt idx="1531">
                  <c:v>42605</c:v>
                </c:pt>
                <c:pt idx="1532">
                  <c:v>42606</c:v>
                </c:pt>
                <c:pt idx="1533">
                  <c:v>42607</c:v>
                </c:pt>
                <c:pt idx="1534">
                  <c:v>42608</c:v>
                </c:pt>
                <c:pt idx="1535">
                  <c:v>42611</c:v>
                </c:pt>
                <c:pt idx="1536">
                  <c:v>42612</c:v>
                </c:pt>
                <c:pt idx="1537">
                  <c:v>42613</c:v>
                </c:pt>
                <c:pt idx="1538">
                  <c:v>42614</c:v>
                </c:pt>
                <c:pt idx="1539">
                  <c:v>42615</c:v>
                </c:pt>
                <c:pt idx="1540">
                  <c:v>42619</c:v>
                </c:pt>
                <c:pt idx="1541">
                  <c:v>42620</c:v>
                </c:pt>
                <c:pt idx="1542">
                  <c:v>42621</c:v>
                </c:pt>
                <c:pt idx="1543">
                  <c:v>42622</c:v>
                </c:pt>
                <c:pt idx="1544">
                  <c:v>42625</c:v>
                </c:pt>
                <c:pt idx="1545">
                  <c:v>42626</c:v>
                </c:pt>
                <c:pt idx="1546">
                  <c:v>42627</c:v>
                </c:pt>
                <c:pt idx="1547">
                  <c:v>42628</c:v>
                </c:pt>
                <c:pt idx="1548">
                  <c:v>42629</c:v>
                </c:pt>
                <c:pt idx="1549">
                  <c:v>42632</c:v>
                </c:pt>
                <c:pt idx="1550">
                  <c:v>42633</c:v>
                </c:pt>
                <c:pt idx="1551">
                  <c:v>42634</c:v>
                </c:pt>
                <c:pt idx="1552">
                  <c:v>42635</c:v>
                </c:pt>
                <c:pt idx="1553">
                  <c:v>42636</c:v>
                </c:pt>
                <c:pt idx="1554">
                  <c:v>42639</c:v>
                </c:pt>
                <c:pt idx="1555">
                  <c:v>42640</c:v>
                </c:pt>
                <c:pt idx="1556">
                  <c:v>42641</c:v>
                </c:pt>
                <c:pt idx="1557">
                  <c:v>42642</c:v>
                </c:pt>
                <c:pt idx="1558">
                  <c:v>42643</c:v>
                </c:pt>
                <c:pt idx="1559">
                  <c:v>42646</c:v>
                </c:pt>
                <c:pt idx="1560">
                  <c:v>42647</c:v>
                </c:pt>
                <c:pt idx="1561">
                  <c:v>42648</c:v>
                </c:pt>
                <c:pt idx="1562">
                  <c:v>42649</c:v>
                </c:pt>
                <c:pt idx="1563">
                  <c:v>42650</c:v>
                </c:pt>
                <c:pt idx="1564">
                  <c:v>42653</c:v>
                </c:pt>
                <c:pt idx="1565">
                  <c:v>42654</c:v>
                </c:pt>
                <c:pt idx="1566">
                  <c:v>42655</c:v>
                </c:pt>
                <c:pt idx="1567">
                  <c:v>42656</c:v>
                </c:pt>
                <c:pt idx="1568">
                  <c:v>42657</c:v>
                </c:pt>
                <c:pt idx="1569">
                  <c:v>42660</c:v>
                </c:pt>
                <c:pt idx="1570">
                  <c:v>42661</c:v>
                </c:pt>
                <c:pt idx="1571">
                  <c:v>42662</c:v>
                </c:pt>
                <c:pt idx="1572">
                  <c:v>42663</c:v>
                </c:pt>
                <c:pt idx="1573">
                  <c:v>42664</c:v>
                </c:pt>
                <c:pt idx="1574">
                  <c:v>42667</c:v>
                </c:pt>
                <c:pt idx="1575">
                  <c:v>42668</c:v>
                </c:pt>
                <c:pt idx="1576">
                  <c:v>42669</c:v>
                </c:pt>
                <c:pt idx="1577">
                  <c:v>42670</c:v>
                </c:pt>
                <c:pt idx="1578">
                  <c:v>42671</c:v>
                </c:pt>
                <c:pt idx="1579">
                  <c:v>42674</c:v>
                </c:pt>
                <c:pt idx="1580">
                  <c:v>42675</c:v>
                </c:pt>
                <c:pt idx="1581">
                  <c:v>42676</c:v>
                </c:pt>
                <c:pt idx="1582">
                  <c:v>42677</c:v>
                </c:pt>
                <c:pt idx="1583">
                  <c:v>42678</c:v>
                </c:pt>
                <c:pt idx="1584">
                  <c:v>42681</c:v>
                </c:pt>
                <c:pt idx="1585">
                  <c:v>42682</c:v>
                </c:pt>
                <c:pt idx="1586">
                  <c:v>42683</c:v>
                </c:pt>
                <c:pt idx="1587">
                  <c:v>42684</c:v>
                </c:pt>
                <c:pt idx="1588">
                  <c:v>42685</c:v>
                </c:pt>
                <c:pt idx="1589">
                  <c:v>42688</c:v>
                </c:pt>
                <c:pt idx="1590">
                  <c:v>42689</c:v>
                </c:pt>
                <c:pt idx="1591">
                  <c:v>42690</c:v>
                </c:pt>
                <c:pt idx="1592">
                  <c:v>42691</c:v>
                </c:pt>
                <c:pt idx="1593">
                  <c:v>42692</c:v>
                </c:pt>
                <c:pt idx="1594">
                  <c:v>42695</c:v>
                </c:pt>
                <c:pt idx="1595">
                  <c:v>42696</c:v>
                </c:pt>
                <c:pt idx="1596">
                  <c:v>42697</c:v>
                </c:pt>
                <c:pt idx="1597">
                  <c:v>42699</c:v>
                </c:pt>
                <c:pt idx="1598">
                  <c:v>42702</c:v>
                </c:pt>
                <c:pt idx="1599">
                  <c:v>42703</c:v>
                </c:pt>
                <c:pt idx="1600">
                  <c:v>42704</c:v>
                </c:pt>
                <c:pt idx="1601">
                  <c:v>42705</c:v>
                </c:pt>
                <c:pt idx="1602">
                  <c:v>42706</c:v>
                </c:pt>
                <c:pt idx="1603">
                  <c:v>42709</c:v>
                </c:pt>
                <c:pt idx="1604">
                  <c:v>42710</c:v>
                </c:pt>
                <c:pt idx="1605">
                  <c:v>42711</c:v>
                </c:pt>
                <c:pt idx="1606">
                  <c:v>42712</c:v>
                </c:pt>
                <c:pt idx="1607">
                  <c:v>42713</c:v>
                </c:pt>
                <c:pt idx="1608">
                  <c:v>42716</c:v>
                </c:pt>
                <c:pt idx="1609">
                  <c:v>42717</c:v>
                </c:pt>
                <c:pt idx="1610">
                  <c:v>42718</c:v>
                </c:pt>
                <c:pt idx="1611">
                  <c:v>42719</c:v>
                </c:pt>
                <c:pt idx="1612">
                  <c:v>42720</c:v>
                </c:pt>
                <c:pt idx="1613">
                  <c:v>42723</c:v>
                </c:pt>
                <c:pt idx="1614">
                  <c:v>42724</c:v>
                </c:pt>
                <c:pt idx="1615">
                  <c:v>42725</c:v>
                </c:pt>
                <c:pt idx="1616">
                  <c:v>42726</c:v>
                </c:pt>
                <c:pt idx="1617">
                  <c:v>42727</c:v>
                </c:pt>
                <c:pt idx="1618">
                  <c:v>42731</c:v>
                </c:pt>
                <c:pt idx="1619">
                  <c:v>42732</c:v>
                </c:pt>
                <c:pt idx="1620">
                  <c:v>42733</c:v>
                </c:pt>
                <c:pt idx="1621">
                  <c:v>42734</c:v>
                </c:pt>
                <c:pt idx="1622">
                  <c:v>42738</c:v>
                </c:pt>
                <c:pt idx="1623">
                  <c:v>42739</c:v>
                </c:pt>
                <c:pt idx="1624">
                  <c:v>42740</c:v>
                </c:pt>
                <c:pt idx="1625">
                  <c:v>42741</c:v>
                </c:pt>
                <c:pt idx="1626">
                  <c:v>42744</c:v>
                </c:pt>
                <c:pt idx="1627">
                  <c:v>42745</c:v>
                </c:pt>
                <c:pt idx="1628">
                  <c:v>42746</c:v>
                </c:pt>
                <c:pt idx="1629">
                  <c:v>42747</c:v>
                </c:pt>
                <c:pt idx="1630">
                  <c:v>42748</c:v>
                </c:pt>
                <c:pt idx="1631">
                  <c:v>42752</c:v>
                </c:pt>
                <c:pt idx="1632">
                  <c:v>42753</c:v>
                </c:pt>
                <c:pt idx="1633">
                  <c:v>42754</c:v>
                </c:pt>
                <c:pt idx="1634">
                  <c:v>42755</c:v>
                </c:pt>
                <c:pt idx="1635">
                  <c:v>42758</c:v>
                </c:pt>
                <c:pt idx="1636">
                  <c:v>42759</c:v>
                </c:pt>
                <c:pt idx="1637">
                  <c:v>42760</c:v>
                </c:pt>
                <c:pt idx="1638">
                  <c:v>42761</c:v>
                </c:pt>
                <c:pt idx="1639">
                  <c:v>42762</c:v>
                </c:pt>
                <c:pt idx="1640">
                  <c:v>42765</c:v>
                </c:pt>
                <c:pt idx="1641">
                  <c:v>42766</c:v>
                </c:pt>
                <c:pt idx="1642">
                  <c:v>42767</c:v>
                </c:pt>
                <c:pt idx="1643">
                  <c:v>42768</c:v>
                </c:pt>
                <c:pt idx="1644">
                  <c:v>42769</c:v>
                </c:pt>
                <c:pt idx="1645">
                  <c:v>42772</c:v>
                </c:pt>
                <c:pt idx="1646">
                  <c:v>42773</c:v>
                </c:pt>
                <c:pt idx="1647">
                  <c:v>42774</c:v>
                </c:pt>
                <c:pt idx="1648">
                  <c:v>42775</c:v>
                </c:pt>
                <c:pt idx="1649">
                  <c:v>42776</c:v>
                </c:pt>
                <c:pt idx="1650">
                  <c:v>42779</c:v>
                </c:pt>
                <c:pt idx="1651">
                  <c:v>42780</c:v>
                </c:pt>
                <c:pt idx="1652">
                  <c:v>42781</c:v>
                </c:pt>
                <c:pt idx="1653">
                  <c:v>42782</c:v>
                </c:pt>
                <c:pt idx="1654">
                  <c:v>42783</c:v>
                </c:pt>
                <c:pt idx="1655">
                  <c:v>42787</c:v>
                </c:pt>
                <c:pt idx="1656">
                  <c:v>42788</c:v>
                </c:pt>
                <c:pt idx="1657">
                  <c:v>42789</c:v>
                </c:pt>
                <c:pt idx="1658">
                  <c:v>42790</c:v>
                </c:pt>
                <c:pt idx="1659">
                  <c:v>42793</c:v>
                </c:pt>
                <c:pt idx="1660">
                  <c:v>42794</c:v>
                </c:pt>
                <c:pt idx="1661">
                  <c:v>42795</c:v>
                </c:pt>
                <c:pt idx="1662">
                  <c:v>42796</c:v>
                </c:pt>
                <c:pt idx="1663">
                  <c:v>42797</c:v>
                </c:pt>
                <c:pt idx="1664">
                  <c:v>42800</c:v>
                </c:pt>
                <c:pt idx="1665">
                  <c:v>42801</c:v>
                </c:pt>
                <c:pt idx="1666">
                  <c:v>42802</c:v>
                </c:pt>
                <c:pt idx="1667">
                  <c:v>42803</c:v>
                </c:pt>
                <c:pt idx="1668">
                  <c:v>42804</c:v>
                </c:pt>
                <c:pt idx="1669">
                  <c:v>42807</c:v>
                </c:pt>
                <c:pt idx="1670">
                  <c:v>42808</c:v>
                </c:pt>
                <c:pt idx="1671">
                  <c:v>42809</c:v>
                </c:pt>
                <c:pt idx="1672">
                  <c:v>42810</c:v>
                </c:pt>
                <c:pt idx="1673">
                  <c:v>42811</c:v>
                </c:pt>
                <c:pt idx="1674">
                  <c:v>42814</c:v>
                </c:pt>
                <c:pt idx="1675">
                  <c:v>42815</c:v>
                </c:pt>
                <c:pt idx="1676">
                  <c:v>42816</c:v>
                </c:pt>
                <c:pt idx="1677">
                  <c:v>42817</c:v>
                </c:pt>
                <c:pt idx="1678">
                  <c:v>42818</c:v>
                </c:pt>
                <c:pt idx="1679">
                  <c:v>42821</c:v>
                </c:pt>
                <c:pt idx="1680">
                  <c:v>42822</c:v>
                </c:pt>
                <c:pt idx="1681">
                  <c:v>42823</c:v>
                </c:pt>
                <c:pt idx="1682">
                  <c:v>42824</c:v>
                </c:pt>
                <c:pt idx="1683">
                  <c:v>42825</c:v>
                </c:pt>
                <c:pt idx="1684">
                  <c:v>42828</c:v>
                </c:pt>
                <c:pt idx="1685">
                  <c:v>42829</c:v>
                </c:pt>
                <c:pt idx="1686">
                  <c:v>42830</c:v>
                </c:pt>
                <c:pt idx="1687">
                  <c:v>42831</c:v>
                </c:pt>
                <c:pt idx="1688">
                  <c:v>42832</c:v>
                </c:pt>
                <c:pt idx="1689">
                  <c:v>42835</c:v>
                </c:pt>
                <c:pt idx="1690">
                  <c:v>42836</c:v>
                </c:pt>
                <c:pt idx="1691">
                  <c:v>42837</c:v>
                </c:pt>
                <c:pt idx="1692">
                  <c:v>42838</c:v>
                </c:pt>
                <c:pt idx="1693">
                  <c:v>42842</c:v>
                </c:pt>
                <c:pt idx="1694">
                  <c:v>42843</c:v>
                </c:pt>
                <c:pt idx="1695">
                  <c:v>42844</c:v>
                </c:pt>
                <c:pt idx="1696">
                  <c:v>42845</c:v>
                </c:pt>
                <c:pt idx="1697">
                  <c:v>42846</c:v>
                </c:pt>
                <c:pt idx="1698">
                  <c:v>42849</c:v>
                </c:pt>
                <c:pt idx="1699">
                  <c:v>42850</c:v>
                </c:pt>
                <c:pt idx="1700">
                  <c:v>42851</c:v>
                </c:pt>
                <c:pt idx="1701">
                  <c:v>42852</c:v>
                </c:pt>
                <c:pt idx="1702">
                  <c:v>42853</c:v>
                </c:pt>
                <c:pt idx="1703">
                  <c:v>42856</c:v>
                </c:pt>
                <c:pt idx="1704">
                  <c:v>42857</c:v>
                </c:pt>
                <c:pt idx="1705">
                  <c:v>42858</c:v>
                </c:pt>
                <c:pt idx="1706">
                  <c:v>42859</c:v>
                </c:pt>
                <c:pt idx="1707">
                  <c:v>42860</c:v>
                </c:pt>
                <c:pt idx="1708">
                  <c:v>42863</c:v>
                </c:pt>
                <c:pt idx="1709">
                  <c:v>42864</c:v>
                </c:pt>
                <c:pt idx="1710">
                  <c:v>42865</c:v>
                </c:pt>
                <c:pt idx="1711">
                  <c:v>42866</c:v>
                </c:pt>
                <c:pt idx="1712">
                  <c:v>42867</c:v>
                </c:pt>
                <c:pt idx="1713">
                  <c:v>42870</c:v>
                </c:pt>
                <c:pt idx="1714">
                  <c:v>42871</c:v>
                </c:pt>
                <c:pt idx="1715">
                  <c:v>42872</c:v>
                </c:pt>
                <c:pt idx="1716">
                  <c:v>42873</c:v>
                </c:pt>
                <c:pt idx="1717">
                  <c:v>42874</c:v>
                </c:pt>
                <c:pt idx="1718">
                  <c:v>42877</c:v>
                </c:pt>
                <c:pt idx="1719">
                  <c:v>42878</c:v>
                </c:pt>
                <c:pt idx="1720">
                  <c:v>42879</c:v>
                </c:pt>
                <c:pt idx="1721">
                  <c:v>42880</c:v>
                </c:pt>
                <c:pt idx="1722">
                  <c:v>42881</c:v>
                </c:pt>
                <c:pt idx="1723">
                  <c:v>42885</c:v>
                </c:pt>
                <c:pt idx="1724">
                  <c:v>42886</c:v>
                </c:pt>
                <c:pt idx="1725">
                  <c:v>42887</c:v>
                </c:pt>
                <c:pt idx="1726">
                  <c:v>42888</c:v>
                </c:pt>
                <c:pt idx="1727">
                  <c:v>42891</c:v>
                </c:pt>
                <c:pt idx="1728">
                  <c:v>42892</c:v>
                </c:pt>
                <c:pt idx="1729">
                  <c:v>42893</c:v>
                </c:pt>
                <c:pt idx="1730">
                  <c:v>42894</c:v>
                </c:pt>
                <c:pt idx="1731">
                  <c:v>42895</c:v>
                </c:pt>
                <c:pt idx="1732">
                  <c:v>42898</c:v>
                </c:pt>
                <c:pt idx="1733">
                  <c:v>42899</c:v>
                </c:pt>
                <c:pt idx="1734">
                  <c:v>42900</c:v>
                </c:pt>
                <c:pt idx="1735">
                  <c:v>42901</c:v>
                </c:pt>
                <c:pt idx="1736">
                  <c:v>42902</c:v>
                </c:pt>
                <c:pt idx="1737">
                  <c:v>42905</c:v>
                </c:pt>
                <c:pt idx="1738">
                  <c:v>42906</c:v>
                </c:pt>
                <c:pt idx="1739">
                  <c:v>42907</c:v>
                </c:pt>
                <c:pt idx="1740">
                  <c:v>42908</c:v>
                </c:pt>
                <c:pt idx="1741">
                  <c:v>42909</c:v>
                </c:pt>
                <c:pt idx="1742">
                  <c:v>42912</c:v>
                </c:pt>
                <c:pt idx="1743">
                  <c:v>42913</c:v>
                </c:pt>
                <c:pt idx="1744">
                  <c:v>42914</c:v>
                </c:pt>
                <c:pt idx="1745">
                  <c:v>42915</c:v>
                </c:pt>
                <c:pt idx="1746">
                  <c:v>42916</c:v>
                </c:pt>
                <c:pt idx="1747">
                  <c:v>42919</c:v>
                </c:pt>
                <c:pt idx="1748">
                  <c:v>42921</c:v>
                </c:pt>
                <c:pt idx="1749">
                  <c:v>42922</c:v>
                </c:pt>
                <c:pt idx="1750">
                  <c:v>42923</c:v>
                </c:pt>
                <c:pt idx="1751">
                  <c:v>42926</c:v>
                </c:pt>
                <c:pt idx="1752">
                  <c:v>42927</c:v>
                </c:pt>
                <c:pt idx="1753">
                  <c:v>42928</c:v>
                </c:pt>
                <c:pt idx="1754">
                  <c:v>42929</c:v>
                </c:pt>
                <c:pt idx="1755">
                  <c:v>42930</c:v>
                </c:pt>
                <c:pt idx="1756">
                  <c:v>42933</c:v>
                </c:pt>
                <c:pt idx="1757">
                  <c:v>42934</c:v>
                </c:pt>
                <c:pt idx="1758">
                  <c:v>42935</c:v>
                </c:pt>
                <c:pt idx="1759">
                  <c:v>42936</c:v>
                </c:pt>
                <c:pt idx="1760">
                  <c:v>42937</c:v>
                </c:pt>
                <c:pt idx="1761">
                  <c:v>42940</c:v>
                </c:pt>
                <c:pt idx="1762">
                  <c:v>42941</c:v>
                </c:pt>
                <c:pt idx="1763">
                  <c:v>42942</c:v>
                </c:pt>
                <c:pt idx="1764">
                  <c:v>42943</c:v>
                </c:pt>
                <c:pt idx="1765">
                  <c:v>42944</c:v>
                </c:pt>
                <c:pt idx="1766">
                  <c:v>42947</c:v>
                </c:pt>
                <c:pt idx="1767">
                  <c:v>42948</c:v>
                </c:pt>
                <c:pt idx="1768">
                  <c:v>42949</c:v>
                </c:pt>
                <c:pt idx="1769">
                  <c:v>42950</c:v>
                </c:pt>
                <c:pt idx="1770">
                  <c:v>42951</c:v>
                </c:pt>
                <c:pt idx="1771">
                  <c:v>42954</c:v>
                </c:pt>
                <c:pt idx="1772">
                  <c:v>42955</c:v>
                </c:pt>
                <c:pt idx="1773">
                  <c:v>42956</c:v>
                </c:pt>
                <c:pt idx="1774">
                  <c:v>42957</c:v>
                </c:pt>
                <c:pt idx="1775">
                  <c:v>42958</c:v>
                </c:pt>
                <c:pt idx="1776">
                  <c:v>42961</c:v>
                </c:pt>
                <c:pt idx="1777">
                  <c:v>42962</c:v>
                </c:pt>
                <c:pt idx="1778">
                  <c:v>42963</c:v>
                </c:pt>
                <c:pt idx="1779">
                  <c:v>42964</c:v>
                </c:pt>
                <c:pt idx="1780">
                  <c:v>42965</c:v>
                </c:pt>
                <c:pt idx="1781">
                  <c:v>42968</c:v>
                </c:pt>
                <c:pt idx="1782">
                  <c:v>42969</c:v>
                </c:pt>
                <c:pt idx="1783">
                  <c:v>42970</c:v>
                </c:pt>
                <c:pt idx="1784">
                  <c:v>42971</c:v>
                </c:pt>
                <c:pt idx="1785">
                  <c:v>42972</c:v>
                </c:pt>
                <c:pt idx="1786">
                  <c:v>42975</c:v>
                </c:pt>
                <c:pt idx="1787">
                  <c:v>42976</c:v>
                </c:pt>
                <c:pt idx="1788">
                  <c:v>42977</c:v>
                </c:pt>
                <c:pt idx="1789">
                  <c:v>42978</c:v>
                </c:pt>
                <c:pt idx="1790">
                  <c:v>42979</c:v>
                </c:pt>
                <c:pt idx="1791">
                  <c:v>42983</c:v>
                </c:pt>
                <c:pt idx="1792">
                  <c:v>42984</c:v>
                </c:pt>
                <c:pt idx="1793">
                  <c:v>42985</c:v>
                </c:pt>
                <c:pt idx="1794">
                  <c:v>42986</c:v>
                </c:pt>
                <c:pt idx="1795">
                  <c:v>42989</c:v>
                </c:pt>
                <c:pt idx="1796">
                  <c:v>42990</c:v>
                </c:pt>
                <c:pt idx="1797">
                  <c:v>42991</c:v>
                </c:pt>
                <c:pt idx="1798">
                  <c:v>42992</c:v>
                </c:pt>
                <c:pt idx="1799">
                  <c:v>42993</c:v>
                </c:pt>
                <c:pt idx="1800">
                  <c:v>42996</c:v>
                </c:pt>
                <c:pt idx="1801">
                  <c:v>42997</c:v>
                </c:pt>
                <c:pt idx="1802">
                  <c:v>42998</c:v>
                </c:pt>
                <c:pt idx="1803">
                  <c:v>42999</c:v>
                </c:pt>
                <c:pt idx="1804">
                  <c:v>43000</c:v>
                </c:pt>
                <c:pt idx="1805">
                  <c:v>43003</c:v>
                </c:pt>
                <c:pt idx="1806">
                  <c:v>43004</c:v>
                </c:pt>
                <c:pt idx="1807">
                  <c:v>43005</c:v>
                </c:pt>
                <c:pt idx="1808">
                  <c:v>43006</c:v>
                </c:pt>
                <c:pt idx="1809">
                  <c:v>43007</c:v>
                </c:pt>
                <c:pt idx="1810">
                  <c:v>43010</c:v>
                </c:pt>
                <c:pt idx="1811">
                  <c:v>43011</c:v>
                </c:pt>
                <c:pt idx="1812">
                  <c:v>43012</c:v>
                </c:pt>
                <c:pt idx="1813">
                  <c:v>43013</c:v>
                </c:pt>
                <c:pt idx="1814">
                  <c:v>43014</c:v>
                </c:pt>
                <c:pt idx="1815">
                  <c:v>43017</c:v>
                </c:pt>
                <c:pt idx="1816">
                  <c:v>43018</c:v>
                </c:pt>
                <c:pt idx="1817">
                  <c:v>43019</c:v>
                </c:pt>
                <c:pt idx="1818">
                  <c:v>43020</c:v>
                </c:pt>
                <c:pt idx="1819">
                  <c:v>43021</c:v>
                </c:pt>
                <c:pt idx="1820">
                  <c:v>43024</c:v>
                </c:pt>
                <c:pt idx="1821">
                  <c:v>43025</c:v>
                </c:pt>
                <c:pt idx="1822">
                  <c:v>43026</c:v>
                </c:pt>
                <c:pt idx="1823">
                  <c:v>43027</c:v>
                </c:pt>
                <c:pt idx="1824">
                  <c:v>43028</c:v>
                </c:pt>
                <c:pt idx="1825">
                  <c:v>43031</c:v>
                </c:pt>
                <c:pt idx="1826">
                  <c:v>43032</c:v>
                </c:pt>
                <c:pt idx="1827">
                  <c:v>43033</c:v>
                </c:pt>
                <c:pt idx="1828">
                  <c:v>43034</c:v>
                </c:pt>
                <c:pt idx="1829">
                  <c:v>43035</c:v>
                </c:pt>
                <c:pt idx="1830">
                  <c:v>43038</c:v>
                </c:pt>
                <c:pt idx="1831">
                  <c:v>43039</c:v>
                </c:pt>
                <c:pt idx="1832">
                  <c:v>43040</c:v>
                </c:pt>
                <c:pt idx="1833">
                  <c:v>43041</c:v>
                </c:pt>
                <c:pt idx="1834">
                  <c:v>43042</c:v>
                </c:pt>
                <c:pt idx="1835">
                  <c:v>43045</c:v>
                </c:pt>
                <c:pt idx="1836">
                  <c:v>43046</c:v>
                </c:pt>
                <c:pt idx="1837">
                  <c:v>43047</c:v>
                </c:pt>
                <c:pt idx="1838">
                  <c:v>43048</c:v>
                </c:pt>
                <c:pt idx="1839">
                  <c:v>43049</c:v>
                </c:pt>
                <c:pt idx="1840">
                  <c:v>43052</c:v>
                </c:pt>
                <c:pt idx="1841">
                  <c:v>43053</c:v>
                </c:pt>
                <c:pt idx="1842">
                  <c:v>43054</c:v>
                </c:pt>
                <c:pt idx="1843">
                  <c:v>43055</c:v>
                </c:pt>
                <c:pt idx="1844">
                  <c:v>43056</c:v>
                </c:pt>
                <c:pt idx="1845">
                  <c:v>43059</c:v>
                </c:pt>
                <c:pt idx="1846">
                  <c:v>43060</c:v>
                </c:pt>
                <c:pt idx="1847">
                  <c:v>43061</c:v>
                </c:pt>
                <c:pt idx="1848">
                  <c:v>43063</c:v>
                </c:pt>
                <c:pt idx="1849">
                  <c:v>43066</c:v>
                </c:pt>
                <c:pt idx="1850">
                  <c:v>43067</c:v>
                </c:pt>
                <c:pt idx="1851">
                  <c:v>43068</c:v>
                </c:pt>
                <c:pt idx="1852">
                  <c:v>43069</c:v>
                </c:pt>
                <c:pt idx="1853">
                  <c:v>43070</c:v>
                </c:pt>
                <c:pt idx="1854">
                  <c:v>43073</c:v>
                </c:pt>
                <c:pt idx="1855">
                  <c:v>43074</c:v>
                </c:pt>
                <c:pt idx="1856">
                  <c:v>43075</c:v>
                </c:pt>
                <c:pt idx="1857">
                  <c:v>43076</c:v>
                </c:pt>
                <c:pt idx="1858">
                  <c:v>43077</c:v>
                </c:pt>
                <c:pt idx="1859">
                  <c:v>43080</c:v>
                </c:pt>
                <c:pt idx="1860">
                  <c:v>43081</c:v>
                </c:pt>
                <c:pt idx="1861">
                  <c:v>43082</c:v>
                </c:pt>
                <c:pt idx="1862">
                  <c:v>43083</c:v>
                </c:pt>
                <c:pt idx="1863">
                  <c:v>43084</c:v>
                </c:pt>
                <c:pt idx="1864">
                  <c:v>43087</c:v>
                </c:pt>
                <c:pt idx="1865">
                  <c:v>43088</c:v>
                </c:pt>
                <c:pt idx="1866">
                  <c:v>43089</c:v>
                </c:pt>
                <c:pt idx="1867">
                  <c:v>43090</c:v>
                </c:pt>
                <c:pt idx="1868">
                  <c:v>43091</c:v>
                </c:pt>
                <c:pt idx="1869">
                  <c:v>43095</c:v>
                </c:pt>
                <c:pt idx="1870">
                  <c:v>43096</c:v>
                </c:pt>
                <c:pt idx="1871">
                  <c:v>43097</c:v>
                </c:pt>
                <c:pt idx="1872">
                  <c:v>43098</c:v>
                </c:pt>
                <c:pt idx="1873">
                  <c:v>43102</c:v>
                </c:pt>
                <c:pt idx="1874">
                  <c:v>43103</c:v>
                </c:pt>
                <c:pt idx="1875">
                  <c:v>43104</c:v>
                </c:pt>
                <c:pt idx="1876">
                  <c:v>43105</c:v>
                </c:pt>
                <c:pt idx="1877">
                  <c:v>43108</c:v>
                </c:pt>
                <c:pt idx="1878">
                  <c:v>43109</c:v>
                </c:pt>
                <c:pt idx="1879">
                  <c:v>43110</c:v>
                </c:pt>
                <c:pt idx="1880">
                  <c:v>43111</c:v>
                </c:pt>
                <c:pt idx="1881">
                  <c:v>43112</c:v>
                </c:pt>
                <c:pt idx="1882">
                  <c:v>43116</c:v>
                </c:pt>
                <c:pt idx="1883">
                  <c:v>43117</c:v>
                </c:pt>
                <c:pt idx="1884">
                  <c:v>43118</c:v>
                </c:pt>
                <c:pt idx="1885">
                  <c:v>43119</c:v>
                </c:pt>
                <c:pt idx="1886">
                  <c:v>43122</c:v>
                </c:pt>
                <c:pt idx="1887">
                  <c:v>43123</c:v>
                </c:pt>
                <c:pt idx="1888">
                  <c:v>43124</c:v>
                </c:pt>
                <c:pt idx="1889">
                  <c:v>43125</c:v>
                </c:pt>
                <c:pt idx="1890">
                  <c:v>43126</c:v>
                </c:pt>
                <c:pt idx="1891">
                  <c:v>43129</c:v>
                </c:pt>
                <c:pt idx="1892">
                  <c:v>43130</c:v>
                </c:pt>
                <c:pt idx="1893">
                  <c:v>43131</c:v>
                </c:pt>
                <c:pt idx="1894">
                  <c:v>43132</c:v>
                </c:pt>
                <c:pt idx="1895">
                  <c:v>43133</c:v>
                </c:pt>
                <c:pt idx="1896">
                  <c:v>43136</c:v>
                </c:pt>
                <c:pt idx="1897">
                  <c:v>43137</c:v>
                </c:pt>
                <c:pt idx="1898">
                  <c:v>43138</c:v>
                </c:pt>
                <c:pt idx="1899">
                  <c:v>43139</c:v>
                </c:pt>
                <c:pt idx="1900">
                  <c:v>43140</c:v>
                </c:pt>
                <c:pt idx="1901">
                  <c:v>43143</c:v>
                </c:pt>
                <c:pt idx="1902">
                  <c:v>43144</c:v>
                </c:pt>
                <c:pt idx="1903">
                  <c:v>43145</c:v>
                </c:pt>
                <c:pt idx="1904">
                  <c:v>43146</c:v>
                </c:pt>
                <c:pt idx="1905">
                  <c:v>43147</c:v>
                </c:pt>
                <c:pt idx="1906">
                  <c:v>43151</c:v>
                </c:pt>
                <c:pt idx="1907">
                  <c:v>43152</c:v>
                </c:pt>
                <c:pt idx="1908">
                  <c:v>43153</c:v>
                </c:pt>
                <c:pt idx="1909">
                  <c:v>43154</c:v>
                </c:pt>
                <c:pt idx="1910">
                  <c:v>43157</c:v>
                </c:pt>
                <c:pt idx="1911">
                  <c:v>43158</c:v>
                </c:pt>
                <c:pt idx="1912">
                  <c:v>43159</c:v>
                </c:pt>
                <c:pt idx="1913">
                  <c:v>43160</c:v>
                </c:pt>
                <c:pt idx="1914">
                  <c:v>43161</c:v>
                </c:pt>
                <c:pt idx="1915">
                  <c:v>43164</c:v>
                </c:pt>
                <c:pt idx="1916">
                  <c:v>43165</c:v>
                </c:pt>
                <c:pt idx="1917">
                  <c:v>43166</c:v>
                </c:pt>
                <c:pt idx="1918">
                  <c:v>43167</c:v>
                </c:pt>
                <c:pt idx="1919">
                  <c:v>43168</c:v>
                </c:pt>
                <c:pt idx="1920">
                  <c:v>43171</c:v>
                </c:pt>
                <c:pt idx="1921">
                  <c:v>43172</c:v>
                </c:pt>
                <c:pt idx="1922">
                  <c:v>43173</c:v>
                </c:pt>
                <c:pt idx="1923">
                  <c:v>43174</c:v>
                </c:pt>
                <c:pt idx="1924">
                  <c:v>43175</c:v>
                </c:pt>
                <c:pt idx="1925">
                  <c:v>43178</c:v>
                </c:pt>
                <c:pt idx="1926">
                  <c:v>43179</c:v>
                </c:pt>
                <c:pt idx="1927">
                  <c:v>43180</c:v>
                </c:pt>
                <c:pt idx="1928">
                  <c:v>43181</c:v>
                </c:pt>
                <c:pt idx="1929">
                  <c:v>43182</c:v>
                </c:pt>
                <c:pt idx="1930">
                  <c:v>43185</c:v>
                </c:pt>
                <c:pt idx="1931">
                  <c:v>43186</c:v>
                </c:pt>
                <c:pt idx="1932">
                  <c:v>43187</c:v>
                </c:pt>
                <c:pt idx="1933">
                  <c:v>43188</c:v>
                </c:pt>
                <c:pt idx="1934">
                  <c:v>43192</c:v>
                </c:pt>
                <c:pt idx="1935">
                  <c:v>43193</c:v>
                </c:pt>
                <c:pt idx="1936">
                  <c:v>43194</c:v>
                </c:pt>
                <c:pt idx="1937">
                  <c:v>43195</c:v>
                </c:pt>
                <c:pt idx="1938">
                  <c:v>43196</c:v>
                </c:pt>
                <c:pt idx="1939">
                  <c:v>43199</c:v>
                </c:pt>
                <c:pt idx="1940">
                  <c:v>43200</c:v>
                </c:pt>
                <c:pt idx="1941">
                  <c:v>43201</c:v>
                </c:pt>
                <c:pt idx="1942">
                  <c:v>43202</c:v>
                </c:pt>
                <c:pt idx="1943">
                  <c:v>43203</c:v>
                </c:pt>
                <c:pt idx="1944">
                  <c:v>43206</c:v>
                </c:pt>
                <c:pt idx="1945">
                  <c:v>43207</c:v>
                </c:pt>
                <c:pt idx="1946">
                  <c:v>43208</c:v>
                </c:pt>
                <c:pt idx="1947">
                  <c:v>43209</c:v>
                </c:pt>
                <c:pt idx="1948">
                  <c:v>43210</c:v>
                </c:pt>
                <c:pt idx="1949">
                  <c:v>43213</c:v>
                </c:pt>
                <c:pt idx="1950">
                  <c:v>43214</c:v>
                </c:pt>
                <c:pt idx="1951">
                  <c:v>43215</c:v>
                </c:pt>
                <c:pt idx="1952">
                  <c:v>43216</c:v>
                </c:pt>
                <c:pt idx="1953">
                  <c:v>43217</c:v>
                </c:pt>
                <c:pt idx="1954">
                  <c:v>43220</c:v>
                </c:pt>
                <c:pt idx="1955">
                  <c:v>43221</c:v>
                </c:pt>
                <c:pt idx="1956">
                  <c:v>43222</c:v>
                </c:pt>
                <c:pt idx="1957">
                  <c:v>43223</c:v>
                </c:pt>
                <c:pt idx="1958">
                  <c:v>43224</c:v>
                </c:pt>
                <c:pt idx="1959">
                  <c:v>43227</c:v>
                </c:pt>
                <c:pt idx="1960">
                  <c:v>43228</c:v>
                </c:pt>
                <c:pt idx="1961">
                  <c:v>43229</c:v>
                </c:pt>
                <c:pt idx="1962">
                  <c:v>43230</c:v>
                </c:pt>
                <c:pt idx="1963">
                  <c:v>43231</c:v>
                </c:pt>
                <c:pt idx="1964">
                  <c:v>43234</c:v>
                </c:pt>
                <c:pt idx="1965">
                  <c:v>43235</c:v>
                </c:pt>
                <c:pt idx="1966">
                  <c:v>43236</c:v>
                </c:pt>
                <c:pt idx="1967">
                  <c:v>43237</c:v>
                </c:pt>
                <c:pt idx="1968">
                  <c:v>43238</c:v>
                </c:pt>
                <c:pt idx="1969">
                  <c:v>43241</c:v>
                </c:pt>
                <c:pt idx="1970">
                  <c:v>43242</c:v>
                </c:pt>
                <c:pt idx="1971">
                  <c:v>43243</c:v>
                </c:pt>
                <c:pt idx="1972">
                  <c:v>43244</c:v>
                </c:pt>
                <c:pt idx="1973">
                  <c:v>43245</c:v>
                </c:pt>
                <c:pt idx="1974">
                  <c:v>43249</c:v>
                </c:pt>
                <c:pt idx="1975">
                  <c:v>43250</c:v>
                </c:pt>
                <c:pt idx="1976">
                  <c:v>43251</c:v>
                </c:pt>
                <c:pt idx="1977">
                  <c:v>43252</c:v>
                </c:pt>
                <c:pt idx="1978">
                  <c:v>43255</c:v>
                </c:pt>
                <c:pt idx="1979">
                  <c:v>43256</c:v>
                </c:pt>
                <c:pt idx="1980">
                  <c:v>43257</c:v>
                </c:pt>
                <c:pt idx="1981">
                  <c:v>43258</c:v>
                </c:pt>
                <c:pt idx="1982">
                  <c:v>43259</c:v>
                </c:pt>
                <c:pt idx="1983">
                  <c:v>43262</c:v>
                </c:pt>
                <c:pt idx="1984">
                  <c:v>43263</c:v>
                </c:pt>
                <c:pt idx="1985">
                  <c:v>43264</c:v>
                </c:pt>
                <c:pt idx="1986">
                  <c:v>43265</c:v>
                </c:pt>
                <c:pt idx="1987">
                  <c:v>43266</c:v>
                </c:pt>
                <c:pt idx="1988">
                  <c:v>43269</c:v>
                </c:pt>
                <c:pt idx="1989">
                  <c:v>43270</c:v>
                </c:pt>
                <c:pt idx="1990">
                  <c:v>43271</c:v>
                </c:pt>
                <c:pt idx="1991">
                  <c:v>43272</c:v>
                </c:pt>
                <c:pt idx="1992">
                  <c:v>43273</c:v>
                </c:pt>
                <c:pt idx="1993">
                  <c:v>43276</c:v>
                </c:pt>
                <c:pt idx="1994">
                  <c:v>43277</c:v>
                </c:pt>
                <c:pt idx="1995">
                  <c:v>43278</c:v>
                </c:pt>
                <c:pt idx="1996">
                  <c:v>43279</c:v>
                </c:pt>
                <c:pt idx="1997">
                  <c:v>43280</c:v>
                </c:pt>
                <c:pt idx="1998">
                  <c:v>43283</c:v>
                </c:pt>
                <c:pt idx="1999">
                  <c:v>43284</c:v>
                </c:pt>
                <c:pt idx="2000">
                  <c:v>43286</c:v>
                </c:pt>
                <c:pt idx="2001">
                  <c:v>43287</c:v>
                </c:pt>
                <c:pt idx="2002">
                  <c:v>43290</c:v>
                </c:pt>
                <c:pt idx="2003">
                  <c:v>43291</c:v>
                </c:pt>
                <c:pt idx="2004">
                  <c:v>43292</c:v>
                </c:pt>
                <c:pt idx="2005">
                  <c:v>43293</c:v>
                </c:pt>
                <c:pt idx="2006">
                  <c:v>43294</c:v>
                </c:pt>
                <c:pt idx="2007">
                  <c:v>43297</c:v>
                </c:pt>
                <c:pt idx="2008">
                  <c:v>43298</c:v>
                </c:pt>
                <c:pt idx="2009">
                  <c:v>43299</c:v>
                </c:pt>
                <c:pt idx="2010">
                  <c:v>43300</c:v>
                </c:pt>
                <c:pt idx="2011">
                  <c:v>43301</c:v>
                </c:pt>
                <c:pt idx="2012">
                  <c:v>43304</c:v>
                </c:pt>
                <c:pt idx="2013">
                  <c:v>43305</c:v>
                </c:pt>
                <c:pt idx="2014">
                  <c:v>43306</c:v>
                </c:pt>
                <c:pt idx="2015">
                  <c:v>43307</c:v>
                </c:pt>
                <c:pt idx="2016">
                  <c:v>43308</c:v>
                </c:pt>
                <c:pt idx="2017">
                  <c:v>43311</c:v>
                </c:pt>
                <c:pt idx="2018">
                  <c:v>43312</c:v>
                </c:pt>
                <c:pt idx="2019">
                  <c:v>43313</c:v>
                </c:pt>
                <c:pt idx="2020">
                  <c:v>43314</c:v>
                </c:pt>
                <c:pt idx="2021">
                  <c:v>43315</c:v>
                </c:pt>
                <c:pt idx="2022">
                  <c:v>43318</c:v>
                </c:pt>
                <c:pt idx="2023">
                  <c:v>43319</c:v>
                </c:pt>
                <c:pt idx="2024">
                  <c:v>43320</c:v>
                </c:pt>
                <c:pt idx="2025">
                  <c:v>43321</c:v>
                </c:pt>
                <c:pt idx="2026">
                  <c:v>43322</c:v>
                </c:pt>
                <c:pt idx="2027">
                  <c:v>43325</c:v>
                </c:pt>
                <c:pt idx="2028">
                  <c:v>43326</c:v>
                </c:pt>
                <c:pt idx="2029">
                  <c:v>43327</c:v>
                </c:pt>
                <c:pt idx="2030">
                  <c:v>43328</c:v>
                </c:pt>
                <c:pt idx="2031">
                  <c:v>43329</c:v>
                </c:pt>
                <c:pt idx="2032">
                  <c:v>43332</c:v>
                </c:pt>
                <c:pt idx="2033">
                  <c:v>43333</c:v>
                </c:pt>
                <c:pt idx="2034">
                  <c:v>43334</c:v>
                </c:pt>
                <c:pt idx="2035">
                  <c:v>43335</c:v>
                </c:pt>
                <c:pt idx="2036">
                  <c:v>43336</c:v>
                </c:pt>
                <c:pt idx="2037">
                  <c:v>43339</c:v>
                </c:pt>
                <c:pt idx="2038">
                  <c:v>43340</c:v>
                </c:pt>
                <c:pt idx="2039">
                  <c:v>43341</c:v>
                </c:pt>
                <c:pt idx="2040">
                  <c:v>43342</c:v>
                </c:pt>
                <c:pt idx="2041">
                  <c:v>43343</c:v>
                </c:pt>
                <c:pt idx="2042">
                  <c:v>43347</c:v>
                </c:pt>
                <c:pt idx="2043">
                  <c:v>43348</c:v>
                </c:pt>
                <c:pt idx="2044">
                  <c:v>43349</c:v>
                </c:pt>
                <c:pt idx="2045">
                  <c:v>43350</c:v>
                </c:pt>
                <c:pt idx="2046">
                  <c:v>43353</c:v>
                </c:pt>
                <c:pt idx="2047">
                  <c:v>43354</c:v>
                </c:pt>
                <c:pt idx="2048">
                  <c:v>43355</c:v>
                </c:pt>
                <c:pt idx="2049">
                  <c:v>43356</c:v>
                </c:pt>
                <c:pt idx="2050">
                  <c:v>43357</c:v>
                </c:pt>
                <c:pt idx="2051">
                  <c:v>43360</c:v>
                </c:pt>
                <c:pt idx="2052">
                  <c:v>43361</c:v>
                </c:pt>
                <c:pt idx="2053">
                  <c:v>43362</c:v>
                </c:pt>
                <c:pt idx="2054">
                  <c:v>43363</c:v>
                </c:pt>
                <c:pt idx="2055">
                  <c:v>43364</c:v>
                </c:pt>
                <c:pt idx="2056">
                  <c:v>43367</c:v>
                </c:pt>
                <c:pt idx="2057">
                  <c:v>43368</c:v>
                </c:pt>
                <c:pt idx="2058">
                  <c:v>43369</c:v>
                </c:pt>
                <c:pt idx="2059">
                  <c:v>43370</c:v>
                </c:pt>
                <c:pt idx="2060">
                  <c:v>43371</c:v>
                </c:pt>
                <c:pt idx="2061">
                  <c:v>43374</c:v>
                </c:pt>
                <c:pt idx="2062">
                  <c:v>43375</c:v>
                </c:pt>
                <c:pt idx="2063">
                  <c:v>43376</c:v>
                </c:pt>
                <c:pt idx="2064">
                  <c:v>43377</c:v>
                </c:pt>
                <c:pt idx="2065">
                  <c:v>43378</c:v>
                </c:pt>
                <c:pt idx="2066">
                  <c:v>43381</c:v>
                </c:pt>
                <c:pt idx="2067">
                  <c:v>43382</c:v>
                </c:pt>
                <c:pt idx="2068">
                  <c:v>43383</c:v>
                </c:pt>
                <c:pt idx="2069">
                  <c:v>43384</c:v>
                </c:pt>
                <c:pt idx="2070">
                  <c:v>43385</c:v>
                </c:pt>
                <c:pt idx="2071">
                  <c:v>43388</c:v>
                </c:pt>
                <c:pt idx="2072">
                  <c:v>43389</c:v>
                </c:pt>
                <c:pt idx="2073">
                  <c:v>43390</c:v>
                </c:pt>
                <c:pt idx="2074">
                  <c:v>43391</c:v>
                </c:pt>
                <c:pt idx="2075">
                  <c:v>43392</c:v>
                </c:pt>
                <c:pt idx="2076">
                  <c:v>43395</c:v>
                </c:pt>
                <c:pt idx="2077">
                  <c:v>43396</c:v>
                </c:pt>
                <c:pt idx="2078">
                  <c:v>43397</c:v>
                </c:pt>
                <c:pt idx="2079">
                  <c:v>43398</c:v>
                </c:pt>
                <c:pt idx="2080">
                  <c:v>43399</c:v>
                </c:pt>
                <c:pt idx="2081">
                  <c:v>43402</c:v>
                </c:pt>
                <c:pt idx="2082">
                  <c:v>43403</c:v>
                </c:pt>
                <c:pt idx="2083">
                  <c:v>43404</c:v>
                </c:pt>
                <c:pt idx="2084">
                  <c:v>43405</c:v>
                </c:pt>
                <c:pt idx="2085">
                  <c:v>43406</c:v>
                </c:pt>
                <c:pt idx="2086">
                  <c:v>43409</c:v>
                </c:pt>
                <c:pt idx="2087">
                  <c:v>43410</c:v>
                </c:pt>
                <c:pt idx="2088">
                  <c:v>43411</c:v>
                </c:pt>
                <c:pt idx="2089">
                  <c:v>43412</c:v>
                </c:pt>
                <c:pt idx="2090">
                  <c:v>43413</c:v>
                </c:pt>
                <c:pt idx="2091">
                  <c:v>43416</c:v>
                </c:pt>
                <c:pt idx="2092">
                  <c:v>43417</c:v>
                </c:pt>
                <c:pt idx="2093">
                  <c:v>43418</c:v>
                </c:pt>
                <c:pt idx="2094">
                  <c:v>43419</c:v>
                </c:pt>
                <c:pt idx="2095">
                  <c:v>43420</c:v>
                </c:pt>
                <c:pt idx="2096">
                  <c:v>43423</c:v>
                </c:pt>
                <c:pt idx="2097">
                  <c:v>43424</c:v>
                </c:pt>
                <c:pt idx="2098">
                  <c:v>43425</c:v>
                </c:pt>
                <c:pt idx="2099">
                  <c:v>43427</c:v>
                </c:pt>
                <c:pt idx="2100">
                  <c:v>43430</c:v>
                </c:pt>
                <c:pt idx="2101">
                  <c:v>43431</c:v>
                </c:pt>
                <c:pt idx="2102">
                  <c:v>43432</c:v>
                </c:pt>
                <c:pt idx="2103">
                  <c:v>43433</c:v>
                </c:pt>
                <c:pt idx="2104">
                  <c:v>43434</c:v>
                </c:pt>
                <c:pt idx="2105">
                  <c:v>43437</c:v>
                </c:pt>
                <c:pt idx="2106">
                  <c:v>43438</c:v>
                </c:pt>
                <c:pt idx="2107">
                  <c:v>43440</c:v>
                </c:pt>
                <c:pt idx="2108">
                  <c:v>43441</c:v>
                </c:pt>
                <c:pt idx="2109">
                  <c:v>43444</c:v>
                </c:pt>
                <c:pt idx="2110">
                  <c:v>43445</c:v>
                </c:pt>
                <c:pt idx="2111">
                  <c:v>43446</c:v>
                </c:pt>
                <c:pt idx="2112">
                  <c:v>43447</c:v>
                </c:pt>
                <c:pt idx="2113">
                  <c:v>43448</c:v>
                </c:pt>
                <c:pt idx="2114">
                  <c:v>43451</c:v>
                </c:pt>
                <c:pt idx="2115">
                  <c:v>43452</c:v>
                </c:pt>
                <c:pt idx="2116">
                  <c:v>43453</c:v>
                </c:pt>
                <c:pt idx="2117">
                  <c:v>43454</c:v>
                </c:pt>
                <c:pt idx="2118">
                  <c:v>43455</c:v>
                </c:pt>
                <c:pt idx="2119">
                  <c:v>43458</c:v>
                </c:pt>
                <c:pt idx="2120">
                  <c:v>43460</c:v>
                </c:pt>
                <c:pt idx="2121">
                  <c:v>43461</c:v>
                </c:pt>
                <c:pt idx="2122">
                  <c:v>43462</c:v>
                </c:pt>
                <c:pt idx="2123">
                  <c:v>43465</c:v>
                </c:pt>
                <c:pt idx="2124">
                  <c:v>43467</c:v>
                </c:pt>
                <c:pt idx="2125">
                  <c:v>43468</c:v>
                </c:pt>
                <c:pt idx="2126">
                  <c:v>43469</c:v>
                </c:pt>
                <c:pt idx="2127">
                  <c:v>43472</c:v>
                </c:pt>
                <c:pt idx="2128">
                  <c:v>43473</c:v>
                </c:pt>
                <c:pt idx="2129">
                  <c:v>43474</c:v>
                </c:pt>
                <c:pt idx="2130">
                  <c:v>43475</c:v>
                </c:pt>
                <c:pt idx="2131">
                  <c:v>43476</c:v>
                </c:pt>
                <c:pt idx="2132">
                  <c:v>43479</c:v>
                </c:pt>
                <c:pt idx="2133">
                  <c:v>43480</c:v>
                </c:pt>
                <c:pt idx="2134">
                  <c:v>43481</c:v>
                </c:pt>
                <c:pt idx="2135">
                  <c:v>43482</c:v>
                </c:pt>
                <c:pt idx="2136">
                  <c:v>43483</c:v>
                </c:pt>
                <c:pt idx="2137">
                  <c:v>43487</c:v>
                </c:pt>
                <c:pt idx="2138">
                  <c:v>43488</c:v>
                </c:pt>
                <c:pt idx="2139">
                  <c:v>43489</c:v>
                </c:pt>
              </c:numCache>
            </c:numRef>
          </c:xVal>
          <c:yVal>
            <c:numRef>
              <c:f>'Perf Historique'!$J$33:$J$2172</c:f>
              <c:numCache>
                <c:formatCode>General</c:formatCode>
                <c:ptCount val="2140"/>
                <c:pt idx="0">
                  <c:v>100</c:v>
                </c:pt>
                <c:pt idx="1">
                  <c:v>99.980535279805352</c:v>
                </c:pt>
                <c:pt idx="2">
                  <c:v>99.988899613899619</c:v>
                </c:pt>
                <c:pt idx="3">
                  <c:v>99.970515970515976</c:v>
                </c:pt>
                <c:pt idx="4">
                  <c:v>99.949348044132392</c:v>
                </c:pt>
                <c:pt idx="5">
                  <c:v>99.998565965583168</c:v>
                </c:pt>
                <c:pt idx="6">
                  <c:v>100.03283777160594</c:v>
                </c:pt>
                <c:pt idx="7">
                  <c:v>100.0145813734713</c:v>
                </c:pt>
                <c:pt idx="8">
                  <c:v>99.975550122249388</c:v>
                </c:pt>
                <c:pt idx="9">
                  <c:v>99.930576824910673</c:v>
                </c:pt>
                <c:pt idx="10">
                  <c:v>99.931122448979593</c:v>
                </c:pt>
                <c:pt idx="11">
                  <c:v>99.899106673673145</c:v>
                </c:pt>
                <c:pt idx="12">
                  <c:v>99.82960893854748</c:v>
                </c:pt>
                <c:pt idx="13">
                  <c:v>99.809659090909093</c:v>
                </c:pt>
                <c:pt idx="14">
                  <c:v>99.856441048034938</c:v>
                </c:pt>
                <c:pt idx="15">
                  <c:v>99.884451544195954</c:v>
                </c:pt>
                <c:pt idx="16">
                  <c:v>99.906005221932119</c:v>
                </c:pt>
                <c:pt idx="17">
                  <c:v>99.88385721896644</c:v>
                </c:pt>
                <c:pt idx="18">
                  <c:v>99.885045236828105</c:v>
                </c:pt>
                <c:pt idx="19">
                  <c:v>99.903141361256544</c:v>
                </c:pt>
                <c:pt idx="20">
                  <c:v>99.959264778936912</c:v>
                </c:pt>
                <c:pt idx="21">
                  <c:v>99.908854166666671</c:v>
                </c:pt>
                <c:pt idx="22">
                  <c:v>99.947236180904525</c:v>
                </c:pt>
                <c:pt idx="23">
                  <c:v>99.939240506329114</c:v>
                </c:pt>
                <c:pt idx="24">
                  <c:v>99.936548223350258</c:v>
                </c:pt>
                <c:pt idx="25">
                  <c:v>99.945646703573232</c:v>
                </c:pt>
                <c:pt idx="26">
                  <c:v>99.92453798767967</c:v>
                </c:pt>
                <c:pt idx="27">
                  <c:v>99.975550122249388</c:v>
                </c:pt>
                <c:pt idx="28">
                  <c:v>100.00522317188984</c:v>
                </c:pt>
                <c:pt idx="29">
                  <c:v>100.00475059382423</c:v>
                </c:pt>
                <c:pt idx="30">
                  <c:v>99.980038948393386</c:v>
                </c:pt>
                <c:pt idx="31">
                  <c:v>99.997607655502392</c:v>
                </c:pt>
                <c:pt idx="32">
                  <c:v>99.988411395461128</c:v>
                </c:pt>
                <c:pt idx="33">
                  <c:v>99.961328705999009</c:v>
                </c:pt>
                <c:pt idx="34">
                  <c:v>99.988899613899619</c:v>
                </c:pt>
                <c:pt idx="35">
                  <c:v>100.00804924242425</c:v>
                </c:pt>
                <c:pt idx="36">
                  <c:v>100.04686078252958</c:v>
                </c:pt>
                <c:pt idx="37">
                  <c:v>99.999522445081183</c:v>
                </c:pt>
                <c:pt idx="38">
                  <c:v>99.964409293129023</c:v>
                </c:pt>
                <c:pt idx="39">
                  <c:v>100.00498693896937</c:v>
                </c:pt>
                <c:pt idx="40">
                  <c:v>99.991333654309102</c:v>
                </c:pt>
                <c:pt idx="41">
                  <c:v>99.945646703573232</c:v>
                </c:pt>
                <c:pt idx="42">
                  <c:v>99.928936605316977</c:v>
                </c:pt>
                <c:pt idx="43">
                  <c:v>99.957711442786064</c:v>
                </c:pt>
                <c:pt idx="44">
                  <c:v>99.979542133463227</c:v>
                </c:pt>
                <c:pt idx="45">
                  <c:v>100.02102803738318</c:v>
                </c:pt>
                <c:pt idx="46">
                  <c:v>100.04686078252958</c:v>
                </c:pt>
                <c:pt idx="47">
                  <c:v>99.97329086008331</c:v>
                </c:pt>
                <c:pt idx="48">
                  <c:v>99.983009708737868</c:v>
                </c:pt>
                <c:pt idx="49">
                  <c:v>100.00190566936637</c:v>
                </c:pt>
                <c:pt idx="50">
                  <c:v>100.00804924242425</c:v>
                </c:pt>
                <c:pt idx="51">
                  <c:v>99.976050830889534</c:v>
                </c:pt>
                <c:pt idx="52">
                  <c:v>99.974547234459124</c:v>
                </c:pt>
                <c:pt idx="53">
                  <c:v>99.974547234459124</c:v>
                </c:pt>
                <c:pt idx="54">
                  <c:v>99.964920948616594</c:v>
                </c:pt>
                <c:pt idx="55">
                  <c:v>99.964920948616594</c:v>
                </c:pt>
                <c:pt idx="56">
                  <c:v>99.980038948393386</c:v>
                </c:pt>
                <c:pt idx="57">
                  <c:v>99.990361445783137</c:v>
                </c:pt>
                <c:pt idx="58">
                  <c:v>99.980038948393386</c:v>
                </c:pt>
                <c:pt idx="59">
                  <c:v>99.964409293129023</c:v>
                </c:pt>
                <c:pt idx="60">
                  <c:v>99.955112219451365</c:v>
                </c:pt>
                <c:pt idx="61">
                  <c:v>99.985472154963674</c:v>
                </c:pt>
                <c:pt idx="62">
                  <c:v>99.990361445783137</c:v>
                </c:pt>
                <c:pt idx="63">
                  <c:v>99.988899613899619</c:v>
                </c:pt>
                <c:pt idx="64">
                  <c:v>99.995203836930457</c:v>
                </c:pt>
                <c:pt idx="65">
                  <c:v>100.01919475655431</c:v>
                </c:pt>
                <c:pt idx="66">
                  <c:v>100.00238095238095</c:v>
                </c:pt>
                <c:pt idx="67">
                  <c:v>100.01132609721567</c:v>
                </c:pt>
                <c:pt idx="68">
                  <c:v>100.04075091575092</c:v>
                </c:pt>
                <c:pt idx="69">
                  <c:v>100.02148528724895</c:v>
                </c:pt>
                <c:pt idx="70">
                  <c:v>100.01411764705882</c:v>
                </c:pt>
                <c:pt idx="71">
                  <c:v>100.03766651355076</c:v>
                </c:pt>
                <c:pt idx="72">
                  <c:v>100.15863453815261</c:v>
                </c:pt>
                <c:pt idx="73">
                  <c:v>100.14279869067103</c:v>
                </c:pt>
                <c:pt idx="74">
                  <c:v>100.16132906325061</c:v>
                </c:pt>
                <c:pt idx="75">
                  <c:v>100.14941128704831</c:v>
                </c:pt>
                <c:pt idx="76">
                  <c:v>100.28644414168937</c:v>
                </c:pt>
                <c:pt idx="77">
                  <c:v>100.25271981451756</c:v>
                </c:pt>
                <c:pt idx="78">
                  <c:v>100.28536938676967</c:v>
                </c:pt>
                <c:pt idx="79">
                  <c:v>100.25487728130899</c:v>
                </c:pt>
                <c:pt idx="80">
                  <c:v>100.24958803397135</c:v>
                </c:pt>
                <c:pt idx="81">
                  <c:v>100.25228923271234</c:v>
                </c:pt>
                <c:pt idx="82">
                  <c:v>100.27879636961686</c:v>
                </c:pt>
                <c:pt idx="83">
                  <c:v>100.2816405775998</c:v>
                </c:pt>
                <c:pt idx="84">
                  <c:v>100.30512354011385</c:v>
                </c:pt>
                <c:pt idx="85">
                  <c:v>100.29607609988109</c:v>
                </c:pt>
                <c:pt idx="86">
                  <c:v>100.33201692524683</c:v>
                </c:pt>
                <c:pt idx="87">
                  <c:v>100.33295774647887</c:v>
                </c:pt>
                <c:pt idx="88">
                  <c:v>100.34035322302078</c:v>
                </c:pt>
                <c:pt idx="89">
                  <c:v>100.32497149372863</c:v>
                </c:pt>
                <c:pt idx="90">
                  <c:v>100.32936845086378</c:v>
                </c:pt>
                <c:pt idx="91">
                  <c:v>100.32929247153459</c:v>
                </c:pt>
                <c:pt idx="92">
                  <c:v>100.32604735883424</c:v>
                </c:pt>
                <c:pt idx="93">
                  <c:v>100.308808973936</c:v>
                </c:pt>
                <c:pt idx="94">
                  <c:v>100.3302030887594</c:v>
                </c:pt>
                <c:pt idx="95">
                  <c:v>100.32837937489364</c:v>
                </c:pt>
                <c:pt idx="96">
                  <c:v>100.32284815556191</c:v>
                </c:pt>
                <c:pt idx="97">
                  <c:v>100.32581710511332</c:v>
                </c:pt>
                <c:pt idx="98">
                  <c:v>100.31423895253683</c:v>
                </c:pt>
                <c:pt idx="99">
                  <c:v>100.26568524360323</c:v>
                </c:pt>
                <c:pt idx="100">
                  <c:v>100.29222972972973</c:v>
                </c:pt>
                <c:pt idx="101">
                  <c:v>100.32002596559559</c:v>
                </c:pt>
                <c:pt idx="102">
                  <c:v>100.33195153061224</c:v>
                </c:pt>
                <c:pt idx="103">
                  <c:v>100.3391167192429</c:v>
                </c:pt>
                <c:pt idx="104">
                  <c:v>100.35058896466212</c:v>
                </c:pt>
                <c:pt idx="105">
                  <c:v>100.35795280416794</c:v>
                </c:pt>
                <c:pt idx="106">
                  <c:v>100.30375540046528</c:v>
                </c:pt>
                <c:pt idx="107">
                  <c:v>100.18000704528554</c:v>
                </c:pt>
                <c:pt idx="108">
                  <c:v>100.20673987126088</c:v>
                </c:pt>
                <c:pt idx="109">
                  <c:v>100.2445005409304</c:v>
                </c:pt>
                <c:pt idx="110">
                  <c:v>100.20943396226416</c:v>
                </c:pt>
                <c:pt idx="111">
                  <c:v>100.21329327825761</c:v>
                </c:pt>
                <c:pt idx="112">
                  <c:v>100.21299774605559</c:v>
                </c:pt>
                <c:pt idx="113">
                  <c:v>100.21447319085114</c:v>
                </c:pt>
                <c:pt idx="114">
                  <c:v>100.21915765933656</c:v>
                </c:pt>
                <c:pt idx="115">
                  <c:v>100.24856527977045</c:v>
                </c:pt>
                <c:pt idx="116">
                  <c:v>100.25814447592067</c:v>
                </c:pt>
                <c:pt idx="117">
                  <c:v>100.26362038664324</c:v>
                </c:pt>
                <c:pt idx="118">
                  <c:v>100.22292284866469</c:v>
                </c:pt>
                <c:pt idx="119">
                  <c:v>100.22292284866469</c:v>
                </c:pt>
                <c:pt idx="120">
                  <c:v>100.20099160945843</c:v>
                </c:pt>
                <c:pt idx="121">
                  <c:v>100.18640776699029</c:v>
                </c:pt>
                <c:pt idx="122">
                  <c:v>100.18291731669267</c:v>
                </c:pt>
                <c:pt idx="123">
                  <c:v>100.12817311693716</c:v>
                </c:pt>
                <c:pt idx="124">
                  <c:v>100.07382847038019</c:v>
                </c:pt>
                <c:pt idx="125">
                  <c:v>100.09071180555556</c:v>
                </c:pt>
                <c:pt idx="126">
                  <c:v>100.1445487954267</c:v>
                </c:pt>
                <c:pt idx="127">
                  <c:v>100.15113452188007</c:v>
                </c:pt>
                <c:pt idx="128">
                  <c:v>100.15353535353535</c:v>
                </c:pt>
                <c:pt idx="129">
                  <c:v>100.15930979133226</c:v>
                </c:pt>
                <c:pt idx="130">
                  <c:v>100.12744689712619</c:v>
                </c:pt>
                <c:pt idx="131">
                  <c:v>100.13070539419087</c:v>
                </c:pt>
                <c:pt idx="132">
                  <c:v>100.12379757423672</c:v>
                </c:pt>
                <c:pt idx="133">
                  <c:v>100.12489557226399</c:v>
                </c:pt>
                <c:pt idx="134">
                  <c:v>100.11341515023275</c:v>
                </c:pt>
                <c:pt idx="135">
                  <c:v>100.10699062233589</c:v>
                </c:pt>
                <c:pt idx="136">
                  <c:v>100.09189423493714</c:v>
                </c:pt>
                <c:pt idx="137">
                  <c:v>100.1445487954267</c:v>
                </c:pt>
                <c:pt idx="138">
                  <c:v>100.0973718224903</c:v>
                </c:pt>
                <c:pt idx="139">
                  <c:v>100.09756622873142</c:v>
                </c:pt>
                <c:pt idx="140">
                  <c:v>100.09892473118279</c:v>
                </c:pt>
                <c:pt idx="141">
                  <c:v>100.092287694974</c:v>
                </c:pt>
                <c:pt idx="142">
                  <c:v>100.08274956217163</c:v>
                </c:pt>
                <c:pt idx="143">
                  <c:v>100.15285078851598</c:v>
                </c:pt>
                <c:pt idx="144">
                  <c:v>100.11228813559322</c:v>
                </c:pt>
                <c:pt idx="145">
                  <c:v>100.09620362381364</c:v>
                </c:pt>
                <c:pt idx="146">
                  <c:v>100.04206675811614</c:v>
                </c:pt>
                <c:pt idx="147">
                  <c:v>100.04031149793862</c:v>
                </c:pt>
                <c:pt idx="148">
                  <c:v>100.07012871726587</c:v>
                </c:pt>
                <c:pt idx="149">
                  <c:v>100.1126641253706</c:v>
                </c:pt>
                <c:pt idx="150">
                  <c:v>100.12306404353286</c:v>
                </c:pt>
                <c:pt idx="151">
                  <c:v>100.12489557226399</c:v>
                </c:pt>
                <c:pt idx="152">
                  <c:v>100.1278101582015</c:v>
                </c:pt>
                <c:pt idx="153">
                  <c:v>100.13998357963875</c:v>
                </c:pt>
                <c:pt idx="154">
                  <c:v>100.16032064128257</c:v>
                </c:pt>
                <c:pt idx="155">
                  <c:v>100.15998396150762</c:v>
                </c:pt>
                <c:pt idx="156">
                  <c:v>100.15044606650446</c:v>
                </c:pt>
                <c:pt idx="157">
                  <c:v>100.15250809061489</c:v>
                </c:pt>
                <c:pt idx="158">
                  <c:v>100.12744689712619</c:v>
                </c:pt>
                <c:pt idx="159">
                  <c:v>100.12962193601994</c:v>
                </c:pt>
                <c:pt idx="160">
                  <c:v>100.09892473118279</c:v>
                </c:pt>
                <c:pt idx="161">
                  <c:v>100.08714596949891</c:v>
                </c:pt>
                <c:pt idx="162">
                  <c:v>100.08194566170026</c:v>
                </c:pt>
                <c:pt idx="163">
                  <c:v>100.08154318281456</c:v>
                </c:pt>
                <c:pt idx="164">
                  <c:v>100.08754355400697</c:v>
                </c:pt>
                <c:pt idx="165">
                  <c:v>100.07831060272767</c:v>
                </c:pt>
                <c:pt idx="166">
                  <c:v>100.05588102748986</c:v>
                </c:pt>
                <c:pt idx="167">
                  <c:v>100.05673120216119</c:v>
                </c:pt>
                <c:pt idx="168">
                  <c:v>100.06180026869681</c:v>
                </c:pt>
                <c:pt idx="169">
                  <c:v>100.07912087912088</c:v>
                </c:pt>
                <c:pt idx="170">
                  <c:v>100.09892473118279</c:v>
                </c:pt>
                <c:pt idx="171">
                  <c:v>100.12416387959867</c:v>
                </c:pt>
                <c:pt idx="172">
                  <c:v>100.11640657950232</c:v>
                </c:pt>
                <c:pt idx="173">
                  <c:v>100.24504504504505</c:v>
                </c:pt>
                <c:pt idx="174">
                  <c:v>100.21417854463616</c:v>
                </c:pt>
                <c:pt idx="175">
                  <c:v>100.18892760356175</c:v>
                </c:pt>
                <c:pt idx="176">
                  <c:v>100.21535580524345</c:v>
                </c:pt>
                <c:pt idx="177">
                  <c:v>100.20913552283881</c:v>
                </c:pt>
                <c:pt idx="178">
                  <c:v>100.23091042584434</c:v>
                </c:pt>
                <c:pt idx="179">
                  <c:v>100.20913552283881</c:v>
                </c:pt>
                <c:pt idx="180">
                  <c:v>100.17095370003958</c:v>
                </c:pt>
                <c:pt idx="181">
                  <c:v>100.1501014198783</c:v>
                </c:pt>
                <c:pt idx="182">
                  <c:v>100.15964701163257</c:v>
                </c:pt>
                <c:pt idx="183">
                  <c:v>100.16666666666667</c:v>
                </c:pt>
                <c:pt idx="184">
                  <c:v>100.18100078186083</c:v>
                </c:pt>
                <c:pt idx="185">
                  <c:v>100.16300439472633</c:v>
                </c:pt>
                <c:pt idx="186">
                  <c:v>100.16732909379968</c:v>
                </c:pt>
                <c:pt idx="187">
                  <c:v>100.18640776699029</c:v>
                </c:pt>
                <c:pt idx="188">
                  <c:v>100.21652954375467</c:v>
                </c:pt>
                <c:pt idx="189">
                  <c:v>100.20613868889731</c:v>
                </c:pt>
                <c:pt idx="190">
                  <c:v>100.22205718529521</c:v>
                </c:pt>
                <c:pt idx="191">
                  <c:v>100.22636632200886</c:v>
                </c:pt>
                <c:pt idx="192">
                  <c:v>100.24258857556038</c:v>
                </c:pt>
                <c:pt idx="193">
                  <c:v>100.2409420289855</c:v>
                </c:pt>
                <c:pt idx="194">
                  <c:v>100.2367941712204</c:v>
                </c:pt>
                <c:pt idx="195">
                  <c:v>100.22032005954597</c:v>
                </c:pt>
                <c:pt idx="196">
                  <c:v>100.21506182090671</c:v>
                </c:pt>
                <c:pt idx="197">
                  <c:v>100.20763993948563</c:v>
                </c:pt>
                <c:pt idx="198">
                  <c:v>100.22750737463127</c:v>
                </c:pt>
                <c:pt idx="199">
                  <c:v>100.24937298459334</c:v>
                </c:pt>
                <c:pt idx="200">
                  <c:v>100.26050123543946</c:v>
                </c:pt>
                <c:pt idx="201">
                  <c:v>100.2260805319542</c:v>
                </c:pt>
                <c:pt idx="202">
                  <c:v>100.2428623057463</c:v>
                </c:pt>
                <c:pt idx="203">
                  <c:v>100.23956442831216</c:v>
                </c:pt>
                <c:pt idx="204">
                  <c:v>100.2124060150376</c:v>
                </c:pt>
                <c:pt idx="205">
                  <c:v>100.19298921417565</c:v>
                </c:pt>
                <c:pt idx="206">
                  <c:v>100.20493358633776</c:v>
                </c:pt>
                <c:pt idx="207">
                  <c:v>100.25709219858156</c:v>
                </c:pt>
                <c:pt idx="208">
                  <c:v>100.25098319628174</c:v>
                </c:pt>
                <c:pt idx="209">
                  <c:v>100.21886651752423</c:v>
                </c:pt>
                <c:pt idx="210">
                  <c:v>100.21594311377245</c:v>
                </c:pt>
                <c:pt idx="211">
                  <c:v>100.27708764665286</c:v>
                </c:pt>
                <c:pt idx="212">
                  <c:v>100.2893487109905</c:v>
                </c:pt>
                <c:pt idx="213">
                  <c:v>100.29103214890017</c:v>
                </c:pt>
                <c:pt idx="214">
                  <c:v>100.3049104180491</c:v>
                </c:pt>
                <c:pt idx="215">
                  <c:v>100.26535049268857</c:v>
                </c:pt>
                <c:pt idx="216">
                  <c:v>100.27155771905424</c:v>
                </c:pt>
                <c:pt idx="217">
                  <c:v>100.3046797212081</c:v>
                </c:pt>
                <c:pt idx="218">
                  <c:v>100.27003484320558</c:v>
                </c:pt>
                <c:pt idx="219">
                  <c:v>100.26154388438492</c:v>
                </c:pt>
                <c:pt idx="220">
                  <c:v>100.22750737463127</c:v>
                </c:pt>
                <c:pt idx="221">
                  <c:v>100.24149167270095</c:v>
                </c:pt>
                <c:pt idx="222">
                  <c:v>100.24802584350323</c:v>
                </c:pt>
                <c:pt idx="223">
                  <c:v>100.2631023566655</c:v>
                </c:pt>
                <c:pt idx="224">
                  <c:v>100.26748251748252</c:v>
                </c:pt>
                <c:pt idx="225">
                  <c:v>100.23316251830161</c:v>
                </c:pt>
                <c:pt idx="226">
                  <c:v>100.20943396226416</c:v>
                </c:pt>
                <c:pt idx="227">
                  <c:v>100.20943396226416</c:v>
                </c:pt>
                <c:pt idx="228">
                  <c:v>100.19454056132257</c:v>
                </c:pt>
                <c:pt idx="229">
                  <c:v>100.23901198692336</c:v>
                </c:pt>
                <c:pt idx="230">
                  <c:v>100.2300624770305</c:v>
                </c:pt>
                <c:pt idx="231">
                  <c:v>100.24395525081198</c:v>
                </c:pt>
                <c:pt idx="232">
                  <c:v>100.23997823326683</c:v>
                </c:pt>
                <c:pt idx="233">
                  <c:v>100.23707210487983</c:v>
                </c:pt>
                <c:pt idx="234">
                  <c:v>100.25471362504447</c:v>
                </c:pt>
                <c:pt idx="235">
                  <c:v>100.25945563803464</c:v>
                </c:pt>
                <c:pt idx="236">
                  <c:v>100.2808101613457</c:v>
                </c:pt>
                <c:pt idx="237">
                  <c:v>100.27808407994486</c:v>
                </c:pt>
                <c:pt idx="238">
                  <c:v>100.28105696636925</c:v>
                </c:pt>
                <c:pt idx="239">
                  <c:v>100.27658839779005</c:v>
                </c:pt>
                <c:pt idx="240">
                  <c:v>100.29532458795829</c:v>
                </c:pt>
                <c:pt idx="241">
                  <c:v>100.27282193682748</c:v>
                </c:pt>
                <c:pt idx="242">
                  <c:v>100.2610229276896</c:v>
                </c:pt>
                <c:pt idx="243">
                  <c:v>100.25630102946397</c:v>
                </c:pt>
                <c:pt idx="244">
                  <c:v>100.26850558659218</c:v>
                </c:pt>
                <c:pt idx="245">
                  <c:v>100.24121695038029</c:v>
                </c:pt>
                <c:pt idx="246">
                  <c:v>100.24039158810733</c:v>
                </c:pt>
                <c:pt idx="247">
                  <c:v>100.23062798384134</c:v>
                </c:pt>
                <c:pt idx="248">
                  <c:v>100.24883470778056</c:v>
                </c:pt>
                <c:pt idx="249">
                  <c:v>100.26978041129313</c:v>
                </c:pt>
                <c:pt idx="250">
                  <c:v>100.27003484320558</c:v>
                </c:pt>
                <c:pt idx="251">
                  <c:v>100.28473881870946</c:v>
                </c:pt>
                <c:pt idx="252">
                  <c:v>100.26465426465427</c:v>
                </c:pt>
                <c:pt idx="253">
                  <c:v>100.25178571428572</c:v>
                </c:pt>
                <c:pt idx="254">
                  <c:v>100.24204052098408</c:v>
                </c:pt>
                <c:pt idx="255">
                  <c:v>100.25630102946397</c:v>
                </c:pt>
                <c:pt idx="256">
                  <c:v>100.25630102946397</c:v>
                </c:pt>
                <c:pt idx="257">
                  <c:v>100.27181091414668</c:v>
                </c:pt>
                <c:pt idx="258">
                  <c:v>100.23372348207754</c:v>
                </c:pt>
                <c:pt idx="259">
                  <c:v>100.22977941176471</c:v>
                </c:pt>
                <c:pt idx="260">
                  <c:v>100.15353535353535</c:v>
                </c:pt>
                <c:pt idx="261">
                  <c:v>100.13572607260726</c:v>
                </c:pt>
                <c:pt idx="262">
                  <c:v>100.11379018612521</c:v>
                </c:pt>
                <c:pt idx="263">
                  <c:v>100.16400638467678</c:v>
                </c:pt>
                <c:pt idx="264">
                  <c:v>100.12048698572627</c:v>
                </c:pt>
                <c:pt idx="265">
                  <c:v>100.17193675889328</c:v>
                </c:pt>
                <c:pt idx="266">
                  <c:v>100.20372481946028</c:v>
                </c:pt>
                <c:pt idx="267">
                  <c:v>100.20129622569577</c:v>
                </c:pt>
                <c:pt idx="268">
                  <c:v>100.19731800766283</c:v>
                </c:pt>
                <c:pt idx="269">
                  <c:v>100.18892760356175</c:v>
                </c:pt>
                <c:pt idx="270">
                  <c:v>100.13643858202803</c:v>
                </c:pt>
                <c:pt idx="271">
                  <c:v>100.06053811659193</c:v>
                </c:pt>
                <c:pt idx="272">
                  <c:v>100.04555808656036</c:v>
                </c:pt>
                <c:pt idx="273">
                  <c:v>100.08754355400697</c:v>
                </c:pt>
                <c:pt idx="274">
                  <c:v>100.12232928361961</c:v>
                </c:pt>
                <c:pt idx="275">
                  <c:v>100.09346603202077</c:v>
                </c:pt>
                <c:pt idx="276">
                  <c:v>100.11715128529288</c:v>
                </c:pt>
                <c:pt idx="277">
                  <c:v>100.15216511533792</c:v>
                </c:pt>
                <c:pt idx="278">
                  <c:v>100.14941128704831</c:v>
                </c:pt>
                <c:pt idx="279">
                  <c:v>100.15319320937752</c:v>
                </c:pt>
                <c:pt idx="280">
                  <c:v>100.12708333333333</c:v>
                </c:pt>
                <c:pt idx="281">
                  <c:v>100.09189423493714</c:v>
                </c:pt>
                <c:pt idx="282">
                  <c:v>100.08674803836094</c:v>
                </c:pt>
                <c:pt idx="283">
                  <c:v>100.12122483221476</c:v>
                </c:pt>
                <c:pt idx="284">
                  <c:v>100.1126641253706</c:v>
                </c:pt>
                <c:pt idx="285">
                  <c:v>100.08794079233783</c:v>
                </c:pt>
                <c:pt idx="286">
                  <c:v>100.08435314685315</c:v>
                </c:pt>
                <c:pt idx="287">
                  <c:v>100.12998338870432</c:v>
                </c:pt>
                <c:pt idx="288">
                  <c:v>100.1392769104355</c:v>
                </c:pt>
                <c:pt idx="289">
                  <c:v>100.15592264302981</c:v>
                </c:pt>
                <c:pt idx="290">
                  <c:v>100.18798449612403</c:v>
                </c:pt>
                <c:pt idx="291">
                  <c:v>100.18703919285991</c:v>
                </c:pt>
                <c:pt idx="292">
                  <c:v>100.19454056132257</c:v>
                </c:pt>
                <c:pt idx="293">
                  <c:v>100.18955512572533</c:v>
                </c:pt>
                <c:pt idx="294">
                  <c:v>100.18259851736246</c:v>
                </c:pt>
                <c:pt idx="295">
                  <c:v>100.20583775587566</c:v>
                </c:pt>
                <c:pt idx="296">
                  <c:v>100.17907523510972</c:v>
                </c:pt>
                <c:pt idx="297">
                  <c:v>100.20007636502481</c:v>
                </c:pt>
                <c:pt idx="298">
                  <c:v>100.14802765351769</c:v>
                </c:pt>
                <c:pt idx="299">
                  <c:v>100.13142620232172</c:v>
                </c:pt>
                <c:pt idx="300">
                  <c:v>100.1410414104141</c:v>
                </c:pt>
                <c:pt idx="301">
                  <c:v>100.11715128529288</c:v>
                </c:pt>
                <c:pt idx="302">
                  <c:v>100.11453930684699</c:v>
                </c:pt>
                <c:pt idx="303">
                  <c:v>100.17422152148207</c:v>
                </c:pt>
                <c:pt idx="304">
                  <c:v>100.22292284866469</c:v>
                </c:pt>
                <c:pt idx="305">
                  <c:v>100.22378658762504</c:v>
                </c:pt>
                <c:pt idx="306">
                  <c:v>100.24856527977045</c:v>
                </c:pt>
                <c:pt idx="307">
                  <c:v>100.24121695038029</c:v>
                </c:pt>
                <c:pt idx="308">
                  <c:v>100.24640287769785</c:v>
                </c:pt>
                <c:pt idx="309">
                  <c:v>100.25017895490336</c:v>
                </c:pt>
                <c:pt idx="310">
                  <c:v>100.25311942959001</c:v>
                </c:pt>
                <c:pt idx="311">
                  <c:v>100.23595915390226</c:v>
                </c:pt>
                <c:pt idx="312">
                  <c:v>100.26076217360621</c:v>
                </c:pt>
                <c:pt idx="313">
                  <c:v>100.24011606819006</c:v>
                </c:pt>
                <c:pt idx="314">
                  <c:v>100.23372348207754</c:v>
                </c:pt>
                <c:pt idx="315">
                  <c:v>100.25258651444881</c:v>
                </c:pt>
                <c:pt idx="316">
                  <c:v>100.2661996497373</c:v>
                </c:pt>
                <c:pt idx="317">
                  <c:v>100.25840707964602</c:v>
                </c:pt>
                <c:pt idx="318">
                  <c:v>100.25125089349535</c:v>
                </c:pt>
                <c:pt idx="319">
                  <c:v>100.27155771905424</c:v>
                </c:pt>
                <c:pt idx="320">
                  <c:v>100.29862738533646</c:v>
                </c:pt>
                <c:pt idx="321">
                  <c:v>100.28668709567586</c:v>
                </c:pt>
                <c:pt idx="322">
                  <c:v>100.27458448753463</c:v>
                </c:pt>
                <c:pt idx="323">
                  <c:v>100.27028909787531</c:v>
                </c:pt>
                <c:pt idx="324">
                  <c:v>100.35459026494146</c:v>
                </c:pt>
                <c:pt idx="325">
                  <c:v>100.35159393376664</c:v>
                </c:pt>
                <c:pt idx="326">
                  <c:v>100.33002878157978</c:v>
                </c:pt>
                <c:pt idx="327">
                  <c:v>100.34202261306532</c:v>
                </c:pt>
                <c:pt idx="328">
                  <c:v>100.32156735751295</c:v>
                </c:pt>
                <c:pt idx="329">
                  <c:v>100.33131184168529</c:v>
                </c:pt>
                <c:pt idx="330">
                  <c:v>100.37722948870392</c:v>
                </c:pt>
                <c:pt idx="331">
                  <c:v>100.36935580975316</c:v>
                </c:pt>
                <c:pt idx="332">
                  <c:v>100.3825523135868</c:v>
                </c:pt>
                <c:pt idx="333">
                  <c:v>100.40040068689181</c:v>
                </c:pt>
                <c:pt idx="334">
                  <c:v>100.37796912114014</c:v>
                </c:pt>
                <c:pt idx="335">
                  <c:v>100.35736196319019</c:v>
                </c:pt>
                <c:pt idx="336">
                  <c:v>100.34036523929471</c:v>
                </c:pt>
                <c:pt idx="337">
                  <c:v>100.34674150296227</c:v>
                </c:pt>
                <c:pt idx="338">
                  <c:v>100.33386327503975</c:v>
                </c:pt>
                <c:pt idx="339">
                  <c:v>100.33828174352496</c:v>
                </c:pt>
                <c:pt idx="340">
                  <c:v>100.35657248157248</c:v>
                </c:pt>
                <c:pt idx="341">
                  <c:v>100.34015748031496</c:v>
                </c:pt>
                <c:pt idx="342">
                  <c:v>100.36010995723885</c:v>
                </c:pt>
                <c:pt idx="343">
                  <c:v>100.35736196319019</c:v>
                </c:pt>
                <c:pt idx="344">
                  <c:v>100.37087087087087</c:v>
                </c:pt>
                <c:pt idx="345">
                  <c:v>100.39134224288205</c:v>
                </c:pt>
                <c:pt idx="346">
                  <c:v>100.38330121360488</c:v>
                </c:pt>
                <c:pt idx="347">
                  <c:v>100.38724773325534</c:v>
                </c:pt>
                <c:pt idx="348">
                  <c:v>100.32178698607964</c:v>
                </c:pt>
                <c:pt idx="349">
                  <c:v>100.32506443298969</c:v>
                </c:pt>
                <c:pt idx="350">
                  <c:v>100.31108188096022</c:v>
                </c:pt>
                <c:pt idx="351">
                  <c:v>100.28862478777589</c:v>
                </c:pt>
                <c:pt idx="352">
                  <c:v>100.26568524360323</c:v>
                </c:pt>
                <c:pt idx="353">
                  <c:v>100.26799440950384</c:v>
                </c:pt>
                <c:pt idx="354">
                  <c:v>100.25178571428572</c:v>
                </c:pt>
                <c:pt idx="355">
                  <c:v>100.24504504504505</c:v>
                </c:pt>
                <c:pt idx="356">
                  <c:v>100.24910394265233</c:v>
                </c:pt>
                <c:pt idx="357">
                  <c:v>100.24011606819006</c:v>
                </c:pt>
                <c:pt idx="358">
                  <c:v>100.24558876485416</c:v>
                </c:pt>
                <c:pt idx="359">
                  <c:v>100.24910394265233</c:v>
                </c:pt>
                <c:pt idx="360">
                  <c:v>100.26671333566678</c:v>
                </c:pt>
                <c:pt idx="361">
                  <c:v>100.26517011574886</c:v>
                </c:pt>
                <c:pt idx="362">
                  <c:v>100.27079707622694</c:v>
                </c:pt>
                <c:pt idx="363">
                  <c:v>100.26645658263305</c:v>
                </c:pt>
                <c:pt idx="364">
                  <c:v>100.25391737891738</c:v>
                </c:pt>
                <c:pt idx="365">
                  <c:v>100.24395525081198</c:v>
                </c:pt>
                <c:pt idx="366">
                  <c:v>100.22750737463127</c:v>
                </c:pt>
                <c:pt idx="367">
                  <c:v>100.2214790040877</c:v>
                </c:pt>
                <c:pt idx="368">
                  <c:v>100.23119266055046</c:v>
                </c:pt>
                <c:pt idx="369">
                  <c:v>100.24149167270095</c:v>
                </c:pt>
                <c:pt idx="370">
                  <c:v>100.25788168614949</c:v>
                </c:pt>
                <c:pt idx="371">
                  <c:v>100.25840707964602</c:v>
                </c:pt>
                <c:pt idx="372">
                  <c:v>100.08073716542343</c:v>
                </c:pt>
                <c:pt idx="373">
                  <c:v>100.2124060150376</c:v>
                </c:pt>
                <c:pt idx="374">
                  <c:v>100.21857515852294</c:v>
                </c:pt>
                <c:pt idx="375">
                  <c:v>100.21711509715995</c:v>
                </c:pt>
                <c:pt idx="376">
                  <c:v>100.2124060150376</c:v>
                </c:pt>
                <c:pt idx="377">
                  <c:v>100.21740754576018</c:v>
                </c:pt>
                <c:pt idx="378">
                  <c:v>100.23595915390226</c:v>
                </c:pt>
                <c:pt idx="379">
                  <c:v>100.25098319628174</c:v>
                </c:pt>
                <c:pt idx="380">
                  <c:v>100.27608845888044</c:v>
                </c:pt>
                <c:pt idx="381">
                  <c:v>100.28571428571429</c:v>
                </c:pt>
                <c:pt idx="382">
                  <c:v>100.2915116672303</c:v>
                </c:pt>
                <c:pt idx="383">
                  <c:v>100.27932576539388</c:v>
                </c:pt>
                <c:pt idx="384">
                  <c:v>100.29175118323191</c:v>
                </c:pt>
                <c:pt idx="385">
                  <c:v>100.30743801652892</c:v>
                </c:pt>
                <c:pt idx="386">
                  <c:v>100.3274478330658</c:v>
                </c:pt>
                <c:pt idx="387">
                  <c:v>100.34119496855345</c:v>
                </c:pt>
                <c:pt idx="388">
                  <c:v>100.33702531645569</c:v>
                </c:pt>
                <c:pt idx="389">
                  <c:v>100.34387723144378</c:v>
                </c:pt>
                <c:pt idx="390">
                  <c:v>100.35696746470227</c:v>
                </c:pt>
                <c:pt idx="391">
                  <c:v>100.32636655948554</c:v>
                </c:pt>
                <c:pt idx="392">
                  <c:v>100.33470943156557</c:v>
                </c:pt>
                <c:pt idx="393">
                  <c:v>100.36840518540851</c:v>
                </c:pt>
                <c:pt idx="394">
                  <c:v>100.35816121862634</c:v>
                </c:pt>
                <c:pt idx="395">
                  <c:v>100.34196632023564</c:v>
                </c:pt>
                <c:pt idx="396">
                  <c:v>100.35123287671233</c:v>
                </c:pt>
                <c:pt idx="397">
                  <c:v>100.35037858005047</c:v>
                </c:pt>
                <c:pt idx="398">
                  <c:v>100.34433492081072</c:v>
                </c:pt>
                <c:pt idx="399">
                  <c:v>100.33814075688971</c:v>
                </c:pt>
                <c:pt idx="400">
                  <c:v>100.33902752191146</c:v>
                </c:pt>
                <c:pt idx="401">
                  <c:v>100.33680613902425</c:v>
                </c:pt>
                <c:pt idx="402">
                  <c:v>100.35582154515778</c:v>
                </c:pt>
                <c:pt idx="403">
                  <c:v>100.34108742834883</c:v>
                </c:pt>
                <c:pt idx="404">
                  <c:v>100.34236836258609</c:v>
                </c:pt>
                <c:pt idx="405">
                  <c:v>100.33965421081986</c:v>
                </c:pt>
                <c:pt idx="406">
                  <c:v>100.34317097525796</c:v>
                </c:pt>
                <c:pt idx="407">
                  <c:v>100.34618145673421</c:v>
                </c:pt>
                <c:pt idx="408">
                  <c:v>100.3557163846112</c:v>
                </c:pt>
                <c:pt idx="409">
                  <c:v>100.36649531297249</c:v>
                </c:pt>
                <c:pt idx="410">
                  <c:v>100.35763888888889</c:v>
                </c:pt>
                <c:pt idx="411">
                  <c:v>100.35438137303015</c:v>
                </c:pt>
                <c:pt idx="412">
                  <c:v>100.35857847120646</c:v>
                </c:pt>
                <c:pt idx="413">
                  <c:v>100.35037858005047</c:v>
                </c:pt>
                <c:pt idx="414">
                  <c:v>100.35802201377216</c:v>
                </c:pt>
                <c:pt idx="415">
                  <c:v>100.36017292623615</c:v>
                </c:pt>
                <c:pt idx="416">
                  <c:v>100.36179387667097</c:v>
                </c:pt>
                <c:pt idx="417">
                  <c:v>100.38439141059636</c:v>
                </c:pt>
                <c:pt idx="418">
                  <c:v>100.3824649246336</c:v>
                </c:pt>
                <c:pt idx="419">
                  <c:v>100.38461538461539</c:v>
                </c:pt>
                <c:pt idx="420">
                  <c:v>100.38526995305165</c:v>
                </c:pt>
                <c:pt idx="421">
                  <c:v>100.41637501848474</c:v>
                </c:pt>
                <c:pt idx="422">
                  <c:v>100.42367601246106</c:v>
                </c:pt>
                <c:pt idx="423">
                  <c:v>100.41141379996023</c:v>
                </c:pt>
                <c:pt idx="424">
                  <c:v>100.42133815551537</c:v>
                </c:pt>
                <c:pt idx="425">
                  <c:v>100.41533751419684</c:v>
                </c:pt>
                <c:pt idx="426">
                  <c:v>100.40217116889674</c:v>
                </c:pt>
                <c:pt idx="427">
                  <c:v>100.40699188620655</c:v>
                </c:pt>
                <c:pt idx="428">
                  <c:v>100.38965926078664</c:v>
                </c:pt>
                <c:pt idx="429">
                  <c:v>100.39091517053346</c:v>
                </c:pt>
                <c:pt idx="430">
                  <c:v>100.36802413273001</c:v>
                </c:pt>
                <c:pt idx="431">
                  <c:v>100.35459026494146</c:v>
                </c:pt>
                <c:pt idx="432">
                  <c:v>100.36687821093986</c:v>
                </c:pt>
                <c:pt idx="433">
                  <c:v>100.37350478468899</c:v>
                </c:pt>
                <c:pt idx="434">
                  <c:v>100.37174997346916</c:v>
                </c:pt>
                <c:pt idx="435">
                  <c:v>100.35038759689922</c:v>
                </c:pt>
                <c:pt idx="436">
                  <c:v>100.35018610421837</c:v>
                </c:pt>
                <c:pt idx="437">
                  <c:v>100.35854255970607</c:v>
                </c:pt>
                <c:pt idx="438">
                  <c:v>100.36821471652594</c:v>
                </c:pt>
                <c:pt idx="439">
                  <c:v>100.36821471652594</c:v>
                </c:pt>
                <c:pt idx="440">
                  <c:v>100.34408265497808</c:v>
                </c:pt>
                <c:pt idx="441">
                  <c:v>100.34160905091137</c:v>
                </c:pt>
                <c:pt idx="442">
                  <c:v>100.36341537526587</c:v>
                </c:pt>
                <c:pt idx="443">
                  <c:v>100.3744401313825</c:v>
                </c:pt>
                <c:pt idx="444">
                  <c:v>100.37162567486503</c:v>
                </c:pt>
                <c:pt idx="445">
                  <c:v>100.36764261998189</c:v>
                </c:pt>
                <c:pt idx="446">
                  <c:v>100.37981053878035</c:v>
                </c:pt>
                <c:pt idx="447">
                  <c:v>100.38273423688862</c:v>
                </c:pt>
                <c:pt idx="448">
                  <c:v>100.35459026494146</c:v>
                </c:pt>
                <c:pt idx="449">
                  <c:v>100.34181589695255</c:v>
                </c:pt>
                <c:pt idx="450">
                  <c:v>100.35478903603327</c:v>
                </c:pt>
                <c:pt idx="451">
                  <c:v>100.30606160980457</c:v>
                </c:pt>
                <c:pt idx="452">
                  <c:v>100.30306054557552</c:v>
                </c:pt>
                <c:pt idx="453">
                  <c:v>100.36438106796116</c:v>
                </c:pt>
                <c:pt idx="454">
                  <c:v>100.35038759689922</c:v>
                </c:pt>
                <c:pt idx="455">
                  <c:v>100.30306054557552</c:v>
                </c:pt>
                <c:pt idx="456">
                  <c:v>100.28814135236154</c:v>
                </c:pt>
                <c:pt idx="457">
                  <c:v>100.2820424948595</c:v>
                </c:pt>
                <c:pt idx="458">
                  <c:v>100.26671333566678</c:v>
                </c:pt>
                <c:pt idx="459">
                  <c:v>100.23984034833092</c:v>
                </c:pt>
                <c:pt idx="460">
                  <c:v>100.27181091414668</c:v>
                </c:pt>
                <c:pt idx="461">
                  <c:v>100.31958428061058</c:v>
                </c:pt>
                <c:pt idx="462">
                  <c:v>100.32462927143779</c:v>
                </c:pt>
                <c:pt idx="463">
                  <c:v>100.30903693931398</c:v>
                </c:pt>
                <c:pt idx="464">
                  <c:v>100.29721569942973</c:v>
                </c:pt>
                <c:pt idx="465">
                  <c:v>100.33890817292522</c:v>
                </c:pt>
                <c:pt idx="466">
                  <c:v>100.31108188096022</c:v>
                </c:pt>
                <c:pt idx="467">
                  <c:v>100.28983050847458</c:v>
                </c:pt>
                <c:pt idx="468">
                  <c:v>100.25577264653641</c:v>
                </c:pt>
                <c:pt idx="469">
                  <c:v>100.24856527977045</c:v>
                </c:pt>
                <c:pt idx="470">
                  <c:v>100.24937298459334</c:v>
                </c:pt>
                <c:pt idx="471">
                  <c:v>100.28302532511978</c:v>
                </c:pt>
                <c:pt idx="472">
                  <c:v>100.27583823021085</c:v>
                </c:pt>
                <c:pt idx="473">
                  <c:v>100.30352393617021</c:v>
                </c:pt>
                <c:pt idx="474">
                  <c:v>100.28056318681318</c:v>
                </c:pt>
                <c:pt idx="475">
                  <c:v>100.29366149696561</c:v>
                </c:pt>
                <c:pt idx="476">
                  <c:v>100.29627141417535</c:v>
                </c:pt>
                <c:pt idx="477">
                  <c:v>100.28717250765567</c:v>
                </c:pt>
                <c:pt idx="478">
                  <c:v>100.29956536275493</c:v>
                </c:pt>
                <c:pt idx="479">
                  <c:v>100.34202261306532</c:v>
                </c:pt>
                <c:pt idx="480">
                  <c:v>100.34714864443752</c:v>
                </c:pt>
                <c:pt idx="481">
                  <c:v>100.37981053878035</c:v>
                </c:pt>
                <c:pt idx="482">
                  <c:v>100.34917676296986</c:v>
                </c:pt>
                <c:pt idx="483">
                  <c:v>100.37990232351635</c:v>
                </c:pt>
                <c:pt idx="484">
                  <c:v>100.36726064633041</c:v>
                </c:pt>
                <c:pt idx="485">
                  <c:v>100.33723505219866</c:v>
                </c:pt>
                <c:pt idx="486">
                  <c:v>100.3444931163955</c:v>
                </c:pt>
                <c:pt idx="487">
                  <c:v>100.33301496338746</c:v>
                </c:pt>
                <c:pt idx="488">
                  <c:v>100.33045701502077</c:v>
                </c:pt>
                <c:pt idx="489">
                  <c:v>100.31085526315789</c:v>
                </c:pt>
                <c:pt idx="490">
                  <c:v>100.3166992824527</c:v>
                </c:pt>
                <c:pt idx="491">
                  <c:v>100.3291706692283</c:v>
                </c:pt>
                <c:pt idx="492">
                  <c:v>100.32397547595998</c:v>
                </c:pt>
                <c:pt idx="493">
                  <c:v>100.33470943156557</c:v>
                </c:pt>
                <c:pt idx="494">
                  <c:v>100.33002878157978</c:v>
                </c:pt>
                <c:pt idx="495">
                  <c:v>100.33513170422088</c:v>
                </c:pt>
                <c:pt idx="496">
                  <c:v>100.35932721712538</c:v>
                </c:pt>
                <c:pt idx="497">
                  <c:v>100.38832116788321</c:v>
                </c:pt>
                <c:pt idx="498">
                  <c:v>100.41740823136819</c:v>
                </c:pt>
                <c:pt idx="499">
                  <c:v>100.37181409295353</c:v>
                </c:pt>
                <c:pt idx="500">
                  <c:v>100.348367029549</c:v>
                </c:pt>
                <c:pt idx="501">
                  <c:v>100.35079020762318</c:v>
                </c:pt>
                <c:pt idx="502">
                  <c:v>100.34098773199119</c:v>
                </c:pt>
                <c:pt idx="503">
                  <c:v>100.3166992824527</c:v>
                </c:pt>
                <c:pt idx="504">
                  <c:v>100.29792225201072</c:v>
                </c:pt>
                <c:pt idx="505">
                  <c:v>100.27633851468049</c:v>
                </c:pt>
                <c:pt idx="506">
                  <c:v>100.25524351226449</c:v>
                </c:pt>
                <c:pt idx="507">
                  <c:v>100.29007116231786</c:v>
                </c:pt>
                <c:pt idx="508">
                  <c:v>100.23400365630712</c:v>
                </c:pt>
                <c:pt idx="509">
                  <c:v>100.23595915390226</c:v>
                </c:pt>
                <c:pt idx="510">
                  <c:v>100.20190476190476</c:v>
                </c:pt>
                <c:pt idx="511">
                  <c:v>100.19731800766283</c:v>
                </c:pt>
                <c:pt idx="512">
                  <c:v>100.23175650898423</c:v>
                </c:pt>
                <c:pt idx="513">
                  <c:v>100.25893172974885</c:v>
                </c:pt>
                <c:pt idx="514">
                  <c:v>100.30743801652892</c:v>
                </c:pt>
                <c:pt idx="515">
                  <c:v>100.27982124441388</c:v>
                </c:pt>
                <c:pt idx="516">
                  <c:v>100.28765725943556</c:v>
                </c:pt>
                <c:pt idx="517">
                  <c:v>100.30026720106881</c:v>
                </c:pt>
                <c:pt idx="518">
                  <c:v>100.32787937119025</c:v>
                </c:pt>
                <c:pt idx="519">
                  <c:v>100.28789938817131</c:v>
                </c:pt>
                <c:pt idx="520">
                  <c:v>100.2874149659864</c:v>
                </c:pt>
                <c:pt idx="521">
                  <c:v>100.3085808580858</c:v>
                </c:pt>
                <c:pt idx="522">
                  <c:v>100.30189936687771</c:v>
                </c:pt>
                <c:pt idx="523">
                  <c:v>100.29007116231786</c:v>
                </c:pt>
                <c:pt idx="524">
                  <c:v>100.28031604259705</c:v>
                </c:pt>
                <c:pt idx="525">
                  <c:v>100.30050083472455</c:v>
                </c:pt>
                <c:pt idx="526">
                  <c:v>100.31825577611454</c:v>
                </c:pt>
                <c:pt idx="527">
                  <c:v>100.28983050847458</c:v>
                </c:pt>
                <c:pt idx="528">
                  <c:v>100.26024011299435</c:v>
                </c:pt>
                <c:pt idx="529">
                  <c:v>100.26978041129313</c:v>
                </c:pt>
                <c:pt idx="530">
                  <c:v>100.26258359732489</c:v>
                </c:pt>
                <c:pt idx="531">
                  <c:v>100.26258359732489</c:v>
                </c:pt>
                <c:pt idx="532">
                  <c:v>100.26542776998598</c:v>
                </c:pt>
                <c:pt idx="533">
                  <c:v>100.25550817341862</c:v>
                </c:pt>
                <c:pt idx="534">
                  <c:v>100.25017895490336</c:v>
                </c:pt>
                <c:pt idx="535">
                  <c:v>100.2661996497373</c:v>
                </c:pt>
                <c:pt idx="536">
                  <c:v>100.28620102214651</c:v>
                </c:pt>
                <c:pt idx="537">
                  <c:v>100.23456339057363</c:v>
                </c:pt>
                <c:pt idx="538">
                  <c:v>100.24640287769785</c:v>
                </c:pt>
                <c:pt idx="539">
                  <c:v>100.2591937765205</c:v>
                </c:pt>
                <c:pt idx="540">
                  <c:v>100.2893487109905</c:v>
                </c:pt>
                <c:pt idx="541">
                  <c:v>100.31062849621586</c:v>
                </c:pt>
                <c:pt idx="542">
                  <c:v>100.3561770129072</c:v>
                </c:pt>
                <c:pt idx="543">
                  <c:v>100.33152520740268</c:v>
                </c:pt>
                <c:pt idx="544">
                  <c:v>100.32528180354268</c:v>
                </c:pt>
                <c:pt idx="545">
                  <c:v>100.32200647249191</c:v>
                </c:pt>
                <c:pt idx="546">
                  <c:v>100.30213191205863</c:v>
                </c:pt>
                <c:pt idx="547">
                  <c:v>100.3166992824527</c:v>
                </c:pt>
                <c:pt idx="548">
                  <c:v>100.24258857556038</c:v>
                </c:pt>
                <c:pt idx="549">
                  <c:v>100.23928830791576</c:v>
                </c:pt>
                <c:pt idx="550">
                  <c:v>100.26465426465427</c:v>
                </c:pt>
                <c:pt idx="551">
                  <c:v>100.28449453551913</c:v>
                </c:pt>
                <c:pt idx="552">
                  <c:v>100.28155006858711</c:v>
                </c:pt>
                <c:pt idx="553">
                  <c:v>100.29697986577182</c:v>
                </c:pt>
                <c:pt idx="554">
                  <c:v>100.28498293515358</c:v>
                </c:pt>
                <c:pt idx="555">
                  <c:v>100.2874149659864</c:v>
                </c:pt>
                <c:pt idx="556">
                  <c:v>100.2748355832468</c:v>
                </c:pt>
                <c:pt idx="557">
                  <c:v>100.28376068376069</c:v>
                </c:pt>
                <c:pt idx="558">
                  <c:v>100.26154388438492</c:v>
                </c:pt>
                <c:pt idx="559">
                  <c:v>100.26232394366197</c:v>
                </c:pt>
                <c:pt idx="560">
                  <c:v>100.26024011299435</c:v>
                </c:pt>
                <c:pt idx="561">
                  <c:v>100.24204052098408</c:v>
                </c:pt>
                <c:pt idx="562">
                  <c:v>100.23344310281742</c:v>
                </c:pt>
                <c:pt idx="563">
                  <c:v>100.25338560228083</c:v>
                </c:pt>
                <c:pt idx="564">
                  <c:v>100.27304903015371</c:v>
                </c:pt>
                <c:pt idx="565">
                  <c:v>100.25285306704707</c:v>
                </c:pt>
                <c:pt idx="566">
                  <c:v>100.24477289113194</c:v>
                </c:pt>
                <c:pt idx="567">
                  <c:v>100.24775583482945</c:v>
                </c:pt>
                <c:pt idx="568">
                  <c:v>100.26206410707995</c:v>
                </c:pt>
                <c:pt idx="569">
                  <c:v>100.23595915390226</c:v>
                </c:pt>
                <c:pt idx="570">
                  <c:v>100.23873546511628</c:v>
                </c:pt>
                <c:pt idx="571">
                  <c:v>100.23484295105916</c:v>
                </c:pt>
                <c:pt idx="572">
                  <c:v>100.25526998684725</c:v>
                </c:pt>
                <c:pt idx="573">
                  <c:v>100.28363822875706</c:v>
                </c:pt>
                <c:pt idx="574">
                  <c:v>100.27553772736704</c:v>
                </c:pt>
                <c:pt idx="575">
                  <c:v>100.33492063492064</c:v>
                </c:pt>
                <c:pt idx="576">
                  <c:v>100.3274478330658</c:v>
                </c:pt>
                <c:pt idx="577">
                  <c:v>100.33576410906785</c:v>
                </c:pt>
                <c:pt idx="578">
                  <c:v>100.33088470137336</c:v>
                </c:pt>
                <c:pt idx="579">
                  <c:v>100.30903693931398</c:v>
                </c:pt>
                <c:pt idx="580">
                  <c:v>100.32571612487931</c:v>
                </c:pt>
                <c:pt idx="581">
                  <c:v>100.33731890934396</c:v>
                </c:pt>
                <c:pt idx="582">
                  <c:v>100.33237731038878</c:v>
                </c:pt>
                <c:pt idx="583">
                  <c:v>100.32024659312135</c:v>
                </c:pt>
                <c:pt idx="584">
                  <c:v>100.34202261306532</c:v>
                </c:pt>
                <c:pt idx="585">
                  <c:v>100.36360874848117</c:v>
                </c:pt>
                <c:pt idx="586">
                  <c:v>100.36515151515151</c:v>
                </c:pt>
                <c:pt idx="587">
                  <c:v>100.35478903603327</c:v>
                </c:pt>
                <c:pt idx="588">
                  <c:v>100.34796140678493</c:v>
                </c:pt>
                <c:pt idx="589">
                  <c:v>100.35079020762318</c:v>
                </c:pt>
                <c:pt idx="590">
                  <c:v>100.348367029549</c:v>
                </c:pt>
                <c:pt idx="591">
                  <c:v>100.36954559133314</c:v>
                </c:pt>
                <c:pt idx="592">
                  <c:v>100.37815375482339</c:v>
                </c:pt>
                <c:pt idx="593">
                  <c:v>100.38054405677114</c:v>
                </c:pt>
                <c:pt idx="594">
                  <c:v>100.394858463316</c:v>
                </c:pt>
                <c:pt idx="595">
                  <c:v>100.38200589970502</c:v>
                </c:pt>
                <c:pt idx="596">
                  <c:v>100.37852269356274</c:v>
                </c:pt>
                <c:pt idx="597">
                  <c:v>100.38200589970502</c:v>
                </c:pt>
                <c:pt idx="598">
                  <c:v>100.3868890839918</c:v>
                </c:pt>
                <c:pt idx="599">
                  <c:v>100.3939832224472</c:v>
                </c:pt>
                <c:pt idx="600">
                  <c:v>100.40617913832199</c:v>
                </c:pt>
                <c:pt idx="601">
                  <c:v>100.40584231423709</c:v>
                </c:pt>
                <c:pt idx="602">
                  <c:v>100.37667360904493</c:v>
                </c:pt>
                <c:pt idx="603">
                  <c:v>100.38036083998817</c:v>
                </c:pt>
                <c:pt idx="604">
                  <c:v>100.39098837209302</c:v>
                </c:pt>
                <c:pt idx="605">
                  <c:v>100.39433362243423</c:v>
                </c:pt>
                <c:pt idx="606">
                  <c:v>100.39468361745161</c:v>
                </c:pt>
                <c:pt idx="607">
                  <c:v>100.39151902410688</c:v>
                </c:pt>
                <c:pt idx="608">
                  <c:v>100.38382352941177</c:v>
                </c:pt>
                <c:pt idx="609">
                  <c:v>100.38885647607934</c:v>
                </c:pt>
                <c:pt idx="610">
                  <c:v>100.3763024709735</c:v>
                </c:pt>
                <c:pt idx="611">
                  <c:v>100.37815375482339</c:v>
                </c:pt>
                <c:pt idx="612">
                  <c:v>100.36935580975316</c:v>
                </c:pt>
                <c:pt idx="613">
                  <c:v>100.38145851786241</c:v>
                </c:pt>
                <c:pt idx="614">
                  <c:v>100.40752262443439</c:v>
                </c:pt>
                <c:pt idx="615">
                  <c:v>100.39746908254241</c:v>
                </c:pt>
                <c:pt idx="616">
                  <c:v>100.39098837209302</c:v>
                </c:pt>
                <c:pt idx="617">
                  <c:v>100.3899242865463</c:v>
                </c:pt>
                <c:pt idx="618">
                  <c:v>100.37796912114014</c:v>
                </c:pt>
                <c:pt idx="619">
                  <c:v>100.37722948870392</c:v>
                </c:pt>
                <c:pt idx="620">
                  <c:v>100.37518640023859</c:v>
                </c:pt>
                <c:pt idx="621">
                  <c:v>100.36341537526587</c:v>
                </c:pt>
                <c:pt idx="622">
                  <c:v>100.37011425135297</c:v>
                </c:pt>
                <c:pt idx="623">
                  <c:v>100.38200589970502</c:v>
                </c:pt>
                <c:pt idx="624">
                  <c:v>100.38563049853373</c:v>
                </c:pt>
                <c:pt idx="625">
                  <c:v>100.39063408958697</c:v>
                </c:pt>
                <c:pt idx="626">
                  <c:v>100.3931054461182</c:v>
                </c:pt>
                <c:pt idx="627">
                  <c:v>100.4046604148906</c:v>
                </c:pt>
                <c:pt idx="628">
                  <c:v>100.41805555555555</c:v>
                </c:pt>
                <c:pt idx="629">
                  <c:v>100.43363071100298</c:v>
                </c:pt>
                <c:pt idx="630">
                  <c:v>100.43347755543537</c:v>
                </c:pt>
                <c:pt idx="631">
                  <c:v>100.44911911648698</c:v>
                </c:pt>
                <c:pt idx="632">
                  <c:v>100.44795783926219</c:v>
                </c:pt>
                <c:pt idx="633">
                  <c:v>100.44163113006397</c:v>
                </c:pt>
                <c:pt idx="634">
                  <c:v>100.44148227139429</c:v>
                </c:pt>
                <c:pt idx="635">
                  <c:v>100.45300261096605</c:v>
                </c:pt>
                <c:pt idx="636">
                  <c:v>100.44488606253312</c:v>
                </c:pt>
                <c:pt idx="637">
                  <c:v>100.45056386047732</c:v>
                </c:pt>
                <c:pt idx="638">
                  <c:v>100.4651519019658</c:v>
                </c:pt>
                <c:pt idx="639">
                  <c:v>100.4693515704154</c:v>
                </c:pt>
                <c:pt idx="640">
                  <c:v>100.46610601427115</c:v>
                </c:pt>
                <c:pt idx="641">
                  <c:v>100.45471108797501</c:v>
                </c:pt>
                <c:pt idx="642">
                  <c:v>100.44708366323569</c:v>
                </c:pt>
                <c:pt idx="643">
                  <c:v>100.45513654096229</c:v>
                </c:pt>
                <c:pt idx="644">
                  <c:v>100.45300261096605</c:v>
                </c:pt>
                <c:pt idx="645">
                  <c:v>100.43439524838013</c:v>
                </c:pt>
                <c:pt idx="646">
                  <c:v>100.46664969450102</c:v>
                </c:pt>
                <c:pt idx="647">
                  <c:v>100.45640892579138</c:v>
                </c:pt>
                <c:pt idx="648">
                  <c:v>100.40415244596132</c:v>
                </c:pt>
                <c:pt idx="649">
                  <c:v>100.4198283024093</c:v>
                </c:pt>
                <c:pt idx="650">
                  <c:v>100.39063408958697</c:v>
                </c:pt>
                <c:pt idx="651">
                  <c:v>100.39151902410688</c:v>
                </c:pt>
                <c:pt idx="652">
                  <c:v>100.40313390313391</c:v>
                </c:pt>
                <c:pt idx="653">
                  <c:v>100.39850703416595</c:v>
                </c:pt>
                <c:pt idx="654">
                  <c:v>100.3953823953824</c:v>
                </c:pt>
                <c:pt idx="655">
                  <c:v>100.41118605958404</c:v>
                </c:pt>
                <c:pt idx="656">
                  <c:v>100.42837653478854</c:v>
                </c:pt>
                <c:pt idx="657">
                  <c:v>100.4441496418148</c:v>
                </c:pt>
                <c:pt idx="658">
                  <c:v>100.45200104629872</c:v>
                </c:pt>
                <c:pt idx="659">
                  <c:v>100.45541980764231</c:v>
                </c:pt>
                <c:pt idx="660">
                  <c:v>100.46419437340154</c:v>
                </c:pt>
                <c:pt idx="661">
                  <c:v>100.46446830265849</c:v>
                </c:pt>
                <c:pt idx="662">
                  <c:v>100.46254489481785</c:v>
                </c:pt>
                <c:pt idx="663">
                  <c:v>100.4314789687924</c:v>
                </c:pt>
                <c:pt idx="664">
                  <c:v>100.4063474071975</c:v>
                </c:pt>
                <c:pt idx="665">
                  <c:v>100.40398293029872</c:v>
                </c:pt>
                <c:pt idx="666">
                  <c:v>100.40279361459521</c:v>
                </c:pt>
                <c:pt idx="667">
                  <c:v>100.41724617524339</c:v>
                </c:pt>
                <c:pt idx="668">
                  <c:v>100.41821716189948</c:v>
                </c:pt>
                <c:pt idx="669">
                  <c:v>100.42790824685964</c:v>
                </c:pt>
                <c:pt idx="670">
                  <c:v>100.44177990940581</c:v>
                </c:pt>
                <c:pt idx="671">
                  <c:v>100.44664553618595</c:v>
                </c:pt>
                <c:pt idx="672">
                  <c:v>100.45099580712788</c:v>
                </c:pt>
                <c:pt idx="673">
                  <c:v>100.44708366323569</c:v>
                </c:pt>
                <c:pt idx="674">
                  <c:v>100.52310493967676</c:v>
                </c:pt>
                <c:pt idx="675">
                  <c:v>100.52751465944971</c:v>
                </c:pt>
                <c:pt idx="676">
                  <c:v>100.49026763990268</c:v>
                </c:pt>
                <c:pt idx="677">
                  <c:v>100.50130921209237</c:v>
                </c:pt>
                <c:pt idx="678">
                  <c:v>100.49359439207154</c:v>
                </c:pt>
                <c:pt idx="679">
                  <c:v>100.49916327994262</c:v>
                </c:pt>
                <c:pt idx="680">
                  <c:v>100.48271604938272</c:v>
                </c:pt>
                <c:pt idx="681">
                  <c:v>100.49952221691352</c:v>
                </c:pt>
                <c:pt idx="682">
                  <c:v>100.51938518008717</c:v>
                </c:pt>
                <c:pt idx="683">
                  <c:v>100.52114285714286</c:v>
                </c:pt>
                <c:pt idx="684">
                  <c:v>100.51616628175519</c:v>
                </c:pt>
                <c:pt idx="685">
                  <c:v>100.54046940118447</c:v>
                </c:pt>
                <c:pt idx="686">
                  <c:v>100.53905390539055</c:v>
                </c:pt>
                <c:pt idx="687">
                  <c:v>100.54359725541593</c:v>
                </c:pt>
                <c:pt idx="688">
                  <c:v>100.54517516902274</c:v>
                </c:pt>
                <c:pt idx="689">
                  <c:v>100.5507493834187</c:v>
                </c:pt>
                <c:pt idx="690">
                  <c:v>100.55968761621421</c:v>
                </c:pt>
                <c:pt idx="691">
                  <c:v>100.55949103355904</c:v>
                </c:pt>
                <c:pt idx="692">
                  <c:v>100.56898434655989</c:v>
                </c:pt>
                <c:pt idx="693">
                  <c:v>100.53534005729759</c:v>
                </c:pt>
                <c:pt idx="694">
                  <c:v>100.52590694322095</c:v>
                </c:pt>
                <c:pt idx="695">
                  <c:v>100.53350931799378</c:v>
                </c:pt>
                <c:pt idx="696">
                  <c:v>100.52302300286026</c:v>
                </c:pt>
                <c:pt idx="697">
                  <c:v>100.53118194416948</c:v>
                </c:pt>
                <c:pt idx="698">
                  <c:v>100.54117419104824</c:v>
                </c:pt>
                <c:pt idx="699">
                  <c:v>100.53699358673549</c:v>
                </c:pt>
                <c:pt idx="700">
                  <c:v>100.54060450859427</c:v>
                </c:pt>
                <c:pt idx="701">
                  <c:v>100.54229163445183</c:v>
                </c:pt>
                <c:pt idx="702">
                  <c:v>100.54489544895449</c:v>
                </c:pt>
                <c:pt idx="703">
                  <c:v>100.55088571103441</c:v>
                </c:pt>
                <c:pt idx="704">
                  <c:v>100.55237987221655</c:v>
                </c:pt>
                <c:pt idx="705">
                  <c:v>100.55875228263704</c:v>
                </c:pt>
                <c:pt idx="706">
                  <c:v>100.55582232893157</c:v>
                </c:pt>
                <c:pt idx="707">
                  <c:v>100.5517189156444</c:v>
                </c:pt>
                <c:pt idx="708">
                  <c:v>100.56131900703964</c:v>
                </c:pt>
                <c:pt idx="709">
                  <c:v>100.55759817658708</c:v>
                </c:pt>
                <c:pt idx="710">
                  <c:v>100.55962210816038</c:v>
                </c:pt>
                <c:pt idx="711">
                  <c:v>100.54974140553696</c:v>
                </c:pt>
                <c:pt idx="712">
                  <c:v>100.54774637127578</c:v>
                </c:pt>
                <c:pt idx="713">
                  <c:v>100.54764269886147</c:v>
                </c:pt>
                <c:pt idx="714">
                  <c:v>100.55703542968311</c:v>
                </c:pt>
                <c:pt idx="715">
                  <c:v>100.55409934847286</c:v>
                </c:pt>
                <c:pt idx="716">
                  <c:v>100.55627178353258</c:v>
                </c:pt>
                <c:pt idx="717">
                  <c:v>100.56017830609213</c:v>
                </c:pt>
                <c:pt idx="718">
                  <c:v>100.55635491606715</c:v>
                </c:pt>
                <c:pt idx="719">
                  <c:v>100.55438464433571</c:v>
                </c:pt>
                <c:pt idx="720">
                  <c:v>100.55683647116068</c:v>
                </c:pt>
                <c:pt idx="721">
                  <c:v>100.5579285367584</c:v>
                </c:pt>
                <c:pt idx="722">
                  <c:v>100.57236248058656</c:v>
                </c:pt>
                <c:pt idx="723">
                  <c:v>100.57875262390152</c:v>
                </c:pt>
                <c:pt idx="724">
                  <c:v>100.56910983332121</c:v>
                </c:pt>
                <c:pt idx="725">
                  <c:v>100.56417712666102</c:v>
                </c:pt>
                <c:pt idx="726">
                  <c:v>100.57068784219878</c:v>
                </c:pt>
                <c:pt idx="727">
                  <c:v>100.56786744041753</c:v>
                </c:pt>
                <c:pt idx="728">
                  <c:v>100.57419262029778</c:v>
                </c:pt>
                <c:pt idx="729">
                  <c:v>100.57978421351505</c:v>
                </c:pt>
                <c:pt idx="730">
                  <c:v>100.57434570031637</c:v>
                </c:pt>
                <c:pt idx="731">
                  <c:v>100.56699824458748</c:v>
                </c:pt>
                <c:pt idx="732">
                  <c:v>100.56687152472929</c:v>
                </c:pt>
                <c:pt idx="733">
                  <c:v>100.56246997524113</c:v>
                </c:pt>
                <c:pt idx="734">
                  <c:v>100.56484666725471</c:v>
                </c:pt>
                <c:pt idx="735">
                  <c:v>100.5734409338185</c:v>
                </c:pt>
                <c:pt idx="736">
                  <c:v>100.57341019636101</c:v>
                </c:pt>
                <c:pt idx="737">
                  <c:v>100.57362526558393</c:v>
                </c:pt>
                <c:pt idx="738">
                  <c:v>100.58029067706487</c:v>
                </c:pt>
                <c:pt idx="739">
                  <c:v>100.58270186444859</c:v>
                </c:pt>
                <c:pt idx="740">
                  <c:v>100.58314262577896</c:v>
                </c:pt>
                <c:pt idx="741">
                  <c:v>100.58584021267664</c:v>
                </c:pt>
                <c:pt idx="742">
                  <c:v>100.59255308166145</c:v>
                </c:pt>
                <c:pt idx="743">
                  <c:v>100.59386684046238</c:v>
                </c:pt>
                <c:pt idx="744">
                  <c:v>100.59497827797352</c:v>
                </c:pt>
                <c:pt idx="745">
                  <c:v>100.60488553694186</c:v>
                </c:pt>
                <c:pt idx="746">
                  <c:v>100.61502194765079</c:v>
                </c:pt>
                <c:pt idx="747">
                  <c:v>100.61379130378054</c:v>
                </c:pt>
                <c:pt idx="748">
                  <c:v>100.61416886629517</c:v>
                </c:pt>
                <c:pt idx="749">
                  <c:v>100.61644368136318</c:v>
                </c:pt>
                <c:pt idx="750">
                  <c:v>100.61066719279208</c:v>
                </c:pt>
                <c:pt idx="751">
                  <c:v>100.61209579661239</c:v>
                </c:pt>
                <c:pt idx="752">
                  <c:v>100.60985896928958</c:v>
                </c:pt>
                <c:pt idx="753">
                  <c:v>100.60672291237627</c:v>
                </c:pt>
                <c:pt idx="754">
                  <c:v>100.60393389977922</c:v>
                </c:pt>
                <c:pt idx="755">
                  <c:v>100.60975609756098</c:v>
                </c:pt>
                <c:pt idx="756">
                  <c:v>100.62052498317361</c:v>
                </c:pt>
                <c:pt idx="757">
                  <c:v>100.61319830120875</c:v>
                </c:pt>
                <c:pt idx="758">
                  <c:v>100.60847855560333</c:v>
                </c:pt>
                <c:pt idx="759">
                  <c:v>100.60693181063674</c:v>
                </c:pt>
                <c:pt idx="760">
                  <c:v>100.61252740779527</c:v>
                </c:pt>
                <c:pt idx="761">
                  <c:v>100.61079517438611</c:v>
                </c:pt>
                <c:pt idx="762">
                  <c:v>100.60663144954982</c:v>
                </c:pt>
                <c:pt idx="763">
                  <c:v>100.60631753948462</c:v>
                </c:pt>
                <c:pt idx="764">
                  <c:v>100.60122596072884</c:v>
                </c:pt>
                <c:pt idx="765">
                  <c:v>100.59964833975789</c:v>
                </c:pt>
                <c:pt idx="766">
                  <c:v>100.60169548543362</c:v>
                </c:pt>
                <c:pt idx="767">
                  <c:v>100.60093026391182</c:v>
                </c:pt>
                <c:pt idx="768">
                  <c:v>100.59723781338232</c:v>
                </c:pt>
                <c:pt idx="769">
                  <c:v>100.59360197707146</c:v>
                </c:pt>
                <c:pt idx="770">
                  <c:v>100.58669319649528</c:v>
                </c:pt>
                <c:pt idx="771">
                  <c:v>100.58429885541746</c:v>
                </c:pt>
                <c:pt idx="772">
                  <c:v>100.58539062226424</c:v>
                </c:pt>
                <c:pt idx="773">
                  <c:v>100.58758577449581</c:v>
                </c:pt>
                <c:pt idx="774">
                  <c:v>100.58393365428542</c:v>
                </c:pt>
                <c:pt idx="775">
                  <c:v>100.59134366479135</c:v>
                </c:pt>
                <c:pt idx="776">
                  <c:v>100.59173821592358</c:v>
                </c:pt>
                <c:pt idx="777">
                  <c:v>100.58631773872331</c:v>
                </c:pt>
                <c:pt idx="778">
                  <c:v>100.57854269746912</c:v>
                </c:pt>
                <c:pt idx="779">
                  <c:v>100.57951559059592</c:v>
                </c:pt>
                <c:pt idx="780">
                  <c:v>100.58306923022748</c:v>
                </c:pt>
                <c:pt idx="781">
                  <c:v>100.57861769520963</c:v>
                </c:pt>
                <c:pt idx="782">
                  <c:v>100.59002770083103</c:v>
                </c:pt>
                <c:pt idx="783">
                  <c:v>100.5967851791309</c:v>
                </c:pt>
                <c:pt idx="784">
                  <c:v>100.5974158449507</c:v>
                </c:pt>
                <c:pt idx="785">
                  <c:v>100.5998107212871</c:v>
                </c:pt>
                <c:pt idx="786">
                  <c:v>100.60495145307131</c:v>
                </c:pt>
                <c:pt idx="787">
                  <c:v>100.60580636569451</c:v>
                </c:pt>
                <c:pt idx="788">
                  <c:v>100.60485916433053</c:v>
                </c:pt>
                <c:pt idx="789">
                  <c:v>100.60382787927458</c:v>
                </c:pt>
                <c:pt idx="790">
                  <c:v>100.60257787325456</c:v>
                </c:pt>
                <c:pt idx="791">
                  <c:v>100.60008106464906</c:v>
                </c:pt>
                <c:pt idx="792">
                  <c:v>100.61074399184666</c:v>
                </c:pt>
                <c:pt idx="793">
                  <c:v>100.62055417037887</c:v>
                </c:pt>
                <c:pt idx="794">
                  <c:v>100.62058578478498</c:v>
                </c:pt>
                <c:pt idx="795">
                  <c:v>100.62571916292596</c:v>
                </c:pt>
                <c:pt idx="796">
                  <c:v>100.61989148929339</c:v>
                </c:pt>
                <c:pt idx="797">
                  <c:v>100.62308598351001</c:v>
                </c:pt>
                <c:pt idx="798">
                  <c:v>100.62130177514793</c:v>
                </c:pt>
                <c:pt idx="799">
                  <c:v>100.62781340374701</c:v>
                </c:pt>
                <c:pt idx="800">
                  <c:v>100.62532831239518</c:v>
                </c:pt>
                <c:pt idx="801">
                  <c:v>100.62128966223132</c:v>
                </c:pt>
                <c:pt idx="802">
                  <c:v>100.63109518616606</c:v>
                </c:pt>
                <c:pt idx="803">
                  <c:v>100.63058874918099</c:v>
                </c:pt>
                <c:pt idx="804">
                  <c:v>100.62384038632609</c:v>
                </c:pt>
                <c:pt idx="805">
                  <c:v>100.62888665997994</c:v>
                </c:pt>
                <c:pt idx="806">
                  <c:v>100.6181014740509</c:v>
                </c:pt>
                <c:pt idx="807">
                  <c:v>100.60953731490947</c:v>
                </c:pt>
                <c:pt idx="808">
                  <c:v>100.60299098011602</c:v>
                </c:pt>
                <c:pt idx="809">
                  <c:v>100.61202461546527</c:v>
                </c:pt>
                <c:pt idx="810">
                  <c:v>100.61915667649869</c:v>
                </c:pt>
                <c:pt idx="811">
                  <c:v>100.61892500804635</c:v>
                </c:pt>
                <c:pt idx="812">
                  <c:v>100.61357702349869</c:v>
                </c:pt>
                <c:pt idx="813">
                  <c:v>100.61866726786693</c:v>
                </c:pt>
                <c:pt idx="814">
                  <c:v>100.61901084403256</c:v>
                </c:pt>
                <c:pt idx="815">
                  <c:v>100.64004608869337</c:v>
                </c:pt>
                <c:pt idx="816">
                  <c:v>100.63729935056978</c:v>
                </c:pt>
                <c:pt idx="817">
                  <c:v>100.64395260720515</c:v>
                </c:pt>
                <c:pt idx="818">
                  <c:v>100.63765011201019</c:v>
                </c:pt>
                <c:pt idx="819">
                  <c:v>100.64359892838867</c:v>
                </c:pt>
                <c:pt idx="820">
                  <c:v>100.67417925644624</c:v>
                </c:pt>
                <c:pt idx="821">
                  <c:v>100.6694214876033</c:v>
                </c:pt>
                <c:pt idx="822">
                  <c:v>100.67355941549489</c:v>
                </c:pt>
                <c:pt idx="823">
                  <c:v>100.67209482663122</c:v>
                </c:pt>
                <c:pt idx="824">
                  <c:v>100.67475208087245</c:v>
                </c:pt>
                <c:pt idx="825">
                  <c:v>100.67019682341602</c:v>
                </c:pt>
                <c:pt idx="826">
                  <c:v>100.66995595696048</c:v>
                </c:pt>
                <c:pt idx="827">
                  <c:v>100.67009573910815</c:v>
                </c:pt>
                <c:pt idx="828">
                  <c:v>100.66758380594082</c:v>
                </c:pt>
                <c:pt idx="829">
                  <c:v>100.65537315170567</c:v>
                </c:pt>
                <c:pt idx="830">
                  <c:v>100.66201364505723</c:v>
                </c:pt>
                <c:pt idx="831">
                  <c:v>100.6658934809723</c:v>
                </c:pt>
                <c:pt idx="832">
                  <c:v>100.66125940548737</c:v>
                </c:pt>
                <c:pt idx="833">
                  <c:v>100.66762113300769</c:v>
                </c:pt>
                <c:pt idx="834">
                  <c:v>100.67773192958008</c:v>
                </c:pt>
                <c:pt idx="835">
                  <c:v>100.6792805482569</c:v>
                </c:pt>
                <c:pt idx="836">
                  <c:v>100.6766617510514</c:v>
                </c:pt>
                <c:pt idx="837">
                  <c:v>100.67556310626405</c:v>
                </c:pt>
                <c:pt idx="838">
                  <c:v>100.6734423697493</c:v>
                </c:pt>
                <c:pt idx="839">
                  <c:v>100.67906321153637</c:v>
                </c:pt>
                <c:pt idx="840">
                  <c:v>100.681985442239</c:v>
                </c:pt>
                <c:pt idx="841">
                  <c:v>100.6856414613424</c:v>
                </c:pt>
                <c:pt idx="842">
                  <c:v>100.68954034140074</c:v>
                </c:pt>
                <c:pt idx="843">
                  <c:v>100.69382741589304</c:v>
                </c:pt>
                <c:pt idx="844">
                  <c:v>100.6992022763071</c:v>
                </c:pt>
                <c:pt idx="845">
                  <c:v>100.69819016059138</c:v>
                </c:pt>
                <c:pt idx="846">
                  <c:v>100.69219570529819</c:v>
                </c:pt>
                <c:pt idx="847">
                  <c:v>100.6932324593222</c:v>
                </c:pt>
                <c:pt idx="848">
                  <c:v>100.69205961143332</c:v>
                </c:pt>
                <c:pt idx="849">
                  <c:v>100.69401731489856</c:v>
                </c:pt>
                <c:pt idx="850">
                  <c:v>100.69237964093637</c:v>
                </c:pt>
                <c:pt idx="851">
                  <c:v>100.69467223683532</c:v>
                </c:pt>
                <c:pt idx="852">
                  <c:v>100.69020644182213</c:v>
                </c:pt>
                <c:pt idx="853">
                  <c:v>100.68944262295082</c:v>
                </c:pt>
                <c:pt idx="854">
                  <c:v>100.69185925463252</c:v>
                </c:pt>
                <c:pt idx="855">
                  <c:v>100.69560634496234</c:v>
                </c:pt>
                <c:pt idx="856">
                  <c:v>100.69456984393138</c:v>
                </c:pt>
                <c:pt idx="857">
                  <c:v>100.70097989695928</c:v>
                </c:pt>
                <c:pt idx="858">
                  <c:v>100.70039727725904</c:v>
                </c:pt>
                <c:pt idx="859">
                  <c:v>100.70561909497762</c:v>
                </c:pt>
                <c:pt idx="860">
                  <c:v>100.70614514047453</c:v>
                </c:pt>
                <c:pt idx="861">
                  <c:v>100.70340681362725</c:v>
                </c:pt>
                <c:pt idx="862">
                  <c:v>100.70721333366305</c:v>
                </c:pt>
                <c:pt idx="863">
                  <c:v>100.70257234726688</c:v>
                </c:pt>
                <c:pt idx="864">
                  <c:v>100.69901110913389</c:v>
                </c:pt>
                <c:pt idx="865">
                  <c:v>100.70310188319667</c:v>
                </c:pt>
                <c:pt idx="866">
                  <c:v>100.70249013744754</c:v>
                </c:pt>
                <c:pt idx="867">
                  <c:v>100.70134194329533</c:v>
                </c:pt>
                <c:pt idx="868">
                  <c:v>100.69920991794325</c:v>
                </c:pt>
                <c:pt idx="869">
                  <c:v>100.70253498480014</c:v>
                </c:pt>
                <c:pt idx="870">
                  <c:v>100.70541401273886</c:v>
                </c:pt>
                <c:pt idx="871">
                  <c:v>100.70474551756814</c:v>
                </c:pt>
                <c:pt idx="872">
                  <c:v>100.70225821053161</c:v>
                </c:pt>
                <c:pt idx="873">
                  <c:v>100.69717121080362</c:v>
                </c:pt>
                <c:pt idx="874">
                  <c:v>100.70216833526186</c:v>
                </c:pt>
                <c:pt idx="875">
                  <c:v>100.70091191552783</c:v>
                </c:pt>
                <c:pt idx="876">
                  <c:v>100.70085901970693</c:v>
                </c:pt>
                <c:pt idx="877">
                  <c:v>100.70371111834038</c:v>
                </c:pt>
                <c:pt idx="878">
                  <c:v>100.70912664291856</c:v>
                </c:pt>
                <c:pt idx="879">
                  <c:v>100.70732189647501</c:v>
                </c:pt>
                <c:pt idx="880">
                  <c:v>100.70390376872484</c:v>
                </c:pt>
                <c:pt idx="881">
                  <c:v>100.69453044375645</c:v>
                </c:pt>
                <c:pt idx="882">
                  <c:v>100.69348659003832</c:v>
                </c:pt>
                <c:pt idx="883">
                  <c:v>100.69981999340821</c:v>
                </c:pt>
                <c:pt idx="884">
                  <c:v>100.69182717334722</c:v>
                </c:pt>
                <c:pt idx="885">
                  <c:v>100.7062107640009</c:v>
                </c:pt>
                <c:pt idx="886">
                  <c:v>100.66990995009618</c:v>
                </c:pt>
                <c:pt idx="887">
                  <c:v>100.6579517550195</c:v>
                </c:pt>
                <c:pt idx="888">
                  <c:v>100.65972122431384</c:v>
                </c:pt>
                <c:pt idx="889">
                  <c:v>100.65824794342618</c:v>
                </c:pt>
                <c:pt idx="890">
                  <c:v>100.66609323443977</c:v>
                </c:pt>
                <c:pt idx="891">
                  <c:v>100.67209482663122</c:v>
                </c:pt>
                <c:pt idx="892">
                  <c:v>100.6719040097542</c:v>
                </c:pt>
                <c:pt idx="893">
                  <c:v>100.67273832886481</c:v>
                </c:pt>
                <c:pt idx="894">
                  <c:v>100.66098783106658</c:v>
                </c:pt>
                <c:pt idx="895">
                  <c:v>100.66853303471444</c:v>
                </c:pt>
                <c:pt idx="896">
                  <c:v>100.66867217014132</c:v>
                </c:pt>
                <c:pt idx="897">
                  <c:v>100.66520571186201</c:v>
                </c:pt>
                <c:pt idx="898">
                  <c:v>100.65916287638898</c:v>
                </c:pt>
                <c:pt idx="899">
                  <c:v>100.66152086906804</c:v>
                </c:pt>
                <c:pt idx="900">
                  <c:v>100.65855346637444</c:v>
                </c:pt>
                <c:pt idx="901">
                  <c:v>100.66342600488942</c:v>
                </c:pt>
                <c:pt idx="902">
                  <c:v>100.6695691002456</c:v>
                </c:pt>
                <c:pt idx="903">
                  <c:v>100.67092829349639</c:v>
                </c:pt>
                <c:pt idx="904">
                  <c:v>100.67122983367118</c:v>
                </c:pt>
                <c:pt idx="905">
                  <c:v>100.67301850317592</c:v>
                </c:pt>
                <c:pt idx="906">
                  <c:v>100.67091000055589</c:v>
                </c:pt>
                <c:pt idx="907">
                  <c:v>100.67463588898049</c:v>
                </c:pt>
                <c:pt idx="908">
                  <c:v>100.68203668394339</c:v>
                </c:pt>
                <c:pt idx="909">
                  <c:v>100.68185726569217</c:v>
                </c:pt>
                <c:pt idx="910">
                  <c:v>100.68177175724345</c:v>
                </c:pt>
                <c:pt idx="911">
                  <c:v>100.68045772272151</c:v>
                </c:pt>
                <c:pt idx="912">
                  <c:v>100.67897619434954</c:v>
                </c:pt>
                <c:pt idx="913">
                  <c:v>100.68055255773797</c:v>
                </c:pt>
                <c:pt idx="914">
                  <c:v>100.68130063793707</c:v>
                </c:pt>
                <c:pt idx="915">
                  <c:v>100.68320222614652</c:v>
                </c:pt>
                <c:pt idx="916">
                  <c:v>100.68430034129693</c:v>
                </c:pt>
                <c:pt idx="917">
                  <c:v>100.6874092457164</c:v>
                </c:pt>
                <c:pt idx="918">
                  <c:v>100.68276933794175</c:v>
                </c:pt>
                <c:pt idx="919">
                  <c:v>100.67910670244193</c:v>
                </c:pt>
                <c:pt idx="920">
                  <c:v>100.67167655704066</c:v>
                </c:pt>
                <c:pt idx="921">
                  <c:v>100.66349296575245</c:v>
                </c:pt>
                <c:pt idx="922">
                  <c:v>100.66620619661131</c:v>
                </c:pt>
                <c:pt idx="923">
                  <c:v>100.65522262019161</c:v>
                </c:pt>
                <c:pt idx="924">
                  <c:v>100.65019056341774</c:v>
                </c:pt>
                <c:pt idx="925">
                  <c:v>100.65000443406545</c:v>
                </c:pt>
                <c:pt idx="926">
                  <c:v>100.64800142702124</c:v>
                </c:pt>
                <c:pt idx="927">
                  <c:v>100.65480043149947</c:v>
                </c:pt>
                <c:pt idx="928">
                  <c:v>100.65376067376302</c:v>
                </c:pt>
                <c:pt idx="929">
                  <c:v>100.64510520951981</c:v>
                </c:pt>
                <c:pt idx="930">
                  <c:v>100.63343653250774</c:v>
                </c:pt>
                <c:pt idx="931">
                  <c:v>100.62739174219537</c:v>
                </c:pt>
                <c:pt idx="932">
                  <c:v>100.63799798208335</c:v>
                </c:pt>
                <c:pt idx="933">
                  <c:v>100.64316390651136</c:v>
                </c:pt>
                <c:pt idx="934">
                  <c:v>100.62662798398033</c:v>
                </c:pt>
                <c:pt idx="935">
                  <c:v>100.62018413370545</c:v>
                </c:pt>
                <c:pt idx="936">
                  <c:v>100.62520971162672</c:v>
                </c:pt>
                <c:pt idx="937">
                  <c:v>100.62541128828144</c:v>
                </c:pt>
                <c:pt idx="938">
                  <c:v>100.634206623826</c:v>
                </c:pt>
                <c:pt idx="939">
                  <c:v>100.63559139454003</c:v>
                </c:pt>
                <c:pt idx="940">
                  <c:v>100.64215552936199</c:v>
                </c:pt>
                <c:pt idx="941">
                  <c:v>100.64047127414065</c:v>
                </c:pt>
                <c:pt idx="942">
                  <c:v>100.6352209008565</c:v>
                </c:pt>
                <c:pt idx="943">
                  <c:v>100.6488209995551</c:v>
                </c:pt>
                <c:pt idx="944">
                  <c:v>100.61030839614259</c:v>
                </c:pt>
                <c:pt idx="945">
                  <c:v>100.60078225099467</c:v>
                </c:pt>
                <c:pt idx="946">
                  <c:v>100.60583261202477</c:v>
                </c:pt>
                <c:pt idx="947">
                  <c:v>100.61069279584389</c:v>
                </c:pt>
                <c:pt idx="948">
                  <c:v>100.61544707525415</c:v>
                </c:pt>
                <c:pt idx="949">
                  <c:v>100.61559689620466</c:v>
                </c:pt>
                <c:pt idx="950">
                  <c:v>100.61812610869215</c:v>
                </c:pt>
                <c:pt idx="951">
                  <c:v>100.60185621090861</c:v>
                </c:pt>
                <c:pt idx="952">
                  <c:v>100.59550408253904</c:v>
                </c:pt>
                <c:pt idx="953">
                  <c:v>100.58934517203107</c:v>
                </c:pt>
                <c:pt idx="954">
                  <c:v>100.59485354503148</c:v>
                </c:pt>
                <c:pt idx="955">
                  <c:v>100.60906029188403</c:v>
                </c:pt>
                <c:pt idx="956">
                  <c:v>100.61134453781513</c:v>
                </c:pt>
                <c:pt idx="957">
                  <c:v>100.60217727303272</c:v>
                </c:pt>
                <c:pt idx="958">
                  <c:v>100.59890240184288</c:v>
                </c:pt>
                <c:pt idx="959">
                  <c:v>100.6022841787034</c:v>
                </c:pt>
                <c:pt idx="960">
                  <c:v>100.60101767451265</c:v>
                </c:pt>
                <c:pt idx="961">
                  <c:v>100.60689265911883</c:v>
                </c:pt>
                <c:pt idx="962">
                  <c:v>100.61181600603258</c:v>
                </c:pt>
                <c:pt idx="963">
                  <c:v>100.61168869502477</c:v>
                </c:pt>
                <c:pt idx="964">
                  <c:v>100.62080450935179</c:v>
                </c:pt>
                <c:pt idx="965">
                  <c:v>100.61907213178046</c:v>
                </c:pt>
                <c:pt idx="966">
                  <c:v>100.61826154242971</c:v>
                </c:pt>
                <c:pt idx="967">
                  <c:v>100.62266556185862</c:v>
                </c:pt>
                <c:pt idx="968">
                  <c:v>100.62118061110222</c:v>
                </c:pt>
                <c:pt idx="969">
                  <c:v>100.61662997021111</c:v>
                </c:pt>
                <c:pt idx="970">
                  <c:v>100.61457078680947</c:v>
                </c:pt>
                <c:pt idx="971">
                  <c:v>100.6140556750766</c:v>
                </c:pt>
                <c:pt idx="972">
                  <c:v>100.6340822696789</c:v>
                </c:pt>
                <c:pt idx="973">
                  <c:v>100.6408529741863</c:v>
                </c:pt>
                <c:pt idx="974">
                  <c:v>100.63847328244275</c:v>
                </c:pt>
                <c:pt idx="975">
                  <c:v>100.64381336301555</c:v>
                </c:pt>
                <c:pt idx="976">
                  <c:v>100.64677804295943</c:v>
                </c:pt>
                <c:pt idx="977">
                  <c:v>100.63670952103341</c:v>
                </c:pt>
                <c:pt idx="978">
                  <c:v>100.63711036871302</c:v>
                </c:pt>
                <c:pt idx="979">
                  <c:v>100.63860570172761</c:v>
                </c:pt>
                <c:pt idx="980">
                  <c:v>100.63638597137768</c:v>
                </c:pt>
                <c:pt idx="981">
                  <c:v>100.64591183683234</c:v>
                </c:pt>
                <c:pt idx="982">
                  <c:v>100.63792048929663</c:v>
                </c:pt>
                <c:pt idx="983">
                  <c:v>100.63479333744603</c:v>
                </c:pt>
                <c:pt idx="984">
                  <c:v>100.6381860408263</c:v>
                </c:pt>
                <c:pt idx="985">
                  <c:v>100.63474827245804</c:v>
                </c:pt>
                <c:pt idx="986">
                  <c:v>100.63840703640362</c:v>
                </c:pt>
                <c:pt idx="987">
                  <c:v>100.63646412232491</c:v>
                </c:pt>
                <c:pt idx="988">
                  <c:v>100.63520966201436</c:v>
                </c:pt>
                <c:pt idx="989">
                  <c:v>100.63544553236036</c:v>
                </c:pt>
                <c:pt idx="990">
                  <c:v>100.6437919311652</c:v>
                </c:pt>
                <c:pt idx="991">
                  <c:v>100.64428421210755</c:v>
                </c:pt>
                <c:pt idx="992">
                  <c:v>100.64917686937764</c:v>
                </c:pt>
                <c:pt idx="993">
                  <c:v>100.64503073002548</c:v>
                </c:pt>
                <c:pt idx="994">
                  <c:v>100.63435347889194</c:v>
                </c:pt>
                <c:pt idx="995">
                  <c:v>100.64117950116677</c:v>
                </c:pt>
                <c:pt idx="996">
                  <c:v>100.63893632593316</c:v>
                </c:pt>
                <c:pt idx="997">
                  <c:v>100.65800115540151</c:v>
                </c:pt>
                <c:pt idx="998">
                  <c:v>100.66677924124733</c:v>
                </c:pt>
                <c:pt idx="999">
                  <c:v>100.66595192416206</c:v>
                </c:pt>
                <c:pt idx="1000">
                  <c:v>100.66732228153975</c:v>
                </c:pt>
                <c:pt idx="1001">
                  <c:v>100.66406963745624</c:v>
                </c:pt>
                <c:pt idx="1002">
                  <c:v>100.66988233982045</c:v>
                </c:pt>
                <c:pt idx="1003">
                  <c:v>100.6708917055815</c:v>
                </c:pt>
                <c:pt idx="1004">
                  <c:v>100.67187673206962</c:v>
                </c:pt>
                <c:pt idx="1005">
                  <c:v>100.66940302674932</c:v>
                </c:pt>
                <c:pt idx="1006">
                  <c:v>100.66983631242854</c:v>
                </c:pt>
                <c:pt idx="1007">
                  <c:v>100.63457917965495</c:v>
                </c:pt>
                <c:pt idx="1008">
                  <c:v>100.63047345588465</c:v>
                </c:pt>
                <c:pt idx="1009">
                  <c:v>100.63</c:v>
                </c:pt>
                <c:pt idx="1010">
                  <c:v>100.63287960063253</c:v>
                </c:pt>
                <c:pt idx="1011">
                  <c:v>100.62171315377488</c:v>
                </c:pt>
                <c:pt idx="1012">
                  <c:v>100.61440760763368</c:v>
                </c:pt>
                <c:pt idx="1013">
                  <c:v>100.62250916626813</c:v>
                </c:pt>
                <c:pt idx="1014">
                  <c:v>100.62090163934427</c:v>
                </c:pt>
                <c:pt idx="1015">
                  <c:v>100.62279779540603</c:v>
                </c:pt>
                <c:pt idx="1016">
                  <c:v>100.61984267137582</c:v>
                </c:pt>
                <c:pt idx="1017">
                  <c:v>100.62626262626263</c:v>
                </c:pt>
                <c:pt idx="1018">
                  <c:v>100.62805893255427</c:v>
                </c:pt>
                <c:pt idx="1019">
                  <c:v>100.62921207566077</c:v>
                </c:pt>
                <c:pt idx="1020">
                  <c:v>100.63712149074415</c:v>
                </c:pt>
                <c:pt idx="1021">
                  <c:v>100.64466852735512</c:v>
                </c:pt>
                <c:pt idx="1022">
                  <c:v>100.64511584689626</c:v>
                </c:pt>
                <c:pt idx="1023">
                  <c:v>100.64607060652258</c:v>
                </c:pt>
                <c:pt idx="1024">
                  <c:v>100.64670426401695</c:v>
                </c:pt>
                <c:pt idx="1025">
                  <c:v>100.64738817082613</c:v>
                </c:pt>
                <c:pt idx="1026">
                  <c:v>100.64434832236941</c:v>
                </c:pt>
                <c:pt idx="1027">
                  <c:v>100.6429325371694</c:v>
                </c:pt>
                <c:pt idx="1028">
                  <c:v>100.64553020777198</c:v>
                </c:pt>
                <c:pt idx="1029">
                  <c:v>100.65362899686978</c:v>
                </c:pt>
                <c:pt idx="1030">
                  <c:v>100.6549915496241</c:v>
                </c:pt>
                <c:pt idx="1031">
                  <c:v>100.65178518910652</c:v>
                </c:pt>
                <c:pt idx="1032">
                  <c:v>100.65077866918358</c:v>
                </c:pt>
                <c:pt idx="1033">
                  <c:v>100.65418540802617</c:v>
                </c:pt>
                <c:pt idx="1034">
                  <c:v>100.65073746312684</c:v>
                </c:pt>
                <c:pt idx="1035">
                  <c:v>100.65775401069519</c:v>
                </c:pt>
                <c:pt idx="1036">
                  <c:v>100.65817887868815</c:v>
                </c:pt>
                <c:pt idx="1037">
                  <c:v>100.65414500204476</c:v>
                </c:pt>
                <c:pt idx="1038">
                  <c:v>100.64094010614102</c:v>
                </c:pt>
                <c:pt idx="1039">
                  <c:v>100.64265234056681</c:v>
                </c:pt>
                <c:pt idx="1040">
                  <c:v>100.64177659445721</c:v>
                </c:pt>
                <c:pt idx="1041">
                  <c:v>100.64250128325131</c:v>
                </c:pt>
                <c:pt idx="1042">
                  <c:v>100.63444379264565</c:v>
                </c:pt>
                <c:pt idx="1043">
                  <c:v>100.63876006834269</c:v>
                </c:pt>
                <c:pt idx="1044">
                  <c:v>100.63456790123456</c:v>
                </c:pt>
                <c:pt idx="1045">
                  <c:v>100.63569230769231</c:v>
                </c:pt>
                <c:pt idx="1046">
                  <c:v>100.64264155499215</c:v>
                </c:pt>
                <c:pt idx="1047">
                  <c:v>100.63513097072419</c:v>
                </c:pt>
                <c:pt idx="1048">
                  <c:v>100.63415010969317</c:v>
                </c:pt>
                <c:pt idx="1049">
                  <c:v>100.63925535480332</c:v>
                </c:pt>
                <c:pt idx="1050">
                  <c:v>100.63221818407729</c:v>
                </c:pt>
                <c:pt idx="1051">
                  <c:v>100.63367470065901</c:v>
                </c:pt>
                <c:pt idx="1052">
                  <c:v>100.63209247405382</c:v>
                </c:pt>
                <c:pt idx="1053">
                  <c:v>100.63279990075672</c:v>
                </c:pt>
                <c:pt idx="1054">
                  <c:v>100.62703962703962</c:v>
                </c:pt>
                <c:pt idx="1055">
                  <c:v>100.6281523821488</c:v>
                </c:pt>
                <c:pt idx="1056">
                  <c:v>100.63314122823326</c:v>
                </c:pt>
                <c:pt idx="1057">
                  <c:v>100.63252638112974</c:v>
                </c:pt>
                <c:pt idx="1058">
                  <c:v>100.62647485645782</c:v>
                </c:pt>
                <c:pt idx="1059">
                  <c:v>100.6330957545708</c:v>
                </c:pt>
                <c:pt idx="1060">
                  <c:v>100.62456796778388</c:v>
                </c:pt>
                <c:pt idx="1061">
                  <c:v>100.61976942098333</c:v>
                </c:pt>
                <c:pt idx="1062">
                  <c:v>100.61364007178985</c:v>
                </c:pt>
                <c:pt idx="1063">
                  <c:v>100.61597093834128</c:v>
                </c:pt>
                <c:pt idx="1064">
                  <c:v>100.61303395757754</c:v>
                </c:pt>
                <c:pt idx="1065">
                  <c:v>100.60906029188403</c:v>
                </c:pt>
                <c:pt idx="1066">
                  <c:v>100.61006455012514</c:v>
                </c:pt>
                <c:pt idx="1067">
                  <c:v>100.61333725221253</c:v>
                </c:pt>
                <c:pt idx="1068">
                  <c:v>100.62452034376685</c:v>
                </c:pt>
                <c:pt idx="1069">
                  <c:v>100.62168897977442</c:v>
                </c:pt>
                <c:pt idx="1070">
                  <c:v>100.62194265278754</c:v>
                </c:pt>
                <c:pt idx="1071">
                  <c:v>100.58754267400543</c:v>
                </c:pt>
                <c:pt idx="1072">
                  <c:v>100.59168189812739</c:v>
                </c:pt>
                <c:pt idx="1073">
                  <c:v>100.59944517744172</c:v>
                </c:pt>
                <c:pt idx="1074">
                  <c:v>100.59744322045424</c:v>
                </c:pt>
                <c:pt idx="1075">
                  <c:v>100.60410606212592</c:v>
                </c:pt>
                <c:pt idx="1076">
                  <c:v>100.61238787402606</c:v>
                </c:pt>
                <c:pt idx="1077">
                  <c:v>100.6127175192987</c:v>
                </c:pt>
                <c:pt idx="1078">
                  <c:v>100.60899573990291</c:v>
                </c:pt>
                <c:pt idx="1079">
                  <c:v>100.60070147038985</c:v>
                </c:pt>
                <c:pt idx="1080">
                  <c:v>100.60086299892126</c:v>
                </c:pt>
                <c:pt idx="1081">
                  <c:v>100.6051490695658</c:v>
                </c:pt>
                <c:pt idx="1082">
                  <c:v>100.61194323358788</c:v>
                </c:pt>
                <c:pt idx="1083">
                  <c:v>100.62052498317361</c:v>
                </c:pt>
                <c:pt idx="1084">
                  <c:v>100.61991589355077</c:v>
                </c:pt>
                <c:pt idx="1085">
                  <c:v>100.62588473205258</c:v>
                </c:pt>
                <c:pt idx="1086">
                  <c:v>100.63882618510158</c:v>
                </c:pt>
                <c:pt idx="1087">
                  <c:v>100.63349326729609</c:v>
                </c:pt>
                <c:pt idx="1088">
                  <c:v>100.63561382451606</c:v>
                </c:pt>
                <c:pt idx="1089">
                  <c:v>100.63741042445029</c:v>
                </c:pt>
                <c:pt idx="1090">
                  <c:v>100.64179826949839</c:v>
                </c:pt>
                <c:pt idx="1091">
                  <c:v>100.64404894327031</c:v>
                </c:pt>
                <c:pt idx="1092">
                  <c:v>100.64724109164581</c:v>
                </c:pt>
                <c:pt idx="1093">
                  <c:v>100.64660936007641</c:v>
                </c:pt>
                <c:pt idx="1094">
                  <c:v>100.64505201307072</c:v>
                </c:pt>
                <c:pt idx="1095">
                  <c:v>100.65036617056461</c:v>
                </c:pt>
                <c:pt idx="1096">
                  <c:v>100.63680981595093</c:v>
                </c:pt>
                <c:pt idx="1097">
                  <c:v>100.63715485274739</c:v>
                </c:pt>
                <c:pt idx="1098">
                  <c:v>100.62590837282781</c:v>
                </c:pt>
                <c:pt idx="1099">
                  <c:v>100.6264159278074</c:v>
                </c:pt>
                <c:pt idx="1100">
                  <c:v>100.62127754853981</c:v>
                </c:pt>
                <c:pt idx="1101">
                  <c:v>100.61387946777981</c:v>
                </c:pt>
                <c:pt idx="1102">
                  <c:v>100.62112</c:v>
                </c:pt>
                <c:pt idx="1103">
                  <c:v>100.6128694742349</c:v>
                </c:pt>
                <c:pt idx="1104">
                  <c:v>100.61478396668402</c:v>
                </c:pt>
                <c:pt idx="1105">
                  <c:v>100.6147338279318</c:v>
                </c:pt>
                <c:pt idx="1106">
                  <c:v>100.6131603881465</c:v>
                </c:pt>
                <c:pt idx="1107">
                  <c:v>100.59872568291195</c:v>
                </c:pt>
                <c:pt idx="1108">
                  <c:v>100.60385438972163</c:v>
                </c:pt>
                <c:pt idx="1109">
                  <c:v>100.60232425351829</c:v>
                </c:pt>
                <c:pt idx="1110">
                  <c:v>100.6052017339113</c:v>
                </c:pt>
                <c:pt idx="1111">
                  <c:v>100.61375350688328</c:v>
                </c:pt>
                <c:pt idx="1112">
                  <c:v>100.61343193430955</c:v>
                </c:pt>
                <c:pt idx="1113">
                  <c:v>100.60927960927961</c:v>
                </c:pt>
                <c:pt idx="1114">
                  <c:v>100.61694004982368</c:v>
                </c:pt>
                <c:pt idx="1115">
                  <c:v>100.62056146647866</c:v>
                </c:pt>
                <c:pt idx="1116">
                  <c:v>100.61843377376732</c:v>
                </c:pt>
                <c:pt idx="1117">
                  <c:v>100.61849524730144</c:v>
                </c:pt>
                <c:pt idx="1118">
                  <c:v>100.61623233501879</c:v>
                </c:pt>
                <c:pt idx="1119">
                  <c:v>100.60819352063271</c:v>
                </c:pt>
                <c:pt idx="1120">
                  <c:v>100.59903823360087</c:v>
                </c:pt>
                <c:pt idx="1121">
                  <c:v>100.60324375041887</c:v>
                </c:pt>
                <c:pt idx="1122">
                  <c:v>100.60593756240431</c:v>
                </c:pt>
                <c:pt idx="1123">
                  <c:v>100.60125282053009</c:v>
                </c:pt>
                <c:pt idx="1124">
                  <c:v>100.59369959850383</c:v>
                </c:pt>
                <c:pt idx="1125">
                  <c:v>100.59829001832124</c:v>
                </c:pt>
                <c:pt idx="1126">
                  <c:v>100.59627646878303</c:v>
                </c:pt>
                <c:pt idx="1127">
                  <c:v>100.58738456177035</c:v>
                </c:pt>
                <c:pt idx="1128">
                  <c:v>100.59276329366445</c:v>
                </c:pt>
                <c:pt idx="1129">
                  <c:v>100.59093421779988</c:v>
                </c:pt>
                <c:pt idx="1130">
                  <c:v>100.60168208578638</c:v>
                </c:pt>
                <c:pt idx="1131">
                  <c:v>100.61845836555813</c:v>
                </c:pt>
                <c:pt idx="1132">
                  <c:v>100.62098658727872</c:v>
                </c:pt>
                <c:pt idx="1133">
                  <c:v>100.61764515920687</c:v>
                </c:pt>
                <c:pt idx="1134">
                  <c:v>100.61401792991035</c:v>
                </c:pt>
                <c:pt idx="1135">
                  <c:v>100.61041097693396</c:v>
                </c:pt>
                <c:pt idx="1136">
                  <c:v>100.62024504458272</c:v>
                </c:pt>
                <c:pt idx="1137">
                  <c:v>100.66603672467774</c:v>
                </c:pt>
                <c:pt idx="1138">
                  <c:v>100.67514473070486</c:v>
                </c:pt>
                <c:pt idx="1139">
                  <c:v>100.67432265162977</c:v>
                </c:pt>
                <c:pt idx="1140">
                  <c:v>100.67539410555175</c:v>
                </c:pt>
                <c:pt idx="1141">
                  <c:v>100.68332932145819</c:v>
                </c:pt>
                <c:pt idx="1142">
                  <c:v>100.68365929250828</c:v>
                </c:pt>
                <c:pt idx="1143">
                  <c:v>100.68048359240069</c:v>
                </c:pt>
                <c:pt idx="1144">
                  <c:v>100.68256947144063</c:v>
                </c:pt>
                <c:pt idx="1145">
                  <c:v>100.68438449645465</c:v>
                </c:pt>
                <c:pt idx="1146">
                  <c:v>100.68608319855768</c:v>
                </c:pt>
                <c:pt idx="1147">
                  <c:v>100.68991435979362</c:v>
                </c:pt>
                <c:pt idx="1148">
                  <c:v>100.68462829289082</c:v>
                </c:pt>
                <c:pt idx="1149">
                  <c:v>100.68288828775745</c:v>
                </c:pt>
                <c:pt idx="1150">
                  <c:v>100.6875948231507</c:v>
                </c:pt>
                <c:pt idx="1151">
                  <c:v>100.69139342125841</c:v>
                </c:pt>
                <c:pt idx="1152">
                  <c:v>100.68853580259905</c:v>
                </c:pt>
                <c:pt idx="1153">
                  <c:v>100.68726062495047</c:v>
                </c:pt>
                <c:pt idx="1154">
                  <c:v>100.69276279938759</c:v>
                </c:pt>
                <c:pt idx="1155">
                  <c:v>100.69230769230769</c:v>
                </c:pt>
                <c:pt idx="1156">
                  <c:v>100.68855218855219</c:v>
                </c:pt>
                <c:pt idx="1157">
                  <c:v>100.69298984843967</c:v>
                </c:pt>
                <c:pt idx="1158">
                  <c:v>100.69215569017966</c:v>
                </c:pt>
                <c:pt idx="1159">
                  <c:v>100.69063545150502</c:v>
                </c:pt>
                <c:pt idx="1160">
                  <c:v>100.6947116004435</c:v>
                </c:pt>
                <c:pt idx="1161">
                  <c:v>100.68849483017181</c:v>
                </c:pt>
                <c:pt idx="1162">
                  <c:v>100.687235841082</c:v>
                </c:pt>
                <c:pt idx="1163">
                  <c:v>100.67957565424481</c:v>
                </c:pt>
                <c:pt idx="1164">
                  <c:v>100.67682943472445</c:v>
                </c:pt>
                <c:pt idx="1165">
                  <c:v>100.68362548097477</c:v>
                </c:pt>
                <c:pt idx="1166">
                  <c:v>100.68050083652652</c:v>
                </c:pt>
                <c:pt idx="1167">
                  <c:v>100.68287130038837</c:v>
                </c:pt>
                <c:pt idx="1168">
                  <c:v>100.6816519681652</c:v>
                </c:pt>
                <c:pt idx="1169">
                  <c:v>100.68438028976236</c:v>
                </c:pt>
                <c:pt idx="1170">
                  <c:v>100.68277783731648</c:v>
                </c:pt>
                <c:pt idx="1171">
                  <c:v>100.68717799677667</c:v>
                </c:pt>
                <c:pt idx="1172">
                  <c:v>100.68435925461864</c:v>
                </c:pt>
                <c:pt idx="1173">
                  <c:v>100.68349862332593</c:v>
                </c:pt>
                <c:pt idx="1174">
                  <c:v>100.68082812163037</c:v>
                </c:pt>
                <c:pt idx="1175">
                  <c:v>100.67769157479243</c:v>
                </c:pt>
                <c:pt idx="1176">
                  <c:v>100.68048359240069</c:v>
                </c:pt>
                <c:pt idx="1177">
                  <c:v>100.68392108705518</c:v>
                </c:pt>
                <c:pt idx="1178">
                  <c:v>100.68180596613813</c:v>
                </c:pt>
                <c:pt idx="1179">
                  <c:v>100.68022038865107</c:v>
                </c:pt>
                <c:pt idx="1180">
                  <c:v>100.68193418401611</c:v>
                </c:pt>
                <c:pt idx="1181">
                  <c:v>100.68597496286866</c:v>
                </c:pt>
                <c:pt idx="1182">
                  <c:v>100.68376913009801</c:v>
                </c:pt>
                <c:pt idx="1183">
                  <c:v>100.6894018887723</c:v>
                </c:pt>
                <c:pt idx="1184">
                  <c:v>100.69129686603745</c:v>
                </c:pt>
                <c:pt idx="1185">
                  <c:v>100.6905788579642</c:v>
                </c:pt>
                <c:pt idx="1186">
                  <c:v>100.69034417826133</c:v>
                </c:pt>
                <c:pt idx="1187">
                  <c:v>100.6925553737893</c:v>
                </c:pt>
                <c:pt idx="1188">
                  <c:v>100.69122440996219</c:v>
                </c:pt>
                <c:pt idx="1189">
                  <c:v>100.69329603149933</c:v>
                </c:pt>
                <c:pt idx="1190">
                  <c:v>100.68473745872829</c:v>
                </c:pt>
                <c:pt idx="1191">
                  <c:v>100.69602834330313</c:v>
                </c:pt>
                <c:pt idx="1192">
                  <c:v>100.69732603916356</c:v>
                </c:pt>
                <c:pt idx="1193">
                  <c:v>100.69625448948179</c:v>
                </c:pt>
                <c:pt idx="1194">
                  <c:v>100.69640247185825</c:v>
                </c:pt>
                <c:pt idx="1195">
                  <c:v>100.73399236126713</c:v>
                </c:pt>
                <c:pt idx="1196">
                  <c:v>100.73002553812478</c:v>
                </c:pt>
                <c:pt idx="1197">
                  <c:v>100.72420861382219</c:v>
                </c:pt>
                <c:pt idx="1198">
                  <c:v>100.72424715280528</c:v>
                </c:pt>
                <c:pt idx="1199">
                  <c:v>100.71928493527432</c:v>
                </c:pt>
                <c:pt idx="1200">
                  <c:v>100.72000851325467</c:v>
                </c:pt>
                <c:pt idx="1201">
                  <c:v>100.72012102874433</c:v>
                </c:pt>
                <c:pt idx="1202">
                  <c:v>100.7188917115791</c:v>
                </c:pt>
                <c:pt idx="1203">
                  <c:v>100.71748985922214</c:v>
                </c:pt>
                <c:pt idx="1204">
                  <c:v>100.72263868065967</c:v>
                </c:pt>
                <c:pt idx="1205">
                  <c:v>100.72699393576056</c:v>
                </c:pt>
                <c:pt idx="1206">
                  <c:v>100.7264641330715</c:v>
                </c:pt>
                <c:pt idx="1207">
                  <c:v>100.72530277017307</c:v>
                </c:pt>
                <c:pt idx="1208">
                  <c:v>100.72263218310025</c:v>
                </c:pt>
                <c:pt idx="1209">
                  <c:v>100.72610345146664</c:v>
                </c:pt>
                <c:pt idx="1210">
                  <c:v>100.72206572769953</c:v>
                </c:pt>
                <c:pt idx="1211">
                  <c:v>100.72156899633148</c:v>
                </c:pt>
                <c:pt idx="1212">
                  <c:v>100.71923833914302</c:v>
                </c:pt>
                <c:pt idx="1213">
                  <c:v>100.72066248289529</c:v>
                </c:pt>
                <c:pt idx="1214">
                  <c:v>100.72569098533467</c:v>
                </c:pt>
                <c:pt idx="1215">
                  <c:v>100.72312513153895</c:v>
                </c:pt>
                <c:pt idx="1216">
                  <c:v>100.72171951018873</c:v>
                </c:pt>
                <c:pt idx="1217">
                  <c:v>100.72555746140652</c:v>
                </c:pt>
                <c:pt idx="1218">
                  <c:v>100.72243711465879</c:v>
                </c:pt>
                <c:pt idx="1219">
                  <c:v>100.72415721175128</c:v>
                </c:pt>
                <c:pt idx="1220">
                  <c:v>100.72523902348463</c:v>
                </c:pt>
                <c:pt idx="1221">
                  <c:v>100.72528364927261</c:v>
                </c:pt>
                <c:pt idx="1222">
                  <c:v>100.72880734785497</c:v>
                </c:pt>
                <c:pt idx="1223">
                  <c:v>100.72514972839964</c:v>
                </c:pt>
                <c:pt idx="1224">
                  <c:v>100.72268415505329</c:v>
                </c:pt>
                <c:pt idx="1225">
                  <c:v>100.72042502951594</c:v>
                </c:pt>
                <c:pt idx="1226">
                  <c:v>100.72172605057817</c:v>
                </c:pt>
                <c:pt idx="1227">
                  <c:v>100.72514334795831</c:v>
                </c:pt>
                <c:pt idx="1228">
                  <c:v>100.72653994503084</c:v>
                </c:pt>
                <c:pt idx="1229">
                  <c:v>100.72459992556755</c:v>
                </c:pt>
                <c:pt idx="1230">
                  <c:v>100.72053721056483</c:v>
                </c:pt>
                <c:pt idx="1231">
                  <c:v>100.72288536254271</c:v>
                </c:pt>
                <c:pt idx="1232">
                  <c:v>100.72324162595545</c:v>
                </c:pt>
                <c:pt idx="1233">
                  <c:v>100.730535515146</c:v>
                </c:pt>
                <c:pt idx="1234">
                  <c:v>100.72776602593581</c:v>
                </c:pt>
                <c:pt idx="1235">
                  <c:v>100.72862087143872</c:v>
                </c:pt>
                <c:pt idx="1236">
                  <c:v>100.73452319558734</c:v>
                </c:pt>
                <c:pt idx="1237">
                  <c:v>100.73142183104981</c:v>
                </c:pt>
                <c:pt idx="1238">
                  <c:v>100.73097023403771</c:v>
                </c:pt>
                <c:pt idx="1239">
                  <c:v>100.729742068021</c:v>
                </c:pt>
                <c:pt idx="1240">
                  <c:v>100.7245614851347</c:v>
                </c:pt>
                <c:pt idx="1241">
                  <c:v>100.72724550208483</c:v>
                </c:pt>
                <c:pt idx="1242">
                  <c:v>100.72930336770388</c:v>
                </c:pt>
                <c:pt idx="1243">
                  <c:v>100.7295012679628</c:v>
                </c:pt>
                <c:pt idx="1244">
                  <c:v>100.72846527841483</c:v>
                </c:pt>
                <c:pt idx="1245">
                  <c:v>100.72888807473896</c:v>
                </c:pt>
                <c:pt idx="1246">
                  <c:v>100.72445892483128</c:v>
                </c:pt>
                <c:pt idx="1247">
                  <c:v>100.72743387278713</c:v>
                </c:pt>
                <c:pt idx="1248">
                  <c:v>100.73303871389597</c:v>
                </c:pt>
                <c:pt idx="1249">
                  <c:v>100.74010580152337</c:v>
                </c:pt>
                <c:pt idx="1250">
                  <c:v>100.74568808127671</c:v>
                </c:pt>
                <c:pt idx="1251">
                  <c:v>100.74327283765911</c:v>
                </c:pt>
                <c:pt idx="1252">
                  <c:v>100.7509884748044</c:v>
                </c:pt>
                <c:pt idx="1253">
                  <c:v>100.75487049957557</c:v>
                </c:pt>
                <c:pt idx="1254">
                  <c:v>100.75742675681212</c:v>
                </c:pt>
                <c:pt idx="1255">
                  <c:v>100.75737704918033</c:v>
                </c:pt>
                <c:pt idx="1256">
                  <c:v>100.75751121305835</c:v>
                </c:pt>
                <c:pt idx="1257">
                  <c:v>100.75444854618607</c:v>
                </c:pt>
                <c:pt idx="1258">
                  <c:v>100.77635903441502</c:v>
                </c:pt>
                <c:pt idx="1259">
                  <c:v>100.77719651493197</c:v>
                </c:pt>
                <c:pt idx="1260">
                  <c:v>100.77491778035473</c:v>
                </c:pt>
                <c:pt idx="1261">
                  <c:v>100.77618147448015</c:v>
                </c:pt>
                <c:pt idx="1262">
                  <c:v>100.77941724420597</c:v>
                </c:pt>
                <c:pt idx="1263">
                  <c:v>100.77916627809381</c:v>
                </c:pt>
                <c:pt idx="1264">
                  <c:v>100.77870399790666</c:v>
                </c:pt>
                <c:pt idx="1265">
                  <c:v>100.77740176724949</c:v>
                </c:pt>
                <c:pt idx="1266">
                  <c:v>100.77951993445187</c:v>
                </c:pt>
                <c:pt idx="1267">
                  <c:v>100.77637593019303</c:v>
                </c:pt>
                <c:pt idx="1268">
                  <c:v>100.77344916000153</c:v>
                </c:pt>
                <c:pt idx="1269">
                  <c:v>100.77404580152671</c:v>
                </c:pt>
                <c:pt idx="1270">
                  <c:v>100.77552800212338</c:v>
                </c:pt>
                <c:pt idx="1271">
                  <c:v>100.77486642201137</c:v>
                </c:pt>
                <c:pt idx="1272">
                  <c:v>100.77646037080392</c:v>
                </c:pt>
                <c:pt idx="1273">
                  <c:v>100.77724262492474</c:v>
                </c:pt>
                <c:pt idx="1274">
                  <c:v>100.77878255670565</c:v>
                </c:pt>
                <c:pt idx="1275">
                  <c:v>100.77869986168741</c:v>
                </c:pt>
                <c:pt idx="1276">
                  <c:v>100.77782781655783</c:v>
                </c:pt>
                <c:pt idx="1277">
                  <c:v>100.77044476327116</c:v>
                </c:pt>
                <c:pt idx="1278">
                  <c:v>100.76055170182215</c:v>
                </c:pt>
                <c:pt idx="1279">
                  <c:v>100.74448065261022</c:v>
                </c:pt>
                <c:pt idx="1280">
                  <c:v>100.74612432189035</c:v>
                </c:pt>
                <c:pt idx="1281">
                  <c:v>100.76356411126865</c:v>
                </c:pt>
                <c:pt idx="1282">
                  <c:v>100.77159172019985</c:v>
                </c:pt>
                <c:pt idx="1283">
                  <c:v>100.77143298391923</c:v>
                </c:pt>
                <c:pt idx="1284">
                  <c:v>100.76915128000157</c:v>
                </c:pt>
                <c:pt idx="1285">
                  <c:v>100.76154992548435</c:v>
                </c:pt>
                <c:pt idx="1286">
                  <c:v>100.76809323278817</c:v>
                </c:pt>
                <c:pt idx="1287">
                  <c:v>100.76541448724045</c:v>
                </c:pt>
                <c:pt idx="1288">
                  <c:v>100.7627254509018</c:v>
                </c:pt>
                <c:pt idx="1289">
                  <c:v>100.77122541252849</c:v>
                </c:pt>
                <c:pt idx="1290">
                  <c:v>100.77093772369363</c:v>
                </c:pt>
                <c:pt idx="1291">
                  <c:v>100.77328431372548</c:v>
                </c:pt>
                <c:pt idx="1292">
                  <c:v>100.77636748262314</c:v>
                </c:pt>
                <c:pt idx="1293">
                  <c:v>100.77291035329318</c:v>
                </c:pt>
                <c:pt idx="1294">
                  <c:v>100.773340735494</c:v>
                </c:pt>
                <c:pt idx="1295">
                  <c:v>100.77549820815715</c:v>
                </c:pt>
                <c:pt idx="1296">
                  <c:v>100.78028095830163</c:v>
                </c:pt>
                <c:pt idx="1297">
                  <c:v>100.78084625920853</c:v>
                </c:pt>
                <c:pt idx="1298">
                  <c:v>100.78409526067215</c:v>
                </c:pt>
                <c:pt idx="1299">
                  <c:v>100.78008915304606</c:v>
                </c:pt>
                <c:pt idx="1300">
                  <c:v>100.77913332214077</c:v>
                </c:pt>
                <c:pt idx="1301">
                  <c:v>100.77817330210773</c:v>
                </c:pt>
                <c:pt idx="1302">
                  <c:v>100.77415355269433</c:v>
                </c:pt>
                <c:pt idx="1303">
                  <c:v>100.76510732849263</c:v>
                </c:pt>
                <c:pt idx="1304">
                  <c:v>100.7613240066926</c:v>
                </c:pt>
                <c:pt idx="1305">
                  <c:v>100.76870030670652</c:v>
                </c:pt>
                <c:pt idx="1306">
                  <c:v>100.77262252266092</c:v>
                </c:pt>
                <c:pt idx="1307">
                  <c:v>100.77766928305854</c:v>
                </c:pt>
                <c:pt idx="1308">
                  <c:v>100.78222483814008</c:v>
                </c:pt>
                <c:pt idx="1309">
                  <c:v>100.77971273349706</c:v>
                </c:pt>
                <c:pt idx="1310">
                  <c:v>100.78152563014356</c:v>
                </c:pt>
                <c:pt idx="1311">
                  <c:v>100.77792782654363</c:v>
                </c:pt>
                <c:pt idx="1312">
                  <c:v>100.78065950351983</c:v>
                </c:pt>
                <c:pt idx="1313">
                  <c:v>100.7848016139879</c:v>
                </c:pt>
                <c:pt idx="1314">
                  <c:v>100.78429586445618</c:v>
                </c:pt>
                <c:pt idx="1315">
                  <c:v>100.78268450709396</c:v>
                </c:pt>
                <c:pt idx="1316">
                  <c:v>100.78948865656781</c:v>
                </c:pt>
                <c:pt idx="1317">
                  <c:v>100.79255729203167</c:v>
                </c:pt>
                <c:pt idx="1318">
                  <c:v>100.79342231527524</c:v>
                </c:pt>
                <c:pt idx="1319">
                  <c:v>100.78890315218942</c:v>
                </c:pt>
                <c:pt idx="1320">
                  <c:v>100.78696223257822</c:v>
                </c:pt>
                <c:pt idx="1321">
                  <c:v>100.79003741731836</c:v>
                </c:pt>
                <c:pt idx="1322">
                  <c:v>100.80234712785671</c:v>
                </c:pt>
                <c:pt idx="1323">
                  <c:v>100.80545833949492</c:v>
                </c:pt>
                <c:pt idx="1324">
                  <c:v>100.80622248408373</c:v>
                </c:pt>
                <c:pt idx="1325">
                  <c:v>100.8081348241776</c:v>
                </c:pt>
                <c:pt idx="1326">
                  <c:v>100.8110286489506</c:v>
                </c:pt>
                <c:pt idx="1327">
                  <c:v>100.81083240134207</c:v>
                </c:pt>
                <c:pt idx="1328">
                  <c:v>100.81156998488103</c:v>
                </c:pt>
                <c:pt idx="1329">
                  <c:v>100.81065391565784</c:v>
                </c:pt>
                <c:pt idx="1330">
                  <c:v>100.81527420235588</c:v>
                </c:pt>
                <c:pt idx="1331">
                  <c:v>100.81941584686952</c:v>
                </c:pt>
                <c:pt idx="1332">
                  <c:v>100.82043465732441</c:v>
                </c:pt>
                <c:pt idx="1333">
                  <c:v>100.81937176768524</c:v>
                </c:pt>
                <c:pt idx="1334">
                  <c:v>100.82051903953432</c:v>
                </c:pt>
                <c:pt idx="1335">
                  <c:v>100.82413665057557</c:v>
                </c:pt>
                <c:pt idx="1336">
                  <c:v>100.82211538461539</c:v>
                </c:pt>
                <c:pt idx="1337">
                  <c:v>100.81567681170701</c:v>
                </c:pt>
                <c:pt idx="1338">
                  <c:v>100.81723036075392</c:v>
                </c:pt>
                <c:pt idx="1339">
                  <c:v>100.81594901290222</c:v>
                </c:pt>
                <c:pt idx="1340">
                  <c:v>100.82156313108479</c:v>
                </c:pt>
                <c:pt idx="1341">
                  <c:v>100.82095059506707</c:v>
                </c:pt>
                <c:pt idx="1342">
                  <c:v>100.82287381255142</c:v>
                </c:pt>
                <c:pt idx="1343">
                  <c:v>100.82562335233214</c:v>
                </c:pt>
                <c:pt idx="1344">
                  <c:v>100.82358638158385</c:v>
                </c:pt>
                <c:pt idx="1345">
                  <c:v>100.82468090147185</c:v>
                </c:pt>
                <c:pt idx="1346">
                  <c:v>100.82413926269197</c:v>
                </c:pt>
                <c:pt idx="1347">
                  <c:v>100.82190132370638</c:v>
                </c:pt>
                <c:pt idx="1348">
                  <c:v>100.82564132771773</c:v>
                </c:pt>
                <c:pt idx="1349">
                  <c:v>100.82485466191329</c:v>
                </c:pt>
                <c:pt idx="1350">
                  <c:v>100.82228893058161</c:v>
                </c:pt>
                <c:pt idx="1351">
                  <c:v>100.82397716460514</c:v>
                </c:pt>
                <c:pt idx="1352">
                  <c:v>100.82323873221564</c:v>
                </c:pt>
                <c:pt idx="1353">
                  <c:v>100.82519599013774</c:v>
                </c:pt>
                <c:pt idx="1354">
                  <c:v>100.82189864468479</c:v>
                </c:pt>
                <c:pt idx="1355">
                  <c:v>100.8212344486049</c:v>
                </c:pt>
                <c:pt idx="1356">
                  <c:v>100.81504334921503</c:v>
                </c:pt>
                <c:pt idx="1357">
                  <c:v>100.82003617516074</c:v>
                </c:pt>
                <c:pt idx="1358">
                  <c:v>100.82023563707033</c:v>
                </c:pt>
                <c:pt idx="1359">
                  <c:v>100.82479245897272</c:v>
                </c:pt>
                <c:pt idx="1360">
                  <c:v>100.82345485722806</c:v>
                </c:pt>
                <c:pt idx="1361">
                  <c:v>100.82172433523053</c:v>
                </c:pt>
                <c:pt idx="1362">
                  <c:v>100.82182359934387</c:v>
                </c:pt>
                <c:pt idx="1363">
                  <c:v>100.82145819196261</c:v>
                </c:pt>
                <c:pt idx="1364">
                  <c:v>100.82160614735574</c:v>
                </c:pt>
                <c:pt idx="1365">
                  <c:v>100.82136121546795</c:v>
                </c:pt>
                <c:pt idx="1366">
                  <c:v>100.82464454976304</c:v>
                </c:pt>
                <c:pt idx="1367">
                  <c:v>100.8293874374973</c:v>
                </c:pt>
                <c:pt idx="1368">
                  <c:v>100.82817420581364</c:v>
                </c:pt>
                <c:pt idx="1369">
                  <c:v>100.82482356596488</c:v>
                </c:pt>
                <c:pt idx="1370">
                  <c:v>100.81412581045228</c:v>
                </c:pt>
                <c:pt idx="1371">
                  <c:v>100.81318733334385</c:v>
                </c:pt>
                <c:pt idx="1372">
                  <c:v>100.81285070734214</c:v>
                </c:pt>
                <c:pt idx="1373">
                  <c:v>100.80524393854657</c:v>
                </c:pt>
                <c:pt idx="1374">
                  <c:v>100.80495840540318</c:v>
                </c:pt>
                <c:pt idx="1375">
                  <c:v>100.808333603134</c:v>
                </c:pt>
                <c:pt idx="1376">
                  <c:v>100.80838013238602</c:v>
                </c:pt>
                <c:pt idx="1377">
                  <c:v>100.79649713824101</c:v>
                </c:pt>
                <c:pt idx="1378">
                  <c:v>100.80033726812816</c:v>
                </c:pt>
                <c:pt idx="1379">
                  <c:v>100.7923462766144</c:v>
                </c:pt>
                <c:pt idx="1380">
                  <c:v>100.79390057095112</c:v>
                </c:pt>
                <c:pt idx="1381">
                  <c:v>100.79292372807248</c:v>
                </c:pt>
                <c:pt idx="1382">
                  <c:v>100.79409411846544</c:v>
                </c:pt>
                <c:pt idx="1383">
                  <c:v>100.80146886213488</c:v>
                </c:pt>
                <c:pt idx="1384">
                  <c:v>100.80151878363201</c:v>
                </c:pt>
                <c:pt idx="1385">
                  <c:v>100.80307692307693</c:v>
                </c:pt>
                <c:pt idx="1386">
                  <c:v>100.79703437044655</c:v>
                </c:pt>
                <c:pt idx="1387">
                  <c:v>100.8136460218777</c:v>
                </c:pt>
                <c:pt idx="1388">
                  <c:v>100.79829642248723</c:v>
                </c:pt>
                <c:pt idx="1389">
                  <c:v>100.79401889319949</c:v>
                </c:pt>
                <c:pt idx="1390">
                  <c:v>100.7855460967216</c:v>
                </c:pt>
                <c:pt idx="1391">
                  <c:v>100.77705387237087</c:v>
                </c:pt>
                <c:pt idx="1392">
                  <c:v>100.7792115764741</c:v>
                </c:pt>
                <c:pt idx="1393">
                  <c:v>100.76420448887738</c:v>
                </c:pt>
                <c:pt idx="1394">
                  <c:v>100.75742675681212</c:v>
                </c:pt>
                <c:pt idx="1395">
                  <c:v>100.75439251560977</c:v>
                </c:pt>
                <c:pt idx="1396">
                  <c:v>100.75860381666938</c:v>
                </c:pt>
                <c:pt idx="1397">
                  <c:v>100.76499543487753</c:v>
                </c:pt>
                <c:pt idx="1398">
                  <c:v>100.76650627119982</c:v>
                </c:pt>
                <c:pt idx="1399">
                  <c:v>100.77278833237382</c:v>
                </c:pt>
                <c:pt idx="1400">
                  <c:v>100.77831866691631</c:v>
                </c:pt>
                <c:pt idx="1401">
                  <c:v>100.77447619047619</c:v>
                </c:pt>
                <c:pt idx="1402">
                  <c:v>100.77865021499346</c:v>
                </c:pt>
                <c:pt idx="1403">
                  <c:v>100.78838248436104</c:v>
                </c:pt>
                <c:pt idx="1404">
                  <c:v>100.7858718848338</c:v>
                </c:pt>
                <c:pt idx="1405">
                  <c:v>100.78629701826583</c:v>
                </c:pt>
                <c:pt idx="1406">
                  <c:v>100.78672430874538</c:v>
                </c:pt>
                <c:pt idx="1407">
                  <c:v>100.78675503845254</c:v>
                </c:pt>
                <c:pt idx="1408">
                  <c:v>100.78570911460218</c:v>
                </c:pt>
                <c:pt idx="1409">
                  <c:v>100.79552362531086</c:v>
                </c:pt>
                <c:pt idx="1410">
                  <c:v>100.79593595422347</c:v>
                </c:pt>
                <c:pt idx="1411">
                  <c:v>100.79497480475852</c:v>
                </c:pt>
                <c:pt idx="1412">
                  <c:v>100.79413707966756</c:v>
                </c:pt>
                <c:pt idx="1413">
                  <c:v>100.78962331201137</c:v>
                </c:pt>
                <c:pt idx="1414">
                  <c:v>100.78866954628208</c:v>
                </c:pt>
                <c:pt idx="1415">
                  <c:v>100.78837113696892</c:v>
                </c:pt>
                <c:pt idx="1416">
                  <c:v>100.78816667561233</c:v>
                </c:pt>
                <c:pt idx="1417">
                  <c:v>100.79213848071487</c:v>
                </c:pt>
                <c:pt idx="1418">
                  <c:v>100.79350157838743</c:v>
                </c:pt>
                <c:pt idx="1419">
                  <c:v>100.79480780562199</c:v>
                </c:pt>
                <c:pt idx="1420">
                  <c:v>100.79382520417225</c:v>
                </c:pt>
                <c:pt idx="1421">
                  <c:v>100.78835978835978</c:v>
                </c:pt>
                <c:pt idx="1422">
                  <c:v>100.78553832777858</c:v>
                </c:pt>
                <c:pt idx="1423">
                  <c:v>100.78627387270299</c:v>
                </c:pt>
                <c:pt idx="1424">
                  <c:v>100.78875249785898</c:v>
                </c:pt>
                <c:pt idx="1425">
                  <c:v>100.7921457788389</c:v>
                </c:pt>
                <c:pt idx="1426">
                  <c:v>100.79689510249592</c:v>
                </c:pt>
                <c:pt idx="1427">
                  <c:v>100.79581630365426</c:v>
                </c:pt>
                <c:pt idx="1428">
                  <c:v>100.80062641026504</c:v>
                </c:pt>
                <c:pt idx="1429">
                  <c:v>100.80223487948687</c:v>
                </c:pt>
                <c:pt idx="1430">
                  <c:v>100.80055252341486</c:v>
                </c:pt>
                <c:pt idx="1431">
                  <c:v>100.80217209690893</c:v>
                </c:pt>
                <c:pt idx="1432">
                  <c:v>100.80040122051956</c:v>
                </c:pt>
                <c:pt idx="1433">
                  <c:v>100.79800047770158</c:v>
                </c:pt>
                <c:pt idx="1434">
                  <c:v>100.80334839224024</c:v>
                </c:pt>
                <c:pt idx="1435">
                  <c:v>100.79980724684241</c:v>
                </c:pt>
                <c:pt idx="1436">
                  <c:v>100.8008745375042</c:v>
                </c:pt>
                <c:pt idx="1437">
                  <c:v>100.80131894685617</c:v>
                </c:pt>
                <c:pt idx="1438">
                  <c:v>100.80370376510768</c:v>
                </c:pt>
                <c:pt idx="1439">
                  <c:v>100.80742331088774</c:v>
                </c:pt>
                <c:pt idx="1440">
                  <c:v>100.80926298832058</c:v>
                </c:pt>
                <c:pt idx="1441">
                  <c:v>100.81082937896436</c:v>
                </c:pt>
                <c:pt idx="1442">
                  <c:v>100.8136460218777</c:v>
                </c:pt>
                <c:pt idx="1443">
                  <c:v>100.81143494186972</c:v>
                </c:pt>
                <c:pt idx="1444">
                  <c:v>100.81295123145705</c:v>
                </c:pt>
                <c:pt idx="1445">
                  <c:v>100.81236133122029</c:v>
                </c:pt>
                <c:pt idx="1446">
                  <c:v>100.8091861402095</c:v>
                </c:pt>
                <c:pt idx="1447">
                  <c:v>100.81092302778664</c:v>
                </c:pt>
                <c:pt idx="1448">
                  <c:v>100.80806639865128</c:v>
                </c:pt>
                <c:pt idx="1449">
                  <c:v>100.80480406218574</c:v>
                </c:pt>
                <c:pt idx="1450">
                  <c:v>100.80332225913621</c:v>
                </c:pt>
                <c:pt idx="1451">
                  <c:v>100.82049454964448</c:v>
                </c:pt>
                <c:pt idx="1452">
                  <c:v>100.82686261607077</c:v>
                </c:pt>
                <c:pt idx="1453">
                  <c:v>100.82363105523446</c:v>
                </c:pt>
                <c:pt idx="1454">
                  <c:v>100.82352064391117</c:v>
                </c:pt>
                <c:pt idx="1455">
                  <c:v>100.8203583729081</c:v>
                </c:pt>
                <c:pt idx="1456">
                  <c:v>100.82431931152162</c:v>
                </c:pt>
                <c:pt idx="1457">
                  <c:v>100.82581831555719</c:v>
                </c:pt>
                <c:pt idx="1458">
                  <c:v>100.83159571593156</c:v>
                </c:pt>
                <c:pt idx="1459">
                  <c:v>100.83399464408396</c:v>
                </c:pt>
                <c:pt idx="1460">
                  <c:v>100.83508141462259</c:v>
                </c:pt>
                <c:pt idx="1461">
                  <c:v>100.83322064457967</c:v>
                </c:pt>
                <c:pt idx="1462">
                  <c:v>100.8333943095151</c:v>
                </c:pt>
                <c:pt idx="1463">
                  <c:v>100.82970644497821</c:v>
                </c:pt>
                <c:pt idx="1464">
                  <c:v>100.83023872679045</c:v>
                </c:pt>
                <c:pt idx="1465">
                  <c:v>100.83049876882552</c:v>
                </c:pt>
                <c:pt idx="1466">
                  <c:v>100.83153101878202</c:v>
                </c:pt>
                <c:pt idx="1467">
                  <c:v>100.83006817366343</c:v>
                </c:pt>
                <c:pt idx="1468">
                  <c:v>100.83186594717409</c:v>
                </c:pt>
                <c:pt idx="1469">
                  <c:v>100.83285099174137</c:v>
                </c:pt>
                <c:pt idx="1470">
                  <c:v>100.83438474773048</c:v>
                </c:pt>
                <c:pt idx="1471">
                  <c:v>100.83376389980906</c:v>
                </c:pt>
                <c:pt idx="1472">
                  <c:v>100.83619031807302</c:v>
                </c:pt>
                <c:pt idx="1473">
                  <c:v>100.83542755476482</c:v>
                </c:pt>
                <c:pt idx="1474">
                  <c:v>100.83741623640557</c:v>
                </c:pt>
                <c:pt idx="1475">
                  <c:v>100.83681120269041</c:v>
                </c:pt>
                <c:pt idx="1476">
                  <c:v>100.83707841977075</c:v>
                </c:pt>
                <c:pt idx="1477">
                  <c:v>100.83640533893387</c:v>
                </c:pt>
                <c:pt idx="1478">
                  <c:v>100.83705824066938</c:v>
                </c:pt>
                <c:pt idx="1479">
                  <c:v>100.83728440871297</c:v>
                </c:pt>
                <c:pt idx="1480">
                  <c:v>100.83507682021423</c:v>
                </c:pt>
                <c:pt idx="1481">
                  <c:v>100.83446115989038</c:v>
                </c:pt>
                <c:pt idx="1482">
                  <c:v>100.83539552342555</c:v>
                </c:pt>
                <c:pt idx="1483">
                  <c:v>100.83423403242517</c:v>
                </c:pt>
                <c:pt idx="1484">
                  <c:v>100.83498487825953</c:v>
                </c:pt>
                <c:pt idx="1485">
                  <c:v>100.83238720819944</c:v>
                </c:pt>
                <c:pt idx="1486">
                  <c:v>100.83417599193288</c:v>
                </c:pt>
                <c:pt idx="1487">
                  <c:v>100.83459528931854</c:v>
                </c:pt>
                <c:pt idx="1488">
                  <c:v>100.83338024204897</c:v>
                </c:pt>
                <c:pt idx="1489">
                  <c:v>100.8360292488367</c:v>
                </c:pt>
                <c:pt idx="1490">
                  <c:v>100.83060547098546</c:v>
                </c:pt>
                <c:pt idx="1491">
                  <c:v>100.82874334644758</c:v>
                </c:pt>
                <c:pt idx="1492">
                  <c:v>100.83275655060386</c:v>
                </c:pt>
                <c:pt idx="1493">
                  <c:v>100.83454443823365</c:v>
                </c:pt>
                <c:pt idx="1494">
                  <c:v>100.83454906235153</c:v>
                </c:pt>
                <c:pt idx="1495">
                  <c:v>100.8368426854812</c:v>
                </c:pt>
                <c:pt idx="1496">
                  <c:v>100.8373849745914</c:v>
                </c:pt>
                <c:pt idx="1497">
                  <c:v>100.83948156885074</c:v>
                </c:pt>
                <c:pt idx="1498">
                  <c:v>100.83925492485439</c:v>
                </c:pt>
                <c:pt idx="1499">
                  <c:v>100.84124643005592</c:v>
                </c:pt>
                <c:pt idx="1500">
                  <c:v>100.84292499137679</c:v>
                </c:pt>
                <c:pt idx="1501">
                  <c:v>100.84175565683431</c:v>
                </c:pt>
                <c:pt idx="1502">
                  <c:v>100.84056663479795</c:v>
                </c:pt>
                <c:pt idx="1503">
                  <c:v>100.84025903939558</c:v>
                </c:pt>
                <c:pt idx="1504">
                  <c:v>100.83900794082454</c:v>
                </c:pt>
                <c:pt idx="1505">
                  <c:v>100.83914573342209</c:v>
                </c:pt>
                <c:pt idx="1506">
                  <c:v>100.83998918845867</c:v>
                </c:pt>
                <c:pt idx="1507">
                  <c:v>100.84122727028911</c:v>
                </c:pt>
                <c:pt idx="1508">
                  <c:v>100.8409521378773</c:v>
                </c:pt>
                <c:pt idx="1509">
                  <c:v>100.84104395456865</c:v>
                </c:pt>
                <c:pt idx="1510">
                  <c:v>100.83991563121104</c:v>
                </c:pt>
                <c:pt idx="1511">
                  <c:v>100.83904076999416</c:v>
                </c:pt>
                <c:pt idx="1512">
                  <c:v>100.8392767453541</c:v>
                </c:pt>
                <c:pt idx="1513">
                  <c:v>100.84268080413494</c:v>
                </c:pt>
                <c:pt idx="1514">
                  <c:v>100.84396621025026</c:v>
                </c:pt>
                <c:pt idx="1515">
                  <c:v>100.84578112381796</c:v>
                </c:pt>
                <c:pt idx="1516">
                  <c:v>100.8443293276184</c:v>
                </c:pt>
                <c:pt idx="1517">
                  <c:v>100.84310399660765</c:v>
                </c:pt>
                <c:pt idx="1518">
                  <c:v>100.84436820589666</c:v>
                </c:pt>
                <c:pt idx="1519">
                  <c:v>100.845426773545</c:v>
                </c:pt>
                <c:pt idx="1520">
                  <c:v>100.845543727823</c:v>
                </c:pt>
                <c:pt idx="1521">
                  <c:v>100.84589553695774</c:v>
                </c:pt>
                <c:pt idx="1522">
                  <c:v>100.84594566461955</c:v>
                </c:pt>
                <c:pt idx="1523">
                  <c:v>100.84648099164981</c:v>
                </c:pt>
                <c:pt idx="1524">
                  <c:v>100.84674329501915</c:v>
                </c:pt>
                <c:pt idx="1525">
                  <c:v>100.84593163216176</c:v>
                </c:pt>
                <c:pt idx="1526">
                  <c:v>100.84503429139835</c:v>
                </c:pt>
                <c:pt idx="1527">
                  <c:v>100.84515386526817</c:v>
                </c:pt>
                <c:pt idx="1528">
                  <c:v>100.84511943070926</c:v>
                </c:pt>
                <c:pt idx="1529">
                  <c:v>100.84365715492994</c:v>
                </c:pt>
                <c:pt idx="1530">
                  <c:v>100.84410386053615</c:v>
                </c:pt>
                <c:pt idx="1531">
                  <c:v>100.84471112859859</c:v>
                </c:pt>
                <c:pt idx="1532">
                  <c:v>100.84364476724991</c:v>
                </c:pt>
                <c:pt idx="1533">
                  <c:v>100.84405047285372</c:v>
                </c:pt>
                <c:pt idx="1534">
                  <c:v>100.84603381014304</c:v>
                </c:pt>
                <c:pt idx="1535">
                  <c:v>100.8464909437436</c:v>
                </c:pt>
                <c:pt idx="1536">
                  <c:v>100.84574897730529</c:v>
                </c:pt>
                <c:pt idx="1537">
                  <c:v>100.8460658380571</c:v>
                </c:pt>
                <c:pt idx="1538">
                  <c:v>100.84635747839403</c:v>
                </c:pt>
                <c:pt idx="1539">
                  <c:v>100.84671948630314</c:v>
                </c:pt>
                <c:pt idx="1540">
                  <c:v>100.849911899299</c:v>
                </c:pt>
                <c:pt idx="1541">
                  <c:v>100.8490719967367</c:v>
                </c:pt>
                <c:pt idx="1542">
                  <c:v>100.84899114863659</c:v>
                </c:pt>
                <c:pt idx="1543">
                  <c:v>100.84423921909122</c:v>
                </c:pt>
                <c:pt idx="1544">
                  <c:v>100.84653073921892</c:v>
                </c:pt>
                <c:pt idx="1545">
                  <c:v>100.84441728755206</c:v>
                </c:pt>
                <c:pt idx="1546">
                  <c:v>100.84443364122508</c:v>
                </c:pt>
                <c:pt idx="1547">
                  <c:v>100.84617183541425</c:v>
                </c:pt>
                <c:pt idx="1548">
                  <c:v>100.84791655962596</c:v>
                </c:pt>
                <c:pt idx="1549">
                  <c:v>100.84724551670752</c:v>
                </c:pt>
                <c:pt idx="1550">
                  <c:v>100.84824793007101</c:v>
                </c:pt>
                <c:pt idx="1551">
                  <c:v>100.85007724061083</c:v>
                </c:pt>
                <c:pt idx="1552">
                  <c:v>100.85286442152355</c:v>
                </c:pt>
                <c:pt idx="1553">
                  <c:v>100.85305615885821</c:v>
                </c:pt>
                <c:pt idx="1554">
                  <c:v>100.8518444366585</c:v>
                </c:pt>
                <c:pt idx="1555">
                  <c:v>100.85492151793264</c:v>
                </c:pt>
                <c:pt idx="1556">
                  <c:v>100.85712906651221</c:v>
                </c:pt>
                <c:pt idx="1557">
                  <c:v>100.85718593570955</c:v>
                </c:pt>
                <c:pt idx="1558">
                  <c:v>100.85859478568273</c:v>
                </c:pt>
                <c:pt idx="1559">
                  <c:v>100.85849845830246</c:v>
                </c:pt>
                <c:pt idx="1560">
                  <c:v>100.85803867966381</c:v>
                </c:pt>
                <c:pt idx="1561">
                  <c:v>100.85977545122934</c:v>
                </c:pt>
                <c:pt idx="1562">
                  <c:v>100.85932561842074</c:v>
                </c:pt>
                <c:pt idx="1563">
                  <c:v>100.85895190784223</c:v>
                </c:pt>
                <c:pt idx="1564">
                  <c:v>100.85933397488446</c:v>
                </c:pt>
                <c:pt idx="1565">
                  <c:v>100.8575210589651</c:v>
                </c:pt>
                <c:pt idx="1566">
                  <c:v>100.85804889160642</c:v>
                </c:pt>
                <c:pt idx="1567">
                  <c:v>100.85722554505112</c:v>
                </c:pt>
                <c:pt idx="1568">
                  <c:v>100.85612909497424</c:v>
                </c:pt>
                <c:pt idx="1569">
                  <c:v>100.85435758656745</c:v>
                </c:pt>
                <c:pt idx="1570">
                  <c:v>100.85519476548646</c:v>
                </c:pt>
                <c:pt idx="1571">
                  <c:v>100.85520184911152</c:v>
                </c:pt>
                <c:pt idx="1572">
                  <c:v>100.85388488498371</c:v>
                </c:pt>
                <c:pt idx="1573">
                  <c:v>100.85543169025263</c:v>
                </c:pt>
                <c:pt idx="1574">
                  <c:v>100.85872638976721</c:v>
                </c:pt>
                <c:pt idx="1575">
                  <c:v>100.8582341531167</c:v>
                </c:pt>
                <c:pt idx="1576">
                  <c:v>100.85606438201292</c:v>
                </c:pt>
                <c:pt idx="1577">
                  <c:v>100.85532039689134</c:v>
                </c:pt>
                <c:pt idx="1578">
                  <c:v>100.8474855729596</c:v>
                </c:pt>
                <c:pt idx="1579">
                  <c:v>100.8500924261224</c:v>
                </c:pt>
                <c:pt idx="1580">
                  <c:v>100.84925070982035</c:v>
                </c:pt>
                <c:pt idx="1581">
                  <c:v>100.84534197188985</c:v>
                </c:pt>
                <c:pt idx="1582">
                  <c:v>100.84563837138052</c:v>
                </c:pt>
                <c:pt idx="1583">
                  <c:v>100.84318919276869</c:v>
                </c:pt>
                <c:pt idx="1584">
                  <c:v>100.84915852369001</c:v>
                </c:pt>
                <c:pt idx="1585">
                  <c:v>100.84969850841003</c:v>
                </c:pt>
                <c:pt idx="1586">
                  <c:v>100.84660828107997</c:v>
                </c:pt>
                <c:pt idx="1587">
                  <c:v>100.84051294485305</c:v>
                </c:pt>
                <c:pt idx="1588">
                  <c:v>100.8397856591927</c:v>
                </c:pt>
                <c:pt idx="1589">
                  <c:v>100.83534287343375</c:v>
                </c:pt>
                <c:pt idx="1590">
                  <c:v>100.84069748667994</c:v>
                </c:pt>
                <c:pt idx="1591">
                  <c:v>100.84139104341652</c:v>
                </c:pt>
                <c:pt idx="1592">
                  <c:v>100.84346906398731</c:v>
                </c:pt>
                <c:pt idx="1593">
                  <c:v>100.84424331719637</c:v>
                </c:pt>
                <c:pt idx="1594">
                  <c:v>100.84820512820512</c:v>
                </c:pt>
                <c:pt idx="1595">
                  <c:v>100.84923535329098</c:v>
                </c:pt>
                <c:pt idx="1596">
                  <c:v>100.84822847767011</c:v>
                </c:pt>
                <c:pt idx="1597">
                  <c:v>100.84827709932468</c:v>
                </c:pt>
                <c:pt idx="1598">
                  <c:v>100.84558602970904</c:v>
                </c:pt>
                <c:pt idx="1599">
                  <c:v>100.84472538425221</c:v>
                </c:pt>
                <c:pt idx="1600">
                  <c:v>100.84225322088545</c:v>
                </c:pt>
                <c:pt idx="1601">
                  <c:v>100.84078531567269</c:v>
                </c:pt>
                <c:pt idx="1602">
                  <c:v>100.84007347975255</c:v>
                </c:pt>
                <c:pt idx="1603">
                  <c:v>100.8440792246102</c:v>
                </c:pt>
                <c:pt idx="1604">
                  <c:v>100.84517208913066</c:v>
                </c:pt>
                <c:pt idx="1605">
                  <c:v>100.84631759300122</c:v>
                </c:pt>
                <c:pt idx="1606">
                  <c:v>100.84569872154093</c:v>
                </c:pt>
                <c:pt idx="1607">
                  <c:v>100.84596570655427</c:v>
                </c:pt>
                <c:pt idx="1608">
                  <c:v>100.84423512077041</c:v>
                </c:pt>
                <c:pt idx="1609">
                  <c:v>100.84709559108401</c:v>
                </c:pt>
                <c:pt idx="1610">
                  <c:v>100.84599776280534</c:v>
                </c:pt>
                <c:pt idx="1611">
                  <c:v>100.84441524310118</c:v>
                </c:pt>
                <c:pt idx="1612">
                  <c:v>100.84375206197132</c:v>
                </c:pt>
                <c:pt idx="1613">
                  <c:v>100.84543080939947</c:v>
                </c:pt>
                <c:pt idx="1614">
                  <c:v>100.84647701045097</c:v>
                </c:pt>
                <c:pt idx="1615">
                  <c:v>100.8463534907864</c:v>
                </c:pt>
                <c:pt idx="1616">
                  <c:v>100.8454993866952</c:v>
                </c:pt>
                <c:pt idx="1617">
                  <c:v>100.84433137432782</c:v>
                </c:pt>
                <c:pt idx="1618">
                  <c:v>100.84651283380866</c:v>
                </c:pt>
                <c:pt idx="1619">
                  <c:v>100.84665794620076</c:v>
                </c:pt>
                <c:pt idx="1620">
                  <c:v>100.84525909952296</c:v>
                </c:pt>
                <c:pt idx="1621">
                  <c:v>100.84210596503394</c:v>
                </c:pt>
                <c:pt idx="1622">
                  <c:v>100.84290206589091</c:v>
                </c:pt>
                <c:pt idx="1623">
                  <c:v>100.84363031247524</c:v>
                </c:pt>
                <c:pt idx="1624">
                  <c:v>100.84829265167532</c:v>
                </c:pt>
                <c:pt idx="1625">
                  <c:v>100.85125441274388</c:v>
                </c:pt>
                <c:pt idx="1626">
                  <c:v>100.8514279977915</c:v>
                </c:pt>
                <c:pt idx="1627">
                  <c:v>100.8512375926624</c:v>
                </c:pt>
                <c:pt idx="1628">
                  <c:v>100.85181847763511</c:v>
                </c:pt>
                <c:pt idx="1629">
                  <c:v>100.85448109729118</c:v>
                </c:pt>
                <c:pt idx="1630">
                  <c:v>100.85510438847689</c:v>
                </c:pt>
                <c:pt idx="1631">
                  <c:v>100.85377661413823</c:v>
                </c:pt>
                <c:pt idx="1632">
                  <c:v>100.85337098132462</c:v>
                </c:pt>
                <c:pt idx="1633">
                  <c:v>100.85365371304262</c:v>
                </c:pt>
                <c:pt idx="1634">
                  <c:v>100.85352516917595</c:v>
                </c:pt>
                <c:pt idx="1635">
                  <c:v>100.85523548686849</c:v>
                </c:pt>
                <c:pt idx="1636">
                  <c:v>100.85603813044112</c:v>
                </c:pt>
                <c:pt idx="1637">
                  <c:v>100.85846124420218</c:v>
                </c:pt>
                <c:pt idx="1638">
                  <c:v>100.85890484418758</c:v>
                </c:pt>
                <c:pt idx="1639">
                  <c:v>100.8583342307094</c:v>
                </c:pt>
                <c:pt idx="1640">
                  <c:v>100.85741467761747</c:v>
                </c:pt>
                <c:pt idx="1641">
                  <c:v>100.85621994462525</c:v>
                </c:pt>
                <c:pt idx="1642">
                  <c:v>100.85775214753409</c:v>
                </c:pt>
                <c:pt idx="1643">
                  <c:v>100.8590392285255</c:v>
                </c:pt>
                <c:pt idx="1644">
                  <c:v>100.85386324364354</c:v>
                </c:pt>
                <c:pt idx="1645">
                  <c:v>100.85340002971621</c:v>
                </c:pt>
                <c:pt idx="1646">
                  <c:v>100.85427692307692</c:v>
                </c:pt>
                <c:pt idx="1647">
                  <c:v>100.85555867318929</c:v>
                </c:pt>
                <c:pt idx="1648">
                  <c:v>100.85584883607675</c:v>
                </c:pt>
                <c:pt idx="1649">
                  <c:v>100.85691151233897</c:v>
                </c:pt>
                <c:pt idx="1650">
                  <c:v>100.85846293617682</c:v>
                </c:pt>
                <c:pt idx="1651">
                  <c:v>100.85843924484989</c:v>
                </c:pt>
                <c:pt idx="1652">
                  <c:v>100.85949922866975</c:v>
                </c:pt>
                <c:pt idx="1653">
                  <c:v>100.8597389058687</c:v>
                </c:pt>
                <c:pt idx="1654">
                  <c:v>100.85989326327997</c:v>
                </c:pt>
                <c:pt idx="1655">
                  <c:v>100.86175330437625</c:v>
                </c:pt>
                <c:pt idx="1656">
                  <c:v>100.86161919566158</c:v>
                </c:pt>
                <c:pt idx="1657">
                  <c:v>100.86106384726411</c:v>
                </c:pt>
                <c:pt idx="1658">
                  <c:v>100.85992144243055</c:v>
                </c:pt>
                <c:pt idx="1659">
                  <c:v>100.8604826546003</c:v>
                </c:pt>
                <c:pt idx="1660">
                  <c:v>100.85988828931175</c:v>
                </c:pt>
                <c:pt idx="1661">
                  <c:v>100.86120879636142</c:v>
                </c:pt>
                <c:pt idx="1662">
                  <c:v>100.86052702877808</c:v>
                </c:pt>
                <c:pt idx="1663">
                  <c:v>100.86068621452441</c:v>
                </c:pt>
                <c:pt idx="1664">
                  <c:v>100.86014812014977</c:v>
                </c:pt>
                <c:pt idx="1665">
                  <c:v>100.86005058982057</c:v>
                </c:pt>
                <c:pt idx="1666">
                  <c:v>100.86078777189888</c:v>
                </c:pt>
                <c:pt idx="1667">
                  <c:v>100.8611957796014</c:v>
                </c:pt>
                <c:pt idx="1668">
                  <c:v>100.86110785256787</c:v>
                </c:pt>
                <c:pt idx="1669">
                  <c:v>100.86145403058777</c:v>
                </c:pt>
                <c:pt idx="1670">
                  <c:v>100.86111925680035</c:v>
                </c:pt>
                <c:pt idx="1671">
                  <c:v>100.86119089768691</c:v>
                </c:pt>
                <c:pt idx="1672">
                  <c:v>100.86126409036582</c:v>
                </c:pt>
                <c:pt idx="1673">
                  <c:v>100.86108340861892</c:v>
                </c:pt>
                <c:pt idx="1674">
                  <c:v>100.86183880415884</c:v>
                </c:pt>
                <c:pt idx="1675">
                  <c:v>100.8595825426945</c:v>
                </c:pt>
                <c:pt idx="1676">
                  <c:v>100.86038723675212</c:v>
                </c:pt>
                <c:pt idx="1677">
                  <c:v>100.86027520120842</c:v>
                </c:pt>
                <c:pt idx="1678">
                  <c:v>100.85998273435744</c:v>
                </c:pt>
                <c:pt idx="1679">
                  <c:v>100.86018280153988</c:v>
                </c:pt>
                <c:pt idx="1680">
                  <c:v>100.86168224299065</c:v>
                </c:pt>
                <c:pt idx="1681">
                  <c:v>100.86458047396835</c:v>
                </c:pt>
                <c:pt idx="1682">
                  <c:v>100.86489262158523</c:v>
                </c:pt>
                <c:pt idx="1683">
                  <c:v>100.86644708642588</c:v>
                </c:pt>
                <c:pt idx="1684">
                  <c:v>100.86719161871432</c:v>
                </c:pt>
                <c:pt idx="1685">
                  <c:v>100.86943528555517</c:v>
                </c:pt>
                <c:pt idx="1686">
                  <c:v>100.86978708428647</c:v>
                </c:pt>
                <c:pt idx="1687">
                  <c:v>100.86819254575411</c:v>
                </c:pt>
                <c:pt idx="1688">
                  <c:v>100.86769175755408</c:v>
                </c:pt>
                <c:pt idx="1689">
                  <c:v>100.86946551420003</c:v>
                </c:pt>
                <c:pt idx="1690">
                  <c:v>100.86878851012899</c:v>
                </c:pt>
                <c:pt idx="1691">
                  <c:v>100.86789105475157</c:v>
                </c:pt>
                <c:pt idx="1692">
                  <c:v>100.86616478460896</c:v>
                </c:pt>
                <c:pt idx="1693">
                  <c:v>100.86873468663732</c:v>
                </c:pt>
                <c:pt idx="1694">
                  <c:v>100.8689946668437</c:v>
                </c:pt>
                <c:pt idx="1695">
                  <c:v>100.86832740213524</c:v>
                </c:pt>
                <c:pt idx="1696">
                  <c:v>100.86874487284659</c:v>
                </c:pt>
                <c:pt idx="1697">
                  <c:v>100.86822921883521</c:v>
                </c:pt>
                <c:pt idx="1698">
                  <c:v>100.86951874015054</c:v>
                </c:pt>
                <c:pt idx="1699">
                  <c:v>100.86954893016902</c:v>
                </c:pt>
                <c:pt idx="1700">
                  <c:v>100.86978851631493</c:v>
                </c:pt>
                <c:pt idx="1701">
                  <c:v>100.87107733182343</c:v>
                </c:pt>
                <c:pt idx="1702">
                  <c:v>100.87199861620125</c:v>
                </c:pt>
                <c:pt idx="1703">
                  <c:v>100.87513577929406</c:v>
                </c:pt>
                <c:pt idx="1704">
                  <c:v>100.87496567892369</c:v>
                </c:pt>
                <c:pt idx="1705">
                  <c:v>100.87418041932776</c:v>
                </c:pt>
                <c:pt idx="1706">
                  <c:v>100.87371070792402</c:v>
                </c:pt>
                <c:pt idx="1707">
                  <c:v>100.87325376010277</c:v>
                </c:pt>
                <c:pt idx="1708">
                  <c:v>100.87524235016437</c:v>
                </c:pt>
                <c:pt idx="1709">
                  <c:v>100.87573728511157</c:v>
                </c:pt>
                <c:pt idx="1710">
                  <c:v>100.87523051794088</c:v>
                </c:pt>
                <c:pt idx="1711">
                  <c:v>100.87505540195437</c:v>
                </c:pt>
                <c:pt idx="1712">
                  <c:v>100.87683986061268</c:v>
                </c:pt>
                <c:pt idx="1713">
                  <c:v>100.87640531540654</c:v>
                </c:pt>
                <c:pt idx="1714">
                  <c:v>100.87744159325929</c:v>
                </c:pt>
                <c:pt idx="1715">
                  <c:v>100.87467716668783</c:v>
                </c:pt>
                <c:pt idx="1716">
                  <c:v>100.87647236799549</c:v>
                </c:pt>
                <c:pt idx="1717">
                  <c:v>100.87664610768462</c:v>
                </c:pt>
                <c:pt idx="1718">
                  <c:v>100.87802239690112</c:v>
                </c:pt>
                <c:pt idx="1719">
                  <c:v>100.87813162607819</c:v>
                </c:pt>
                <c:pt idx="1720">
                  <c:v>100.87922680675268</c:v>
                </c:pt>
                <c:pt idx="1721">
                  <c:v>100.88081096861221</c:v>
                </c:pt>
                <c:pt idx="1722">
                  <c:v>100.8810982345498</c:v>
                </c:pt>
                <c:pt idx="1723">
                  <c:v>100.88120798635497</c:v>
                </c:pt>
                <c:pt idx="1724">
                  <c:v>100.88095956244597</c:v>
                </c:pt>
                <c:pt idx="1725">
                  <c:v>100.88111853004669</c:v>
                </c:pt>
                <c:pt idx="1726">
                  <c:v>100.8823915051702</c:v>
                </c:pt>
                <c:pt idx="1727">
                  <c:v>100.88292760100461</c:v>
                </c:pt>
                <c:pt idx="1728">
                  <c:v>100.88195413758724</c:v>
                </c:pt>
                <c:pt idx="1729">
                  <c:v>100.88278040135832</c:v>
                </c:pt>
                <c:pt idx="1730">
                  <c:v>100.88280360695656</c:v>
                </c:pt>
                <c:pt idx="1731">
                  <c:v>100.87897496703499</c:v>
                </c:pt>
                <c:pt idx="1732">
                  <c:v>100.87729425542278</c:v>
                </c:pt>
                <c:pt idx="1733">
                  <c:v>100.87928098777516</c:v>
                </c:pt>
                <c:pt idx="1734">
                  <c:v>100.87874691490778</c:v>
                </c:pt>
                <c:pt idx="1735">
                  <c:v>100.87720007882427</c:v>
                </c:pt>
                <c:pt idx="1736">
                  <c:v>100.88012675785403</c:v>
                </c:pt>
                <c:pt idx="1737">
                  <c:v>100.88102535245234</c:v>
                </c:pt>
                <c:pt idx="1738">
                  <c:v>100.88071610634803</c:v>
                </c:pt>
                <c:pt idx="1739">
                  <c:v>100.88186344451873</c:v>
                </c:pt>
                <c:pt idx="1740">
                  <c:v>100.88175372016379</c:v>
                </c:pt>
                <c:pt idx="1741">
                  <c:v>100.88204116603902</c:v>
                </c:pt>
                <c:pt idx="1742">
                  <c:v>100.8808829151492</c:v>
                </c:pt>
                <c:pt idx="1743">
                  <c:v>100.8787853969164</c:v>
                </c:pt>
                <c:pt idx="1744">
                  <c:v>100.8804438924399</c:v>
                </c:pt>
                <c:pt idx="1745">
                  <c:v>100.87867982334798</c:v>
                </c:pt>
                <c:pt idx="1746">
                  <c:v>100.87768595041322</c:v>
                </c:pt>
                <c:pt idx="1747">
                  <c:v>100.8758467378311</c:v>
                </c:pt>
                <c:pt idx="1748">
                  <c:v>100.8781140621783</c:v>
                </c:pt>
                <c:pt idx="1749">
                  <c:v>100.87732349710923</c:v>
                </c:pt>
                <c:pt idx="1750">
                  <c:v>100.87903061015979</c:v>
                </c:pt>
                <c:pt idx="1751">
                  <c:v>100.88118056740294</c:v>
                </c:pt>
                <c:pt idx="1752">
                  <c:v>100.88090088821382</c:v>
                </c:pt>
                <c:pt idx="1753">
                  <c:v>100.88236579865078</c:v>
                </c:pt>
                <c:pt idx="1754">
                  <c:v>100.88167454503663</c:v>
                </c:pt>
                <c:pt idx="1755">
                  <c:v>100.88181391681057</c:v>
                </c:pt>
                <c:pt idx="1756">
                  <c:v>100.88277691972596</c:v>
                </c:pt>
                <c:pt idx="1757">
                  <c:v>100.884425789448</c:v>
                </c:pt>
                <c:pt idx="1758">
                  <c:v>100.88469816042927</c:v>
                </c:pt>
                <c:pt idx="1759">
                  <c:v>100.8849032759794</c:v>
                </c:pt>
                <c:pt idx="1760">
                  <c:v>100.88456326108788</c:v>
                </c:pt>
                <c:pt idx="1761">
                  <c:v>100.88603878916213</c:v>
                </c:pt>
                <c:pt idx="1762">
                  <c:v>100.88613961360555</c:v>
                </c:pt>
                <c:pt idx="1763">
                  <c:v>100.88753799392097</c:v>
                </c:pt>
                <c:pt idx="1764">
                  <c:v>100.8868068833652</c:v>
                </c:pt>
                <c:pt idx="1765">
                  <c:v>100.88392612054429</c:v>
                </c:pt>
                <c:pt idx="1766">
                  <c:v>100.88013525278909</c:v>
                </c:pt>
                <c:pt idx="1767">
                  <c:v>100.88114717072044</c:v>
                </c:pt>
                <c:pt idx="1768">
                  <c:v>100.88111136772133</c:v>
                </c:pt>
                <c:pt idx="1769">
                  <c:v>100.88003080290196</c:v>
                </c:pt>
                <c:pt idx="1770">
                  <c:v>100.88011097835113</c:v>
                </c:pt>
                <c:pt idx="1771">
                  <c:v>100.88067763814284</c:v>
                </c:pt>
                <c:pt idx="1772">
                  <c:v>100.88038470863978</c:v>
                </c:pt>
                <c:pt idx="1773">
                  <c:v>100.87943096302482</c:v>
                </c:pt>
                <c:pt idx="1774">
                  <c:v>100.8762696986164</c:v>
                </c:pt>
                <c:pt idx="1775">
                  <c:v>100.87768468682528</c:v>
                </c:pt>
                <c:pt idx="1776">
                  <c:v>100.87958913861488</c:v>
                </c:pt>
                <c:pt idx="1777">
                  <c:v>100.87952052424853</c:v>
                </c:pt>
                <c:pt idx="1778">
                  <c:v>100.8789588828232</c:v>
                </c:pt>
                <c:pt idx="1779">
                  <c:v>100.87673985237932</c:v>
                </c:pt>
                <c:pt idx="1780">
                  <c:v>100.87646979039511</c:v>
                </c:pt>
                <c:pt idx="1781">
                  <c:v>100.87579855028375</c:v>
                </c:pt>
                <c:pt idx="1782">
                  <c:v>100.8775467990485</c:v>
                </c:pt>
                <c:pt idx="1783">
                  <c:v>100.87640918580375</c:v>
                </c:pt>
                <c:pt idx="1784">
                  <c:v>100.87568901254659</c:v>
                </c:pt>
                <c:pt idx="1785">
                  <c:v>100.87474345682669</c:v>
                </c:pt>
                <c:pt idx="1786">
                  <c:v>100.8748440836346</c:v>
                </c:pt>
                <c:pt idx="1787">
                  <c:v>100.87589879043247</c:v>
                </c:pt>
                <c:pt idx="1788">
                  <c:v>100.87763412189047</c:v>
                </c:pt>
                <c:pt idx="1789">
                  <c:v>100.87925759738935</c:v>
                </c:pt>
                <c:pt idx="1790">
                  <c:v>100.87896754408382</c:v>
                </c:pt>
                <c:pt idx="1791">
                  <c:v>100.87734001885482</c:v>
                </c:pt>
                <c:pt idx="1792">
                  <c:v>100.87766067369292</c:v>
                </c:pt>
                <c:pt idx="1793">
                  <c:v>100.87911829867173</c:v>
                </c:pt>
                <c:pt idx="1794">
                  <c:v>100.87742002277669</c:v>
                </c:pt>
                <c:pt idx="1795">
                  <c:v>100.87893165364636</c:v>
                </c:pt>
                <c:pt idx="1796">
                  <c:v>100.87950090577867</c:v>
                </c:pt>
                <c:pt idx="1797">
                  <c:v>100.88155262104841</c:v>
                </c:pt>
                <c:pt idx="1798">
                  <c:v>100.88067042259199</c:v>
                </c:pt>
                <c:pt idx="1799">
                  <c:v>100.88001499812523</c:v>
                </c:pt>
                <c:pt idx="1800">
                  <c:v>100.87846313347499</c:v>
                </c:pt>
                <c:pt idx="1801">
                  <c:v>100.8779205246118</c:v>
                </c:pt>
                <c:pt idx="1802">
                  <c:v>100.87834074865651</c:v>
                </c:pt>
                <c:pt idx="1803">
                  <c:v>100.87726118281242</c:v>
                </c:pt>
                <c:pt idx="1804">
                  <c:v>100.87603392314941</c:v>
                </c:pt>
                <c:pt idx="1805">
                  <c:v>100.87401440747401</c:v>
                </c:pt>
                <c:pt idx="1806">
                  <c:v>100.87385467717878</c:v>
                </c:pt>
                <c:pt idx="1807">
                  <c:v>100.87548245291154</c:v>
                </c:pt>
                <c:pt idx="1808">
                  <c:v>100.87620242576328</c:v>
                </c:pt>
                <c:pt idx="1809">
                  <c:v>100.87683986061268</c:v>
                </c:pt>
                <c:pt idx="1810">
                  <c:v>100.87656251628978</c:v>
                </c:pt>
                <c:pt idx="1811">
                  <c:v>100.87629296834187</c:v>
                </c:pt>
                <c:pt idx="1812">
                  <c:v>100.87736288777253</c:v>
                </c:pt>
                <c:pt idx="1813">
                  <c:v>100.87928837233012</c:v>
                </c:pt>
                <c:pt idx="1814">
                  <c:v>100.88035328119</c:v>
                </c:pt>
                <c:pt idx="1815">
                  <c:v>100.88052351688715</c:v>
                </c:pt>
                <c:pt idx="1816">
                  <c:v>100.88006482982172</c:v>
                </c:pt>
                <c:pt idx="1817">
                  <c:v>100.88100502512563</c:v>
                </c:pt>
                <c:pt idx="1818">
                  <c:v>100.88171000969099</c:v>
                </c:pt>
                <c:pt idx="1819">
                  <c:v>100.88194707559774</c:v>
                </c:pt>
                <c:pt idx="1820">
                  <c:v>100.88234592682393</c:v>
                </c:pt>
                <c:pt idx="1821">
                  <c:v>100.88267121183594</c:v>
                </c:pt>
                <c:pt idx="1822">
                  <c:v>100.88124373119358</c:v>
                </c:pt>
                <c:pt idx="1823">
                  <c:v>100.87999310771227</c:v>
                </c:pt>
                <c:pt idx="1824">
                  <c:v>100.87954136187443</c:v>
                </c:pt>
                <c:pt idx="1825">
                  <c:v>100.87747076477285</c:v>
                </c:pt>
                <c:pt idx="1826">
                  <c:v>100.87867609386208</c:v>
                </c:pt>
                <c:pt idx="1827">
                  <c:v>100.87830323462602</c:v>
                </c:pt>
                <c:pt idx="1828">
                  <c:v>100.87824316403237</c:v>
                </c:pt>
                <c:pt idx="1829">
                  <c:v>100.8924565148281</c:v>
                </c:pt>
                <c:pt idx="1830">
                  <c:v>100.89341495251384</c:v>
                </c:pt>
                <c:pt idx="1831">
                  <c:v>100.89287782281413</c:v>
                </c:pt>
                <c:pt idx="1832">
                  <c:v>100.89272252826906</c:v>
                </c:pt>
                <c:pt idx="1833">
                  <c:v>100.89179506863337</c:v>
                </c:pt>
                <c:pt idx="1834">
                  <c:v>100.89348686577905</c:v>
                </c:pt>
                <c:pt idx="1835">
                  <c:v>100.89434797351561</c:v>
                </c:pt>
                <c:pt idx="1836">
                  <c:v>100.89458407899072</c:v>
                </c:pt>
                <c:pt idx="1837">
                  <c:v>100.89548760680744</c:v>
                </c:pt>
                <c:pt idx="1838">
                  <c:v>100.89514050640759</c:v>
                </c:pt>
                <c:pt idx="1839">
                  <c:v>100.89478828808815</c:v>
                </c:pt>
                <c:pt idx="1840">
                  <c:v>100.89514422097648</c:v>
                </c:pt>
                <c:pt idx="1841">
                  <c:v>100.89585165898455</c:v>
                </c:pt>
                <c:pt idx="1842">
                  <c:v>100.89491341895287</c:v>
                </c:pt>
                <c:pt idx="1843">
                  <c:v>100.8958928681339</c:v>
                </c:pt>
                <c:pt idx="1844">
                  <c:v>100.89521011080822</c:v>
                </c:pt>
                <c:pt idx="1845">
                  <c:v>100.89487796432599</c:v>
                </c:pt>
                <c:pt idx="1846">
                  <c:v>100.89609386655434</c:v>
                </c:pt>
                <c:pt idx="1847">
                  <c:v>100.89759202878494</c:v>
                </c:pt>
                <c:pt idx="1848">
                  <c:v>100.90016863406409</c:v>
                </c:pt>
                <c:pt idx="1849">
                  <c:v>100.90098927105024</c:v>
                </c:pt>
                <c:pt idx="1850">
                  <c:v>100.90080428954424</c:v>
                </c:pt>
                <c:pt idx="1851">
                  <c:v>100.898042660191</c:v>
                </c:pt>
                <c:pt idx="1852">
                  <c:v>100.89938389632462</c:v>
                </c:pt>
                <c:pt idx="1853">
                  <c:v>100.89813739407235</c:v>
                </c:pt>
                <c:pt idx="1854">
                  <c:v>100.8955862251422</c:v>
                </c:pt>
                <c:pt idx="1855">
                  <c:v>100.89628318894154</c:v>
                </c:pt>
                <c:pt idx="1856">
                  <c:v>100.89725343862541</c:v>
                </c:pt>
                <c:pt idx="1857">
                  <c:v>100.89791255313462</c:v>
                </c:pt>
                <c:pt idx="1858">
                  <c:v>100.89810671256454</c:v>
                </c:pt>
                <c:pt idx="1859">
                  <c:v>100.89870992026829</c:v>
                </c:pt>
                <c:pt idx="1860">
                  <c:v>100.89837607717925</c:v>
                </c:pt>
                <c:pt idx="1861">
                  <c:v>100.89829314595448</c:v>
                </c:pt>
                <c:pt idx="1862">
                  <c:v>100.89917054144738</c:v>
                </c:pt>
                <c:pt idx="1863">
                  <c:v>100.89958783520193</c:v>
                </c:pt>
                <c:pt idx="1864">
                  <c:v>100.90055267180702</c:v>
                </c:pt>
                <c:pt idx="1865">
                  <c:v>100.90028466034462</c:v>
                </c:pt>
                <c:pt idx="1866">
                  <c:v>100.89945822930997</c:v>
                </c:pt>
                <c:pt idx="1867">
                  <c:v>100.89921345636556</c:v>
                </c:pt>
                <c:pt idx="1868">
                  <c:v>100.89866137149508</c:v>
                </c:pt>
                <c:pt idx="1869">
                  <c:v>100.89938475135116</c:v>
                </c:pt>
                <c:pt idx="1870">
                  <c:v>100.89985282425185</c:v>
                </c:pt>
                <c:pt idx="1871">
                  <c:v>100.90017705083888</c:v>
                </c:pt>
                <c:pt idx="1872">
                  <c:v>100.89875755684199</c:v>
                </c:pt>
                <c:pt idx="1873">
                  <c:v>100.90042135894568</c:v>
                </c:pt>
                <c:pt idx="1874">
                  <c:v>100.90167746221557</c:v>
                </c:pt>
                <c:pt idx="1875">
                  <c:v>100.90211559288684</c:v>
                </c:pt>
                <c:pt idx="1876">
                  <c:v>100.90367248645394</c:v>
                </c:pt>
                <c:pt idx="1877">
                  <c:v>100.90504222573324</c:v>
                </c:pt>
                <c:pt idx="1878">
                  <c:v>100.90548415422687</c:v>
                </c:pt>
                <c:pt idx="1879">
                  <c:v>100.90560697743018</c:v>
                </c:pt>
                <c:pt idx="1880">
                  <c:v>100.90725945420935</c:v>
                </c:pt>
                <c:pt idx="1881">
                  <c:v>100.90928593319032</c:v>
                </c:pt>
                <c:pt idx="1882">
                  <c:v>100.9092622963383</c:v>
                </c:pt>
                <c:pt idx="1883">
                  <c:v>100.90857142857143</c:v>
                </c:pt>
                <c:pt idx="1884">
                  <c:v>100.90845266446046</c:v>
                </c:pt>
                <c:pt idx="1885">
                  <c:v>100.90854176644163</c:v>
                </c:pt>
                <c:pt idx="1886">
                  <c:v>100.91079702556299</c:v>
                </c:pt>
                <c:pt idx="1887">
                  <c:v>100.91310346852202</c:v>
                </c:pt>
                <c:pt idx="1888">
                  <c:v>100.91278148963912</c:v>
                </c:pt>
                <c:pt idx="1889">
                  <c:v>100.91407525672194</c:v>
                </c:pt>
                <c:pt idx="1890">
                  <c:v>100.91555222709604</c:v>
                </c:pt>
                <c:pt idx="1891">
                  <c:v>100.91648326843858</c:v>
                </c:pt>
                <c:pt idx="1892">
                  <c:v>100.91765311374164</c:v>
                </c:pt>
                <c:pt idx="1893">
                  <c:v>100.91839491622383</c:v>
                </c:pt>
                <c:pt idx="1894">
                  <c:v>100.9148201438849</c:v>
                </c:pt>
                <c:pt idx="1895">
                  <c:v>100.91719990209448</c:v>
                </c:pt>
                <c:pt idx="1896">
                  <c:v>100.9148201438849</c:v>
                </c:pt>
                <c:pt idx="1897">
                  <c:v>100.91793961908458</c:v>
                </c:pt>
                <c:pt idx="1898">
                  <c:v>100.91643021499456</c:v>
                </c:pt>
                <c:pt idx="1899">
                  <c:v>100.91232876712328</c:v>
                </c:pt>
                <c:pt idx="1900">
                  <c:v>100.91161540758435</c:v>
                </c:pt>
                <c:pt idx="1901">
                  <c:v>100.91458848820182</c:v>
                </c:pt>
                <c:pt idx="1902">
                  <c:v>100.91629610253727</c:v>
                </c:pt>
                <c:pt idx="1903">
                  <c:v>100.91840391440681</c:v>
                </c:pt>
                <c:pt idx="1904">
                  <c:v>100.91900175131349</c:v>
                </c:pt>
                <c:pt idx="1905">
                  <c:v>100.91827098965273</c:v>
                </c:pt>
                <c:pt idx="1906">
                  <c:v>100.91936527394695</c:v>
                </c:pt>
                <c:pt idx="1907">
                  <c:v>100.92015752704124</c:v>
                </c:pt>
                <c:pt idx="1908">
                  <c:v>100.92028761091737</c:v>
                </c:pt>
                <c:pt idx="1909">
                  <c:v>100.92106666666666</c:v>
                </c:pt>
                <c:pt idx="1910">
                  <c:v>100.92220506586945</c:v>
                </c:pt>
                <c:pt idx="1911">
                  <c:v>100.92169208587416</c:v>
                </c:pt>
                <c:pt idx="1912">
                  <c:v>100.92171642037754</c:v>
                </c:pt>
                <c:pt idx="1913">
                  <c:v>100.92072047942683</c:v>
                </c:pt>
                <c:pt idx="1914">
                  <c:v>100.92107982003</c:v>
                </c:pt>
                <c:pt idx="1915">
                  <c:v>100.92228982482393</c:v>
                </c:pt>
                <c:pt idx="1916">
                  <c:v>100.92299888140266</c:v>
                </c:pt>
                <c:pt idx="1917">
                  <c:v>100.92336569579288</c:v>
                </c:pt>
                <c:pt idx="1918">
                  <c:v>100.92370445787635</c:v>
                </c:pt>
                <c:pt idx="1919">
                  <c:v>100.92501060871878</c:v>
                </c:pt>
                <c:pt idx="1920">
                  <c:v>100.92592546249664</c:v>
                </c:pt>
                <c:pt idx="1921">
                  <c:v>100.92544925638151</c:v>
                </c:pt>
                <c:pt idx="1922">
                  <c:v>100.92558139534884</c:v>
                </c:pt>
                <c:pt idx="1923">
                  <c:v>100.92517316345619</c:v>
                </c:pt>
                <c:pt idx="1924">
                  <c:v>100.92466659879874</c:v>
                </c:pt>
                <c:pt idx="1925">
                  <c:v>100.92336222353116</c:v>
                </c:pt>
                <c:pt idx="1926">
                  <c:v>100.92537078240919</c:v>
                </c:pt>
                <c:pt idx="1927">
                  <c:v>100.92515140404335</c:v>
                </c:pt>
                <c:pt idx="1928">
                  <c:v>100.92336172746809</c:v>
                </c:pt>
                <c:pt idx="1929">
                  <c:v>100.92083233036455</c:v>
                </c:pt>
                <c:pt idx="1930">
                  <c:v>100.92390060802386</c:v>
                </c:pt>
                <c:pt idx="1931">
                  <c:v>100.92091112521292</c:v>
                </c:pt>
                <c:pt idx="1932">
                  <c:v>100.91728493384191</c:v>
                </c:pt>
                <c:pt idx="1933">
                  <c:v>100.91819475727887</c:v>
                </c:pt>
                <c:pt idx="1934">
                  <c:v>100.9137019949125</c:v>
                </c:pt>
                <c:pt idx="1935">
                  <c:v>100.91494558385115</c:v>
                </c:pt>
                <c:pt idx="1936">
                  <c:v>100.9160623010556</c:v>
                </c:pt>
                <c:pt idx="1937">
                  <c:v>100.91844325813673</c:v>
                </c:pt>
                <c:pt idx="1938">
                  <c:v>100.91574333027333</c:v>
                </c:pt>
                <c:pt idx="1939">
                  <c:v>100.91579426490669</c:v>
                </c:pt>
                <c:pt idx="1940">
                  <c:v>100.91756137639081</c:v>
                </c:pt>
                <c:pt idx="1941">
                  <c:v>100.91703163869521</c:v>
                </c:pt>
                <c:pt idx="1942">
                  <c:v>100.91826026924404</c:v>
                </c:pt>
                <c:pt idx="1943">
                  <c:v>100.91724851305922</c:v>
                </c:pt>
                <c:pt idx="1944">
                  <c:v>100.91786333680194</c:v>
                </c:pt>
                <c:pt idx="1945">
                  <c:v>100.92126769648165</c:v>
                </c:pt>
                <c:pt idx="1946">
                  <c:v>100.92250497434286</c:v>
                </c:pt>
                <c:pt idx="1947">
                  <c:v>100.9239519304263</c:v>
                </c:pt>
                <c:pt idx="1948">
                  <c:v>100.92248721759226</c:v>
                </c:pt>
                <c:pt idx="1949">
                  <c:v>100.92199544094976</c:v>
                </c:pt>
                <c:pt idx="1950">
                  <c:v>100.91890910834263</c:v>
                </c:pt>
                <c:pt idx="1951">
                  <c:v>100.91891355116185</c:v>
                </c:pt>
                <c:pt idx="1952">
                  <c:v>100.92200057972542</c:v>
                </c:pt>
                <c:pt idx="1953">
                  <c:v>100.92471162772952</c:v>
                </c:pt>
                <c:pt idx="1954">
                  <c:v>100.92439963476851</c:v>
                </c:pt>
                <c:pt idx="1955">
                  <c:v>100.92517032598941</c:v>
                </c:pt>
                <c:pt idx="1956">
                  <c:v>100.9245706131186</c:v>
                </c:pt>
                <c:pt idx="1957">
                  <c:v>100.92468552708999</c:v>
                </c:pt>
                <c:pt idx="1958">
                  <c:v>100.92510832094626</c:v>
                </c:pt>
                <c:pt idx="1959">
                  <c:v>100.92600647443349</c:v>
                </c:pt>
                <c:pt idx="1960">
                  <c:v>100.92564635547825</c:v>
                </c:pt>
                <c:pt idx="1961">
                  <c:v>100.92636815920397</c:v>
                </c:pt>
                <c:pt idx="1962">
                  <c:v>100.92641758023218</c:v>
                </c:pt>
                <c:pt idx="1963">
                  <c:v>100.92613434316337</c:v>
                </c:pt>
                <c:pt idx="1964">
                  <c:v>100.92607115651185</c:v>
                </c:pt>
                <c:pt idx="1965">
                  <c:v>100.92487881633379</c:v>
                </c:pt>
                <c:pt idx="1966">
                  <c:v>100.92540698553501</c:v>
                </c:pt>
                <c:pt idx="1967">
                  <c:v>100.9251466720615</c:v>
                </c:pt>
                <c:pt idx="1968">
                  <c:v>100.92431905209162</c:v>
                </c:pt>
                <c:pt idx="1969">
                  <c:v>100.92532135783937</c:v>
                </c:pt>
                <c:pt idx="1970">
                  <c:v>100.92382095196538</c:v>
                </c:pt>
                <c:pt idx="1971">
                  <c:v>100.92492922922564</c:v>
                </c:pt>
                <c:pt idx="1972">
                  <c:v>100.92459960410294</c:v>
                </c:pt>
                <c:pt idx="1973">
                  <c:v>100.92487000179308</c:v>
                </c:pt>
                <c:pt idx="1974">
                  <c:v>100.92617000281929</c:v>
                </c:pt>
                <c:pt idx="1975">
                  <c:v>100.92713352903888</c:v>
                </c:pt>
                <c:pt idx="1976">
                  <c:v>100.92642152214378</c:v>
                </c:pt>
                <c:pt idx="1977">
                  <c:v>100.92787260742961</c:v>
                </c:pt>
                <c:pt idx="1978">
                  <c:v>100.92890041855074</c:v>
                </c:pt>
                <c:pt idx="1979">
                  <c:v>100.92803902036891</c:v>
                </c:pt>
                <c:pt idx="1980">
                  <c:v>100.93017838714434</c:v>
                </c:pt>
                <c:pt idx="1981">
                  <c:v>100.92991179778606</c:v>
                </c:pt>
                <c:pt idx="1982">
                  <c:v>100.92969079388833</c:v>
                </c:pt>
                <c:pt idx="1983">
                  <c:v>100.92990432888131</c:v>
                </c:pt>
                <c:pt idx="1984">
                  <c:v>100.9303016924209</c:v>
                </c:pt>
                <c:pt idx="1985">
                  <c:v>100.93055148223314</c:v>
                </c:pt>
                <c:pt idx="1986">
                  <c:v>100.93131692828884</c:v>
                </c:pt>
                <c:pt idx="1987">
                  <c:v>100.93100112472828</c:v>
                </c:pt>
                <c:pt idx="1988">
                  <c:v>100.93131413919329</c:v>
                </c:pt>
                <c:pt idx="1989">
                  <c:v>100.93174927080091</c:v>
                </c:pt>
                <c:pt idx="1990">
                  <c:v>100.93234594989943</c:v>
                </c:pt>
                <c:pt idx="1991">
                  <c:v>100.93156939579937</c:v>
                </c:pt>
                <c:pt idx="1992">
                  <c:v>100.93098905966765</c:v>
                </c:pt>
                <c:pt idx="1993">
                  <c:v>100.92880978865406</c:v>
                </c:pt>
                <c:pt idx="1994">
                  <c:v>100.92998598537038</c:v>
                </c:pt>
                <c:pt idx="1995">
                  <c:v>100.92869660525983</c:v>
                </c:pt>
                <c:pt idx="1996">
                  <c:v>100.9304122953951</c:v>
                </c:pt>
                <c:pt idx="1997">
                  <c:v>100.93034474644075</c:v>
                </c:pt>
                <c:pt idx="1998">
                  <c:v>100.93091295265437</c:v>
                </c:pt>
                <c:pt idx="1999">
                  <c:v>100.93010460695648</c:v>
                </c:pt>
                <c:pt idx="2000">
                  <c:v>100.93034187782766</c:v>
                </c:pt>
                <c:pt idx="2001">
                  <c:v>100.93078573391089</c:v>
                </c:pt>
                <c:pt idx="2002">
                  <c:v>100.93191567664547</c:v>
                </c:pt>
                <c:pt idx="2003">
                  <c:v>100.93207386966674</c:v>
                </c:pt>
                <c:pt idx="2004">
                  <c:v>100.93253561253562</c:v>
                </c:pt>
                <c:pt idx="2005">
                  <c:v>100.93385115721007</c:v>
                </c:pt>
                <c:pt idx="2006">
                  <c:v>100.9342992442061</c:v>
                </c:pt>
                <c:pt idx="2007">
                  <c:v>100.93244114801676</c:v>
                </c:pt>
                <c:pt idx="2008">
                  <c:v>100.93507700889398</c:v>
                </c:pt>
                <c:pt idx="2009">
                  <c:v>100.93530955689363</c:v>
                </c:pt>
                <c:pt idx="2010">
                  <c:v>100.9345782718671</c:v>
                </c:pt>
                <c:pt idx="2011">
                  <c:v>100.93319089227629</c:v>
                </c:pt>
                <c:pt idx="2012">
                  <c:v>100.9309036939314</c:v>
                </c:pt>
                <c:pt idx="2013">
                  <c:v>100.92956325858185</c:v>
                </c:pt>
                <c:pt idx="2014">
                  <c:v>100.93214355120814</c:v>
                </c:pt>
                <c:pt idx="2015">
                  <c:v>100.93168106962335</c:v>
                </c:pt>
                <c:pt idx="2016">
                  <c:v>100.92950400430715</c:v>
                </c:pt>
                <c:pt idx="2017">
                  <c:v>100.92780094427404</c:v>
                </c:pt>
                <c:pt idx="2018">
                  <c:v>100.9297309988596</c:v>
                </c:pt>
                <c:pt idx="2019">
                  <c:v>100.93036165403537</c:v>
                </c:pt>
                <c:pt idx="2020">
                  <c:v>100.9354532717668</c:v>
                </c:pt>
                <c:pt idx="2021">
                  <c:v>100.93506244206901</c:v>
                </c:pt>
                <c:pt idx="2022">
                  <c:v>100.93592206737924</c:v>
                </c:pt>
                <c:pt idx="2023">
                  <c:v>100.93642884755809</c:v>
                </c:pt>
                <c:pt idx="2024">
                  <c:v>100.93723893730255</c:v>
                </c:pt>
                <c:pt idx="2025">
                  <c:v>100.93763563196595</c:v>
                </c:pt>
                <c:pt idx="2026">
                  <c:v>100.93723161745216</c:v>
                </c:pt>
                <c:pt idx="2027">
                  <c:v>100.93755932918468</c:v>
                </c:pt>
                <c:pt idx="2028">
                  <c:v>100.93832208996432</c:v>
                </c:pt>
                <c:pt idx="2029">
                  <c:v>100.9371089226716</c:v>
                </c:pt>
                <c:pt idx="2030">
                  <c:v>100.93723893730255</c:v>
                </c:pt>
                <c:pt idx="2031">
                  <c:v>100.93142389525369</c:v>
                </c:pt>
                <c:pt idx="2032">
                  <c:v>100.93207755154974</c:v>
                </c:pt>
                <c:pt idx="2033">
                  <c:v>100.93491767629699</c:v>
                </c:pt>
                <c:pt idx="2034">
                  <c:v>100.93486506653402</c:v>
                </c:pt>
                <c:pt idx="2035">
                  <c:v>100.93455170259294</c:v>
                </c:pt>
                <c:pt idx="2036">
                  <c:v>100.93510315346013</c:v>
                </c:pt>
                <c:pt idx="2037">
                  <c:v>100.93438155792903</c:v>
                </c:pt>
                <c:pt idx="2038">
                  <c:v>100.93282242031681</c:v>
                </c:pt>
                <c:pt idx="2039">
                  <c:v>100.93131372741877</c:v>
                </c:pt>
                <c:pt idx="2040">
                  <c:v>100.93089229754247</c:v>
                </c:pt>
                <c:pt idx="2041">
                  <c:v>100.93055095140224</c:v>
                </c:pt>
                <c:pt idx="2042">
                  <c:v>100.92749610659284</c:v>
                </c:pt>
                <c:pt idx="2043">
                  <c:v>100.92537579254827</c:v>
                </c:pt>
                <c:pt idx="2044">
                  <c:v>100.925431571454</c:v>
                </c:pt>
                <c:pt idx="2045">
                  <c:v>100.92041483057287</c:v>
                </c:pt>
                <c:pt idx="2046">
                  <c:v>100.92661996497372</c:v>
                </c:pt>
                <c:pt idx="2047">
                  <c:v>100.92502862868594</c:v>
                </c:pt>
                <c:pt idx="2048">
                  <c:v>100.92789288910305</c:v>
                </c:pt>
                <c:pt idx="2049">
                  <c:v>100.92762385130933</c:v>
                </c:pt>
                <c:pt idx="2050">
                  <c:v>100.92903116531166</c:v>
                </c:pt>
                <c:pt idx="2051">
                  <c:v>100.92894451227785</c:v>
                </c:pt>
                <c:pt idx="2052">
                  <c:v>100.92648090960135</c:v>
                </c:pt>
                <c:pt idx="2053">
                  <c:v>100.92993779680289</c:v>
                </c:pt>
                <c:pt idx="2054">
                  <c:v>100.92977575168437</c:v>
                </c:pt>
                <c:pt idx="2055">
                  <c:v>100.9299565362755</c:v>
                </c:pt>
                <c:pt idx="2056">
                  <c:v>100.93009209823812</c:v>
                </c:pt>
                <c:pt idx="2057">
                  <c:v>100.93039635868301</c:v>
                </c:pt>
                <c:pt idx="2058">
                  <c:v>100.9323276697461</c:v>
                </c:pt>
                <c:pt idx="2059">
                  <c:v>100.93187434963579</c:v>
                </c:pt>
                <c:pt idx="2060">
                  <c:v>100.92087472145636</c:v>
                </c:pt>
                <c:pt idx="2061">
                  <c:v>100.93257161248793</c:v>
                </c:pt>
                <c:pt idx="2062">
                  <c:v>100.9304032954621</c:v>
                </c:pt>
                <c:pt idx="2063">
                  <c:v>100.92893487109905</c:v>
                </c:pt>
                <c:pt idx="2064">
                  <c:v>100.92566440762161</c:v>
                </c:pt>
                <c:pt idx="2065">
                  <c:v>100.92002290513457</c:v>
                </c:pt>
                <c:pt idx="2066">
                  <c:v>100.91638729246488</c:v>
                </c:pt>
                <c:pt idx="2067">
                  <c:v>100.92028158295281</c:v>
                </c:pt>
                <c:pt idx="2068">
                  <c:v>100.91844440984117</c:v>
                </c:pt>
                <c:pt idx="2069">
                  <c:v>100.91694088728542</c:v>
                </c:pt>
                <c:pt idx="2070">
                  <c:v>100.91904320272046</c:v>
                </c:pt>
                <c:pt idx="2071">
                  <c:v>100.91929581262761</c:v>
                </c:pt>
                <c:pt idx="2072">
                  <c:v>100.92425611916555</c:v>
                </c:pt>
                <c:pt idx="2073">
                  <c:v>100.92291559349474</c:v>
                </c:pt>
                <c:pt idx="2074">
                  <c:v>100.92061687696564</c:v>
                </c:pt>
                <c:pt idx="2075">
                  <c:v>100.91942307692308</c:v>
                </c:pt>
                <c:pt idx="2076">
                  <c:v>100.91971642077026</c:v>
                </c:pt>
                <c:pt idx="2077">
                  <c:v>100.92877541306861</c:v>
                </c:pt>
                <c:pt idx="2078">
                  <c:v>100.92738301559793</c:v>
                </c:pt>
                <c:pt idx="2079">
                  <c:v>100.93346249126596</c:v>
                </c:pt>
                <c:pt idx="2080">
                  <c:v>100.92792836664009</c:v>
                </c:pt>
                <c:pt idx="2081">
                  <c:v>100.92306092742774</c:v>
                </c:pt>
                <c:pt idx="2082">
                  <c:v>100.92263561636675</c:v>
                </c:pt>
                <c:pt idx="2083">
                  <c:v>100.92590784788581</c:v>
                </c:pt>
                <c:pt idx="2084">
                  <c:v>100.92891151765504</c:v>
                </c:pt>
                <c:pt idx="2085">
                  <c:v>100.92891151765504</c:v>
                </c:pt>
                <c:pt idx="2086">
                  <c:v>100.92726379162059</c:v>
                </c:pt>
                <c:pt idx="2087">
                  <c:v>100.92792836664009</c:v>
                </c:pt>
                <c:pt idx="2088">
                  <c:v>100.93255444348871</c:v>
                </c:pt>
                <c:pt idx="2089">
                  <c:v>100.932532152646</c:v>
                </c:pt>
                <c:pt idx="2090">
                  <c:v>100.9308584876462</c:v>
                </c:pt>
                <c:pt idx="2091">
                  <c:v>100.92766594373339</c:v>
                </c:pt>
                <c:pt idx="2092">
                  <c:v>100.92741406475106</c:v>
                </c:pt>
                <c:pt idx="2093">
                  <c:v>100.92595418415145</c:v>
                </c:pt>
                <c:pt idx="2094">
                  <c:v>100.92688830706911</c:v>
                </c:pt>
                <c:pt idx="2095">
                  <c:v>100.92569395196466</c:v>
                </c:pt>
                <c:pt idx="2096">
                  <c:v>100.92170813798941</c:v>
                </c:pt>
                <c:pt idx="2097">
                  <c:v>100.92082703649713</c:v>
                </c:pt>
                <c:pt idx="2098">
                  <c:v>100.92193732569409</c:v>
                </c:pt>
                <c:pt idx="2099">
                  <c:v>100.92117491977685</c:v>
                </c:pt>
                <c:pt idx="2100">
                  <c:v>100.9251263177199</c:v>
                </c:pt>
                <c:pt idx="2101">
                  <c:v>100.92513057884686</c:v>
                </c:pt>
                <c:pt idx="2102">
                  <c:v>100.92942929518701</c:v>
                </c:pt>
                <c:pt idx="2103">
                  <c:v>100.92925303393345</c:v>
                </c:pt>
                <c:pt idx="2104">
                  <c:v>100.92994787506582</c:v>
                </c:pt>
                <c:pt idx="2105">
                  <c:v>100.933196416078</c:v>
                </c:pt>
                <c:pt idx="2106">
                  <c:v>100.92903380484296</c:v>
                </c:pt>
                <c:pt idx="2107">
                  <c:v>100.93031974058228</c:v>
                </c:pt>
                <c:pt idx="2108">
                  <c:v>100.92732317249084</c:v>
                </c:pt>
                <c:pt idx="2109">
                  <c:v>100.92785019164793</c:v>
                </c:pt>
                <c:pt idx="2110">
                  <c:v>100.92794722621163</c:v>
                </c:pt>
                <c:pt idx="2111">
                  <c:v>100.92882647847361</c:v>
                </c:pt>
                <c:pt idx="2112">
                  <c:v>100.92860502418023</c:v>
                </c:pt>
                <c:pt idx="2113">
                  <c:v>100.92562393602654</c:v>
                </c:pt>
                <c:pt idx="2114">
                  <c:v>100.92215186960438</c:v>
                </c:pt>
                <c:pt idx="2115">
                  <c:v>100.92368577100575</c:v>
                </c:pt>
                <c:pt idx="2116">
                  <c:v>100.92080691334243</c:v>
                </c:pt>
                <c:pt idx="2117">
                  <c:v>100.91895018585325</c:v>
                </c:pt>
                <c:pt idx="2118">
                  <c:v>100.91404406693528</c:v>
                </c:pt>
                <c:pt idx="2119">
                  <c:v>100.91190213994464</c:v>
                </c:pt>
                <c:pt idx="2120">
                  <c:v>100.91950506492624</c:v>
                </c:pt>
                <c:pt idx="2121">
                  <c:v>100.91899510139295</c:v>
                </c:pt>
                <c:pt idx="2122">
                  <c:v>100.91989282959635</c:v>
                </c:pt>
                <c:pt idx="2123">
                  <c:v>100.9211701964753</c:v>
                </c:pt>
                <c:pt idx="2124">
                  <c:v>100.92307342459701</c:v>
                </c:pt>
                <c:pt idx="2125">
                  <c:v>100.92108139813901</c:v>
                </c:pt>
                <c:pt idx="2126">
                  <c:v>100.92484400688083</c:v>
                </c:pt>
                <c:pt idx="2127">
                  <c:v>100.92734012064976</c:v>
                </c:pt>
                <c:pt idx="2128">
                  <c:v>100.928527448116</c:v>
                </c:pt>
                <c:pt idx="2129">
                  <c:v>100.92864976919647</c:v>
                </c:pt>
                <c:pt idx="2130">
                  <c:v>100.92851191266861</c:v>
                </c:pt>
                <c:pt idx="2131">
                  <c:v>100.92782952162676</c:v>
                </c:pt>
                <c:pt idx="2132">
                  <c:v>100.92678749203876</c:v>
                </c:pt>
                <c:pt idx="2133">
                  <c:v>100.92929485954519</c:v>
                </c:pt>
                <c:pt idx="2134">
                  <c:v>100.92968202496763</c:v>
                </c:pt>
                <c:pt idx="2135">
                  <c:v>100.93007406007489</c:v>
                </c:pt>
                <c:pt idx="2136">
                  <c:v>100.93019691074166</c:v>
                </c:pt>
                <c:pt idx="2137">
                  <c:v>100.92745853679457</c:v>
                </c:pt>
                <c:pt idx="2138">
                  <c:v>100.92715323898605</c:v>
                </c:pt>
                <c:pt idx="2139">
                  <c:v>100.92813282563205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74-40BB-A60F-F40FB1B7A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64224"/>
        <c:axId val="47765760"/>
      </c:scatterChart>
      <c:valAx>
        <c:axId val="47764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7765760"/>
        <c:crosses val="autoZero"/>
        <c:crossBetween val="midCat"/>
      </c:valAx>
      <c:valAx>
        <c:axId val="47765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7764224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28575</xdr:colOff>
      <xdr:row>0</xdr:row>
      <xdr:rowOff>76200</xdr:rowOff>
    </xdr:from>
    <xdr:ext cx="544079" cy="552450"/>
    <xdr:pic>
      <xdr:nvPicPr>
        <xdr:cNvPr id="2" name="Picture 1" descr="http://ssl.gstatic.com/android/market/net.bnpparibas.mescomptes/hi-256-1-d12d1f2d73a35143e861dde752b3bc62c252367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982575" y="76200"/>
          <a:ext cx="544079" cy="552450"/>
        </a:xfrm>
        <a:prstGeom prst="rect">
          <a:avLst/>
        </a:prstGeom>
        <a:noFill/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1729863</xdr:colOff>
          <xdr:row>1</xdr:row>
          <xdr:rowOff>61451</xdr:rowOff>
        </xdr:from>
        <xdr:to>
          <xdr:col>1</xdr:col>
          <xdr:colOff>1098448</xdr:colOff>
          <xdr:row>6</xdr:row>
          <xdr:rowOff>7681</xdr:rowOff>
        </xdr:to>
        <xdr:grpSp>
          <xdr:nvGrpSpPr>
            <xdr:cNvPr id="3" name="Groupe 2"/>
            <xdr:cNvGrpSpPr/>
          </xdr:nvGrpSpPr>
          <xdr:grpSpPr>
            <a:xfrm>
              <a:off x="1729863" y="213851"/>
              <a:ext cx="2083210" cy="708230"/>
              <a:chOff x="1729828" y="215080"/>
              <a:chExt cx="2080137" cy="714375"/>
            </a:xfrm>
          </xdr:grpSpPr>
          <xdr:sp macro="" textlink="">
            <xdr:nvSpPr>
              <xdr:cNvPr id="4120" name="Group Box 24" hidden="1">
                <a:extLst>
                  <a:ext uri="{63B3BB69-23CF-44E3-9099-C40C66FF867C}">
                    <a14:compatExt spid="_x0000_s4120"/>
                  </a:ext>
                </a:extLst>
              </xdr:cNvPr>
              <xdr:cNvSpPr/>
            </xdr:nvSpPr>
            <xdr:spPr bwMode="auto">
              <a:xfrm>
                <a:off x="1729828" y="215080"/>
                <a:ext cx="2080137" cy="7143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fr-FR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Sociétés de Valorisation</a:t>
                </a:r>
              </a:p>
            </xdr:txBody>
          </xdr:sp>
          <xdr:sp macro="" textlink="">
            <xdr:nvSpPr>
              <xdr:cNvPr id="4121" name="CaseReuters" hidden="1">
                <a:extLst>
                  <a:ext uri="{63B3BB69-23CF-44E3-9099-C40C66FF867C}">
                    <a14:compatExt spid="_x0000_s4121"/>
                  </a:ext>
                </a:extLst>
              </xdr:cNvPr>
              <xdr:cNvSpPr/>
            </xdr:nvSpPr>
            <xdr:spPr bwMode="auto">
              <a:xfrm>
                <a:off x="1782945" y="330301"/>
                <a:ext cx="675120" cy="2304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2" name="CaseSungard" hidden="1">
                <a:extLst>
                  <a:ext uri="{63B3BB69-23CF-44E3-9099-C40C66FF867C}">
                    <a14:compatExt spid="_x0000_s4122"/>
                  </a:ext>
                </a:extLst>
              </xdr:cNvPr>
              <xdr:cNvSpPr/>
            </xdr:nvSpPr>
            <xdr:spPr bwMode="auto">
              <a:xfrm>
                <a:off x="1790626" y="576109"/>
                <a:ext cx="713527" cy="1979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4" name="CaseAutre" hidden="1">
                <a:extLst>
                  <a:ext uri="{63B3BB69-23CF-44E3-9099-C40C66FF867C}">
                    <a14:compatExt spid="_x0000_s4124"/>
                  </a:ext>
                </a:extLst>
              </xdr:cNvPr>
              <xdr:cNvSpPr/>
            </xdr:nvSpPr>
            <xdr:spPr bwMode="auto">
              <a:xfrm>
                <a:off x="2780378" y="344743"/>
                <a:ext cx="714375" cy="2024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104775</xdr:rowOff>
        </xdr:from>
        <xdr:to>
          <xdr:col>1</xdr:col>
          <xdr:colOff>1066800</xdr:colOff>
          <xdr:row>2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23232</xdr:colOff>
      <xdr:row>3</xdr:row>
      <xdr:rowOff>127775</xdr:rowOff>
    </xdr:from>
    <xdr:to>
      <xdr:col>5</xdr:col>
      <xdr:colOff>743415</xdr:colOff>
      <xdr:row>30</xdr:row>
      <xdr:rowOff>127775</xdr:rowOff>
    </xdr:to>
    <xdr:graphicFrame macro="">
      <xdr:nvGraphicFramePr>
        <xdr:cNvPr id="2" name="Graph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9524</xdr:colOff>
      <xdr:row>3</xdr:row>
      <xdr:rowOff>127774</xdr:rowOff>
    </xdr:from>
    <xdr:to>
      <xdr:col>13</xdr:col>
      <xdr:colOff>2265091</xdr:colOff>
      <xdr:row>30</xdr:row>
      <xdr:rowOff>116158</xdr:rowOff>
    </xdr:to>
    <xdr:graphicFrame macro="">
      <xdr:nvGraphicFramePr>
        <xdr:cNvPr id="3" name="Graph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1633189</xdr:colOff>
      <xdr:row>33</xdr:row>
      <xdr:rowOff>27992</xdr:rowOff>
    </xdr:from>
    <xdr:to>
      <xdr:col>5</xdr:col>
      <xdr:colOff>743415</xdr:colOff>
      <xdr:row>59</xdr:row>
      <xdr:rowOff>127773</xdr:rowOff>
    </xdr:to>
    <xdr:graphicFrame macro="">
      <xdr:nvGraphicFramePr>
        <xdr:cNvPr id="4" name="Graphe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0</xdr:row>
          <xdr:rowOff>123825</xdr:rowOff>
        </xdr:from>
        <xdr:to>
          <xdr:col>1</xdr:col>
          <xdr:colOff>733425</xdr:colOff>
          <xdr:row>3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21140</xdr:colOff>
      <xdr:row>33</xdr:row>
      <xdr:rowOff>21141</xdr:rowOff>
    </xdr:from>
    <xdr:to>
      <xdr:col>13</xdr:col>
      <xdr:colOff>2276707</xdr:colOff>
      <xdr:row>59</xdr:row>
      <xdr:rowOff>116159</xdr:rowOff>
    </xdr:to>
    <xdr:graphicFrame macro="">
      <xdr:nvGraphicFramePr>
        <xdr:cNvPr id="9" name="Graphe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171450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23812</xdr:colOff>
      <xdr:row>4</xdr:row>
      <xdr:rowOff>19049</xdr:rowOff>
    </xdr:from>
    <xdr:to>
      <xdr:col>12</xdr:col>
      <xdr:colOff>28575</xdr:colOff>
      <xdr:row>30</xdr:row>
      <xdr:rowOff>9524</xdr:rowOff>
    </xdr:to>
    <xdr:graphicFrame macro="">
      <xdr:nvGraphicFramePr>
        <xdr:cNvPr id="11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0</xdr:rowOff>
        </xdr:from>
        <xdr:to>
          <xdr:col>5</xdr:col>
          <xdr:colOff>533400</xdr:colOff>
          <xdr:row>2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 les 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0</xdr:rowOff>
        </xdr:from>
        <xdr:to>
          <xdr:col>5</xdr:col>
          <xdr:colOff>533400</xdr:colOff>
          <xdr:row>2</xdr:row>
          <xdr:rowOff>95250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 les TRA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9525</xdr:colOff>
      <xdr:row>1</xdr:row>
      <xdr:rowOff>38100</xdr:rowOff>
    </xdr:from>
    <xdr:ext cx="544079" cy="552450"/>
    <xdr:pic>
      <xdr:nvPicPr>
        <xdr:cNvPr id="10" name="Picture 1" descr="http://ssl.gstatic.com/android/market/net.bnpparibas.mescomptes/hi-256-1-d12d1f2d73a35143e861dde752b3bc62c252367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90500"/>
          <a:ext cx="544079" cy="552450"/>
        </a:xfrm>
        <a:prstGeom prst="rect">
          <a:avLst/>
        </a:prstGeom>
        <a:noFill/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1</xdr:row>
          <xdr:rowOff>123825</xdr:rowOff>
        </xdr:from>
        <xdr:to>
          <xdr:col>8</xdr:col>
          <xdr:colOff>9525</xdr:colOff>
          <xdr:row>3</xdr:row>
          <xdr:rowOff>9525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9</xdr:row>
      <xdr:rowOff>142874</xdr:rowOff>
    </xdr:from>
    <xdr:to>
      <xdr:col>8</xdr:col>
      <xdr:colOff>457200</xdr:colOff>
      <xdr:row>12</xdr:row>
      <xdr:rowOff>19049</xdr:rowOff>
    </xdr:to>
    <xdr:sp macro="" textlink="">
      <xdr:nvSpPr>
        <xdr:cNvPr id="4" name="Shapes3"/>
        <xdr:cNvSpPr/>
      </xdr:nvSpPr>
      <xdr:spPr>
        <a:xfrm>
          <a:off x="2438400" y="1857374"/>
          <a:ext cx="4114800" cy="44767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 i="0" u="none" strike="noStrike">
              <a:solidFill>
                <a:srgbClr val="000000"/>
              </a:solidFill>
              <a:latin typeface="+mn-lt"/>
            </a:rPr>
            <a:t>Capital Net Investi diminué de la performance du Cours du sous-jacent</a:t>
          </a:r>
        </a:p>
      </xdr:txBody>
    </xdr:sp>
    <xdr:clientData/>
  </xdr:twoCellAnchor>
  <xdr:twoCellAnchor>
    <xdr:from>
      <xdr:col>3</xdr:col>
      <xdr:colOff>142875</xdr:colOff>
      <xdr:row>15</xdr:row>
      <xdr:rowOff>19049</xdr:rowOff>
    </xdr:from>
    <xdr:to>
      <xdr:col>7</xdr:col>
      <xdr:colOff>457201</xdr:colOff>
      <xdr:row>16</xdr:row>
      <xdr:rowOff>180974</xdr:rowOff>
    </xdr:to>
    <xdr:sp macro="" textlink="">
      <xdr:nvSpPr>
        <xdr:cNvPr id="5" name="Shapes4"/>
        <xdr:cNvSpPr/>
      </xdr:nvSpPr>
      <xdr:spPr>
        <a:xfrm>
          <a:off x="2428875" y="2876549"/>
          <a:ext cx="3362326" cy="3524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ysClr val="windowText" lastClr="000000"/>
              </a:solidFill>
              <a:latin typeface="+mn-lt"/>
            </a:rPr>
            <a:t>Capital Net Investi</a:t>
          </a:r>
        </a:p>
      </xdr:txBody>
    </xdr:sp>
    <xdr:clientData/>
  </xdr:twoCellAnchor>
  <xdr:twoCellAnchor>
    <xdr:from>
      <xdr:col>3</xdr:col>
      <xdr:colOff>152399</xdr:colOff>
      <xdr:row>4</xdr:row>
      <xdr:rowOff>104775</xdr:rowOff>
    </xdr:from>
    <xdr:to>
      <xdr:col>10</xdr:col>
      <xdr:colOff>638176</xdr:colOff>
      <xdr:row>6</xdr:row>
      <xdr:rowOff>161925</xdr:rowOff>
    </xdr:to>
    <xdr:grpSp>
      <xdr:nvGrpSpPr>
        <xdr:cNvPr id="8" name="Groupe 7"/>
        <xdr:cNvGrpSpPr/>
      </xdr:nvGrpSpPr>
      <xdr:grpSpPr>
        <a:xfrm>
          <a:off x="2438399" y="866775"/>
          <a:ext cx="5819777" cy="438150"/>
          <a:chOff x="2438399" y="866775"/>
          <a:chExt cx="5819777" cy="438150"/>
        </a:xfrm>
      </xdr:grpSpPr>
      <xdr:sp macro="" textlink="">
        <xdr:nvSpPr>
          <xdr:cNvPr id="2" name="Shapes1"/>
          <xdr:cNvSpPr/>
        </xdr:nvSpPr>
        <xdr:spPr>
          <a:xfrm>
            <a:off x="2438399" y="923925"/>
            <a:ext cx="2047876" cy="33337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00" b="1">
                <a:solidFill>
                  <a:sysClr val="windowText" lastClr="000000"/>
                </a:solidFill>
                <a:latin typeface="+mn-lt"/>
              </a:rPr>
              <a:t>Capital Net Investi</a:t>
            </a:r>
          </a:p>
        </xdr:txBody>
      </xdr:sp>
      <xdr:sp macro="" textlink="">
        <xdr:nvSpPr>
          <xdr:cNvPr id="3" name="Shapes2"/>
          <xdr:cNvSpPr/>
        </xdr:nvSpPr>
        <xdr:spPr>
          <a:xfrm>
            <a:off x="5114926" y="866775"/>
            <a:ext cx="3143250" cy="4381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+mn-lt"/>
              </a:rPr>
              <a:t>4% × nombre d'Année écoulées depuis la date de constatation initiale</a:t>
            </a:r>
          </a:p>
        </xdr:txBody>
      </xdr:sp>
      <xdr:sp macro="" textlink="">
        <xdr:nvSpPr>
          <xdr:cNvPr id="6" name="Plus 5"/>
          <xdr:cNvSpPr/>
        </xdr:nvSpPr>
        <xdr:spPr>
          <a:xfrm>
            <a:off x="4714875" y="990600"/>
            <a:ext cx="190500" cy="180975"/>
          </a:xfrm>
          <a:prstGeom prst="mathPlus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704850</xdr:colOff>
          <xdr:row>1</xdr:row>
          <xdr:rowOff>28575</xdr:rowOff>
        </xdr:from>
        <xdr:to>
          <xdr:col>2</xdr:col>
          <xdr:colOff>38100</xdr:colOff>
          <xdr:row>2</xdr:row>
          <xdr:rowOff>47625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Cliquez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219075</xdr:colOff>
      <xdr:row>21</xdr:row>
      <xdr:rowOff>180975</xdr:rowOff>
    </xdr:from>
    <xdr:to>
      <xdr:col>11</xdr:col>
      <xdr:colOff>661035</xdr:colOff>
      <xdr:row>23</xdr:row>
      <xdr:rowOff>152400</xdr:rowOff>
    </xdr:to>
    <xdr:grpSp>
      <xdr:nvGrpSpPr>
        <xdr:cNvPr id="14" name="Groupe 13"/>
        <xdr:cNvGrpSpPr/>
      </xdr:nvGrpSpPr>
      <xdr:grpSpPr>
        <a:xfrm>
          <a:off x="2505075" y="4181475"/>
          <a:ext cx="6537960" cy="352425"/>
          <a:chOff x="2486025" y="4210050"/>
          <a:chExt cx="6537960" cy="352425"/>
        </a:xfrm>
      </xdr:grpSpPr>
      <xdr:sp macro="" textlink="">
        <xdr:nvSpPr>
          <xdr:cNvPr id="11" name="Shapes5"/>
          <xdr:cNvSpPr/>
        </xdr:nvSpPr>
        <xdr:spPr>
          <a:xfrm>
            <a:off x="2486025" y="4210050"/>
            <a:ext cx="3362326" cy="35242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00" b="1">
                <a:solidFill>
                  <a:sysClr val="windowText" lastClr="000000"/>
                </a:solidFill>
                <a:latin typeface="+mn-lt"/>
              </a:rPr>
              <a:t>Capital Net Investi</a:t>
            </a:r>
          </a:p>
        </xdr:txBody>
      </xdr:sp>
      <xdr:sp macro="" textlink="">
        <xdr:nvSpPr>
          <xdr:cNvPr id="12" name="Plus 11"/>
          <xdr:cNvSpPr/>
        </xdr:nvSpPr>
        <xdr:spPr>
          <a:xfrm>
            <a:off x="5991225" y="4286250"/>
            <a:ext cx="190500" cy="180975"/>
          </a:xfrm>
          <a:prstGeom prst="mathPlus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Shapes6"/>
          <xdr:cNvSpPr/>
        </xdr:nvSpPr>
        <xdr:spPr>
          <a:xfrm>
            <a:off x="6372225" y="4229100"/>
            <a:ext cx="2651760" cy="309880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1000"/>
              </a:spcAft>
            </a:pPr>
            <a:r>
              <a:rPr lang="fr-FR" sz="1000" b="1">
                <a:effectLst/>
                <a:latin typeface="+mn-lt"/>
                <a:ea typeface="MS Mincho"/>
                <a:cs typeface="Times New Roman" panose="02020603050405020304" pitchFamily="18" charset="0"/>
              </a:rPr>
              <a:t>Un coupon de 4%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R37"/>
  <sheetViews>
    <sheetView workbookViewId="0">
      <selection activeCell="L41" sqref="L41"/>
    </sheetView>
  </sheetViews>
  <sheetFormatPr baseColWidth="10" defaultColWidth="11.42578125" defaultRowHeight="12" x14ac:dyDescent="0.2"/>
  <cols>
    <col min="1" max="16384" width="11.42578125" style="1"/>
  </cols>
  <sheetData>
    <row r="1" spans="1:18" ht="15" customHeight="1" x14ac:dyDescent="0.2">
      <c r="A1" s="119" t="s">
        <v>393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</row>
    <row r="2" spans="1:18" x14ac:dyDescent="0.2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</row>
    <row r="3" spans="1:18" x14ac:dyDescent="0.2">
      <c r="A3" s="119"/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</row>
    <row r="4" spans="1:18" x14ac:dyDescent="0.2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</row>
    <row r="5" spans="1:18" x14ac:dyDescent="0.2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</row>
    <row r="6" spans="1:18" x14ac:dyDescent="0.2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</row>
    <row r="7" spans="1:18" x14ac:dyDescent="0.2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</row>
    <row r="8" spans="1:18" x14ac:dyDescent="0.2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</row>
    <row r="9" spans="1:18" x14ac:dyDescent="0.2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</row>
    <row r="10" spans="1:18" x14ac:dyDescent="0.2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</row>
    <row r="11" spans="1:18" x14ac:dyDescent="0.2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</row>
    <row r="12" spans="1:18" x14ac:dyDescent="0.2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</row>
    <row r="13" spans="1:18" x14ac:dyDescent="0.2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</row>
    <row r="14" spans="1:18" x14ac:dyDescent="0.2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</row>
    <row r="15" spans="1:18" x14ac:dyDescent="0.2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</row>
    <row r="16" spans="1:18" x14ac:dyDescent="0.2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</row>
    <row r="17" spans="1:18" x14ac:dyDescent="0.2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</row>
    <row r="18" spans="1:18" x14ac:dyDescent="0.2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</row>
    <row r="19" spans="1:18" x14ac:dyDescent="0.2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</row>
    <row r="20" spans="1:18" x14ac:dyDescent="0.2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</row>
    <row r="21" spans="1:18" x14ac:dyDescent="0.2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</row>
    <row r="22" spans="1:18" x14ac:dyDescent="0.2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</row>
    <row r="23" spans="1:18" x14ac:dyDescent="0.2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</row>
    <row r="24" spans="1:18" x14ac:dyDescent="0.2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</row>
    <row r="25" spans="1:18" x14ac:dyDescent="0.2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</row>
    <row r="26" spans="1:18" x14ac:dyDescent="0.2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</row>
    <row r="27" spans="1:18" x14ac:dyDescent="0.2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</row>
    <row r="28" spans="1:18" x14ac:dyDescent="0.2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</row>
    <row r="29" spans="1:18" x14ac:dyDescent="0.2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</row>
    <row r="30" spans="1:18" x14ac:dyDescent="0.2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</row>
    <row r="31" spans="1:18" x14ac:dyDescent="0.2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</row>
    <row r="32" spans="1:18" x14ac:dyDescent="0.2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</row>
    <row r="33" spans="1:18" x14ac:dyDescent="0.2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</row>
    <row r="34" spans="1:18" x14ac:dyDescent="0.2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</row>
    <row r="35" spans="1:18" x14ac:dyDescent="0.2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</row>
    <row r="36" spans="1:18" x14ac:dyDescent="0.2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</row>
    <row r="37" spans="1:18" x14ac:dyDescent="0.2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</row>
  </sheetData>
  <mergeCells count="1">
    <mergeCell ref="A1:R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X1169"/>
  <sheetViews>
    <sheetView topLeftCell="A19" zoomScaleNormal="100" workbookViewId="0">
      <selection activeCell="B47" sqref="B47"/>
    </sheetView>
  </sheetViews>
  <sheetFormatPr baseColWidth="10" defaultColWidth="0" defaultRowHeight="12" zeroHeight="1" x14ac:dyDescent="0.2"/>
  <cols>
    <col min="1" max="1" width="40.7109375" style="83" bestFit="1" customWidth="1"/>
    <col min="2" max="2" width="36.85546875" style="83" customWidth="1"/>
    <col min="3" max="3" width="32.28515625" style="83" customWidth="1"/>
    <col min="4" max="4" width="26.5703125" style="91" customWidth="1"/>
    <col min="5" max="5" width="24.5703125" style="91" customWidth="1"/>
    <col min="6" max="6" width="22.42578125" style="91" customWidth="1"/>
    <col min="7" max="7" width="24.28515625" style="91" customWidth="1"/>
    <col min="8" max="8" width="27.140625" style="91" customWidth="1"/>
    <col min="9" max="9" width="19.42578125" style="91" customWidth="1"/>
    <col min="10" max="10" width="20.5703125" style="94" customWidth="1"/>
    <col min="11" max="11" width="46" style="91" hidden="1" customWidth="1"/>
    <col min="12" max="12" width="20.28515625" style="91" hidden="1" customWidth="1"/>
    <col min="13" max="13" width="17.7109375" style="91" hidden="1" customWidth="1"/>
    <col min="14" max="14" width="30.42578125" style="91" hidden="1" customWidth="1"/>
    <col min="15" max="15" width="34.140625" style="91" hidden="1" customWidth="1"/>
    <col min="16" max="16" width="18.42578125" style="91" hidden="1" customWidth="1"/>
    <col min="17" max="17" width="40.7109375" style="91" hidden="1" customWidth="1"/>
    <col min="18" max="18" width="29.42578125" style="91" hidden="1" customWidth="1"/>
    <col min="19" max="19" width="37" style="91" hidden="1" customWidth="1"/>
    <col min="20" max="20" width="33" style="91" hidden="1" customWidth="1"/>
    <col min="21" max="21" width="43.85546875" style="91" hidden="1" customWidth="1"/>
    <col min="22" max="22" width="17.7109375" style="91" hidden="1" customWidth="1"/>
    <col min="23" max="23" width="20.85546875" style="91" hidden="1" customWidth="1"/>
    <col min="24" max="24" width="18.42578125" style="91" hidden="1" customWidth="1"/>
    <col min="25" max="25" width="21.28515625" style="91" hidden="1" customWidth="1"/>
    <col min="26" max="26" width="0" style="91" hidden="1" customWidth="1"/>
    <col min="27" max="27" width="16.85546875" style="91" hidden="1" customWidth="1"/>
    <col min="28" max="28" width="0" style="91" hidden="1" customWidth="1"/>
    <col min="29" max="29" width="14.140625" style="91" hidden="1" customWidth="1"/>
    <col min="30" max="30" width="15.7109375" style="91" hidden="1" customWidth="1"/>
    <col min="31" max="31" width="27" style="91" hidden="1" customWidth="1"/>
    <col min="32" max="32" width="22.28515625" style="91" hidden="1" customWidth="1"/>
    <col min="33" max="33" width="15.85546875" style="91" hidden="1" customWidth="1"/>
    <col min="34" max="36" width="0" style="91" hidden="1" customWidth="1"/>
    <col min="37" max="37" width="23.140625" style="91" hidden="1" customWidth="1"/>
    <col min="38" max="38" width="22.7109375" style="91" hidden="1" customWidth="1"/>
    <col min="39" max="39" width="0" style="91" hidden="1" customWidth="1"/>
    <col min="40" max="40" width="15" style="91" hidden="1" customWidth="1"/>
    <col min="41" max="41" width="24.7109375" style="91" hidden="1" customWidth="1"/>
    <col min="42" max="42" width="13.28515625" style="91" hidden="1" customWidth="1"/>
    <col min="43" max="43" width="0" style="91" hidden="1" customWidth="1"/>
    <col min="44" max="44" width="17.42578125" style="91" hidden="1" customWidth="1"/>
    <col min="45" max="45" width="20.7109375" style="91" hidden="1" customWidth="1"/>
    <col min="46" max="46" width="29.140625" style="91" hidden="1" customWidth="1"/>
    <col min="47" max="47" width="12.7109375" style="91" hidden="1" customWidth="1"/>
    <col min="48" max="50" width="35.7109375" style="91" hidden="1" customWidth="1"/>
    <col min="51" max="16384" width="0" style="91" hidden="1"/>
  </cols>
  <sheetData>
    <row r="1" spans="1:28" s="83" customFormat="1" x14ac:dyDescent="0.2">
      <c r="J1" s="85"/>
    </row>
    <row r="2" spans="1:28" s="83" customFormat="1" x14ac:dyDescent="0.2">
      <c r="J2" s="85"/>
    </row>
    <row r="3" spans="1:28" s="83" customFormat="1" x14ac:dyDescent="0.2">
      <c r="F3" s="84"/>
      <c r="G3" s="84"/>
      <c r="J3" s="85"/>
      <c r="AB3" s="86"/>
    </row>
    <row r="4" spans="1:28" s="83" customFormat="1" x14ac:dyDescent="0.2">
      <c r="F4" s="84"/>
      <c r="G4" s="84"/>
      <c r="J4" s="85"/>
    </row>
    <row r="5" spans="1:28" s="83" customFormat="1" x14ac:dyDescent="0.2">
      <c r="J5" s="85"/>
    </row>
    <row r="6" spans="1:28" s="83" customFormat="1" x14ac:dyDescent="0.2">
      <c r="J6" s="85"/>
    </row>
    <row r="7" spans="1:28" s="83" customFormat="1" x14ac:dyDescent="0.2">
      <c r="J7" s="85"/>
    </row>
    <row r="8" spans="1:28" s="83" customFormat="1" x14ac:dyDescent="0.2">
      <c r="J8" s="85"/>
    </row>
    <row r="9" spans="1:28" s="83" customFormat="1" x14ac:dyDescent="0.2">
      <c r="A9" s="44" t="s">
        <v>368</v>
      </c>
      <c r="B9" s="87" t="s">
        <v>400</v>
      </c>
      <c r="J9" s="85"/>
    </row>
    <row r="10" spans="1:28" s="83" customFormat="1" x14ac:dyDescent="0.2">
      <c r="A10" s="44" t="s">
        <v>439</v>
      </c>
      <c r="B10" s="87" t="s">
        <v>12</v>
      </c>
      <c r="J10" s="85"/>
    </row>
    <row r="11" spans="1:28" s="83" customFormat="1" x14ac:dyDescent="0.2">
      <c r="A11" s="44" t="s">
        <v>467</v>
      </c>
      <c r="B11" s="87" t="s">
        <v>25</v>
      </c>
      <c r="J11" s="85"/>
    </row>
    <row r="12" spans="1:28" s="83" customFormat="1" x14ac:dyDescent="0.2">
      <c r="A12" s="44" t="s">
        <v>2</v>
      </c>
      <c r="B12" s="87" t="s">
        <v>401</v>
      </c>
      <c r="F12" s="84"/>
      <c r="J12" s="85"/>
    </row>
    <row r="13" spans="1:28" s="83" customFormat="1" x14ac:dyDescent="0.2">
      <c r="A13" s="44" t="s">
        <v>444</v>
      </c>
      <c r="B13" s="87" t="s">
        <v>402</v>
      </c>
      <c r="J13" s="85"/>
    </row>
    <row r="14" spans="1:28" s="83" customFormat="1" x14ac:dyDescent="0.2">
      <c r="A14" s="44" t="s">
        <v>0</v>
      </c>
      <c r="B14" s="87" t="s">
        <v>403</v>
      </c>
      <c r="J14" s="85"/>
    </row>
    <row r="15" spans="1:28" s="83" customFormat="1" x14ac:dyDescent="0.2">
      <c r="A15" s="44" t="s">
        <v>4</v>
      </c>
      <c r="B15" s="87" t="s">
        <v>404</v>
      </c>
      <c r="J15" s="85"/>
    </row>
    <row r="16" spans="1:28" s="83" customFormat="1" x14ac:dyDescent="0.2">
      <c r="A16" s="44" t="s">
        <v>3</v>
      </c>
      <c r="B16" s="87" t="s">
        <v>405</v>
      </c>
      <c r="J16" s="85"/>
    </row>
    <row r="17" spans="1:10" s="83" customFormat="1" x14ac:dyDescent="0.2">
      <c r="A17" s="44" t="s">
        <v>26</v>
      </c>
      <c r="B17" s="87" t="s">
        <v>406</v>
      </c>
      <c r="J17" s="85"/>
    </row>
    <row r="18" spans="1:10" s="83" customFormat="1" ht="30.75" customHeight="1" x14ac:dyDescent="0.2">
      <c r="A18" s="44" t="s">
        <v>27</v>
      </c>
      <c r="B18" s="87" t="s">
        <v>407</v>
      </c>
      <c r="D18" s="91"/>
      <c r="E18" s="91"/>
      <c r="F18" s="91"/>
      <c r="I18" s="85"/>
      <c r="J18" s="85"/>
    </row>
    <row r="19" spans="1:10" s="83" customFormat="1" ht="30.75" customHeight="1" x14ac:dyDescent="0.2">
      <c r="A19" s="44" t="s">
        <v>28</v>
      </c>
      <c r="B19" s="87" t="s">
        <v>408</v>
      </c>
      <c r="E19" s="98"/>
      <c r="F19" s="98"/>
      <c r="G19" s="99"/>
      <c r="H19" s="99"/>
      <c r="I19" s="100"/>
      <c r="J19" s="85"/>
    </row>
    <row r="20" spans="1:10" s="83" customFormat="1" x14ac:dyDescent="0.2">
      <c r="A20" s="44" t="s">
        <v>29</v>
      </c>
      <c r="B20" s="87"/>
      <c r="J20" s="97"/>
    </row>
    <row r="21" spans="1:10" s="83" customFormat="1" ht="24" x14ac:dyDescent="0.2">
      <c r="A21" s="106" t="s">
        <v>449</v>
      </c>
      <c r="B21" s="88">
        <v>30000000</v>
      </c>
      <c r="C21" s="96"/>
      <c r="D21" s="102"/>
      <c r="E21" s="101"/>
      <c r="F21" s="101"/>
      <c r="G21" s="101"/>
      <c r="H21" s="101"/>
      <c r="I21" s="101"/>
      <c r="J21" s="97"/>
    </row>
    <row r="22" spans="1:10" s="83" customFormat="1" x14ac:dyDescent="0.2">
      <c r="A22" s="44" t="s">
        <v>15</v>
      </c>
      <c r="B22" s="87" t="s">
        <v>409</v>
      </c>
      <c r="D22" s="84"/>
      <c r="E22" s="91"/>
      <c r="F22" s="91"/>
      <c r="G22" s="91"/>
      <c r="H22" s="91"/>
      <c r="I22" s="91"/>
      <c r="J22" s="85"/>
    </row>
    <row r="23" spans="1:10" s="83" customFormat="1" ht="24" x14ac:dyDescent="0.2">
      <c r="A23" s="106" t="s">
        <v>447</v>
      </c>
      <c r="B23" s="87">
        <v>1000</v>
      </c>
      <c r="D23" s="84"/>
      <c r="J23" s="85"/>
    </row>
    <row r="24" spans="1:10" s="83" customFormat="1" ht="18" customHeight="1" x14ac:dyDescent="0.2">
      <c r="A24" s="44" t="s">
        <v>448</v>
      </c>
      <c r="B24" s="87">
        <v>1000</v>
      </c>
      <c r="J24" s="85"/>
    </row>
    <row r="25" spans="1:10" s="83" customFormat="1" x14ac:dyDescent="0.2">
      <c r="A25" s="44" t="s">
        <v>5</v>
      </c>
      <c r="B25" s="87" t="s">
        <v>410</v>
      </c>
      <c r="J25" s="85"/>
    </row>
    <row r="26" spans="1:10" s="83" customFormat="1" x14ac:dyDescent="0.2">
      <c r="A26" s="44" t="s">
        <v>445</v>
      </c>
      <c r="B26" s="89">
        <v>1</v>
      </c>
      <c r="J26" s="85"/>
    </row>
    <row r="27" spans="1:10" s="83" customFormat="1" x14ac:dyDescent="0.2">
      <c r="A27" s="44" t="s">
        <v>6</v>
      </c>
      <c r="B27" s="90">
        <v>43383</v>
      </c>
      <c r="J27" s="85"/>
    </row>
    <row r="28" spans="1:10" s="83" customFormat="1" x14ac:dyDescent="0.2">
      <c r="A28" s="44" t="s">
        <v>372</v>
      </c>
      <c r="B28" s="90">
        <v>43444</v>
      </c>
      <c r="J28" s="85"/>
    </row>
    <row r="29" spans="1:10" s="83" customFormat="1" x14ac:dyDescent="0.2">
      <c r="A29" s="44" t="s">
        <v>16</v>
      </c>
      <c r="B29" s="90">
        <v>43448</v>
      </c>
      <c r="J29" s="85"/>
    </row>
    <row r="30" spans="1:10" s="83" customFormat="1" x14ac:dyDescent="0.2">
      <c r="A30" s="44" t="s">
        <v>17</v>
      </c>
      <c r="B30" s="90">
        <v>47101</v>
      </c>
      <c r="J30" s="85"/>
    </row>
    <row r="31" spans="1:10" s="83" customFormat="1" x14ac:dyDescent="0.2">
      <c r="A31" s="44" t="s">
        <v>415</v>
      </c>
      <c r="B31" s="90">
        <v>43448</v>
      </c>
      <c r="J31" s="85"/>
    </row>
    <row r="32" spans="1:10" s="83" customFormat="1" x14ac:dyDescent="0.2">
      <c r="A32" s="44" t="s">
        <v>394</v>
      </c>
      <c r="B32" s="87" t="s">
        <v>379</v>
      </c>
      <c r="J32" s="85"/>
    </row>
    <row r="33" spans="1:16" s="83" customFormat="1" x14ac:dyDescent="0.2">
      <c r="A33" s="44" t="s">
        <v>375</v>
      </c>
      <c r="B33" s="90">
        <v>43815</v>
      </c>
      <c r="J33" s="85"/>
    </row>
    <row r="34" spans="1:16" s="83" customFormat="1" x14ac:dyDescent="0.2">
      <c r="A34" s="44" t="s">
        <v>376</v>
      </c>
      <c r="B34" s="90">
        <v>46735</v>
      </c>
      <c r="J34" s="85"/>
    </row>
    <row r="35" spans="1:16" s="83" customFormat="1" x14ac:dyDescent="0.2">
      <c r="A35" s="44" t="s">
        <v>10</v>
      </c>
      <c r="B35" s="90">
        <v>43829</v>
      </c>
      <c r="J35" s="85"/>
    </row>
    <row r="36" spans="1:16" s="83" customFormat="1" x14ac:dyDescent="0.2">
      <c r="A36" s="44" t="s">
        <v>366</v>
      </c>
      <c r="B36" s="90">
        <v>46749</v>
      </c>
      <c r="E36" s="91"/>
      <c r="F36" s="91"/>
      <c r="G36" s="91"/>
      <c r="H36" s="91"/>
      <c r="I36" s="91"/>
      <c r="J36" s="85"/>
    </row>
    <row r="37" spans="1:16" x14ac:dyDescent="0.2">
      <c r="A37" s="44" t="s">
        <v>440</v>
      </c>
      <c r="B37" s="90">
        <v>47115</v>
      </c>
      <c r="J37" s="85"/>
      <c r="K37" s="83"/>
      <c r="L37" s="83"/>
      <c r="M37" s="83"/>
      <c r="N37" s="83"/>
      <c r="O37" s="83"/>
      <c r="P37" s="83"/>
    </row>
    <row r="38" spans="1:16" x14ac:dyDescent="0.2">
      <c r="A38" s="44" t="s">
        <v>8</v>
      </c>
      <c r="B38" s="87" t="s">
        <v>411</v>
      </c>
      <c r="J38" s="85"/>
      <c r="K38" s="83"/>
      <c r="L38" s="83"/>
      <c r="M38" s="83"/>
      <c r="N38" s="83"/>
      <c r="O38" s="83"/>
      <c r="P38" s="83"/>
    </row>
    <row r="39" spans="1:16" x14ac:dyDescent="0.2">
      <c r="A39" s="44" t="s">
        <v>9</v>
      </c>
      <c r="B39" s="87" t="s">
        <v>412</v>
      </c>
      <c r="J39" s="85"/>
      <c r="K39" s="83"/>
      <c r="L39" s="83"/>
      <c r="M39" s="83"/>
      <c r="N39" s="83"/>
      <c r="O39" s="83"/>
      <c r="P39" s="83"/>
    </row>
    <row r="40" spans="1:16" x14ac:dyDescent="0.2">
      <c r="A40" s="44" t="s">
        <v>21</v>
      </c>
      <c r="B40" s="105" t="str">
        <f>DATEDIF(B31,B37,"y") &amp; " ans et " &amp; DATEDIF(B31,B37,"md") &amp; " jours"</f>
        <v>10 ans et 14 jours</v>
      </c>
      <c r="J40" s="85"/>
      <c r="K40" s="83"/>
      <c r="L40" s="83"/>
      <c r="M40" s="83"/>
      <c r="N40" s="83"/>
      <c r="O40" s="83"/>
      <c r="P40" s="83"/>
    </row>
    <row r="41" spans="1:16" x14ac:dyDescent="0.2">
      <c r="A41" s="44" t="s">
        <v>441</v>
      </c>
      <c r="B41" s="92">
        <v>0.04</v>
      </c>
      <c r="E41" s="83"/>
      <c r="F41" s="83"/>
      <c r="G41" s="83"/>
      <c r="H41" s="83"/>
      <c r="I41" s="83"/>
      <c r="J41" s="85"/>
      <c r="K41" s="83"/>
      <c r="L41" s="83"/>
      <c r="M41" s="83"/>
      <c r="N41" s="83"/>
      <c r="O41" s="83"/>
      <c r="P41" s="83"/>
    </row>
    <row r="42" spans="1:16" x14ac:dyDescent="0.2">
      <c r="A42" s="44" t="s">
        <v>22</v>
      </c>
      <c r="B42" s="87" t="s">
        <v>411</v>
      </c>
      <c r="E42" s="83"/>
      <c r="F42" s="83"/>
      <c r="G42" s="83"/>
      <c r="H42" s="83"/>
      <c r="I42" s="83"/>
      <c r="J42" s="85"/>
      <c r="K42" s="83"/>
      <c r="L42" s="83"/>
      <c r="M42" s="83"/>
      <c r="N42" s="83"/>
      <c r="O42" s="83"/>
      <c r="P42" s="83"/>
    </row>
    <row r="43" spans="1:16" x14ac:dyDescent="0.2">
      <c r="A43" s="44" t="s">
        <v>395</v>
      </c>
      <c r="B43" s="93">
        <v>4.0000000000000001E-3</v>
      </c>
      <c r="E43" s="84"/>
      <c r="F43" s="83"/>
      <c r="G43" s="83"/>
      <c r="H43" s="83"/>
      <c r="I43" s="83"/>
      <c r="J43" s="85"/>
      <c r="K43" s="83"/>
      <c r="L43" s="83"/>
      <c r="M43" s="83"/>
      <c r="N43" s="83"/>
      <c r="O43" s="83"/>
      <c r="P43" s="83"/>
    </row>
    <row r="44" spans="1:16" ht="19.5" customHeight="1" x14ac:dyDescent="0.2">
      <c r="A44" s="44" t="s">
        <v>33</v>
      </c>
      <c r="B44" s="93">
        <v>0.01</v>
      </c>
      <c r="E44" s="84"/>
      <c r="H44" s="83"/>
      <c r="I44" s="83"/>
      <c r="J44" s="85"/>
      <c r="K44" s="83"/>
      <c r="L44" s="83"/>
      <c r="M44" s="83"/>
      <c r="N44" s="83"/>
      <c r="O44" s="83"/>
      <c r="P44" s="83"/>
    </row>
    <row r="45" spans="1:16" x14ac:dyDescent="0.2">
      <c r="A45" s="44" t="s">
        <v>367</v>
      </c>
      <c r="B45" s="87" t="s">
        <v>398</v>
      </c>
      <c r="J45" s="85"/>
      <c r="K45" s="83"/>
      <c r="L45" s="83"/>
      <c r="M45" s="83"/>
      <c r="N45" s="83"/>
      <c r="O45" s="83"/>
      <c r="P45" s="83"/>
    </row>
    <row r="46" spans="1:16" x14ac:dyDescent="0.2">
      <c r="A46" s="44" t="s">
        <v>459</v>
      </c>
      <c r="B46" s="87" t="s">
        <v>461</v>
      </c>
      <c r="J46" s="85"/>
      <c r="K46" s="83"/>
      <c r="L46" s="83"/>
      <c r="M46" s="83"/>
      <c r="N46" s="83"/>
      <c r="O46" s="83"/>
      <c r="P46" s="83"/>
    </row>
    <row r="47" spans="1:16" x14ac:dyDescent="0.2">
      <c r="A47" s="44" t="s">
        <v>14</v>
      </c>
      <c r="B47" s="87" t="s">
        <v>392</v>
      </c>
      <c r="E47" s="83"/>
      <c r="F47" s="83"/>
      <c r="G47" s="83"/>
      <c r="H47" s="83"/>
      <c r="I47" s="83"/>
      <c r="J47" s="85"/>
      <c r="K47" s="83"/>
      <c r="L47" s="83"/>
      <c r="M47" s="83"/>
      <c r="N47" s="83"/>
      <c r="O47" s="83"/>
      <c r="P47" s="83"/>
    </row>
    <row r="48" spans="1:16" x14ac:dyDescent="0.2">
      <c r="A48" s="44" t="s">
        <v>437</v>
      </c>
      <c r="B48" s="87">
        <v>1</v>
      </c>
      <c r="D48" s="83"/>
      <c r="E48" s="83"/>
      <c r="F48" s="83"/>
      <c r="G48" s="83"/>
      <c r="H48" s="83"/>
      <c r="I48" s="83"/>
      <c r="J48" s="85"/>
      <c r="K48" s="83"/>
      <c r="L48" s="83"/>
      <c r="M48" s="83"/>
      <c r="N48" s="83"/>
      <c r="O48" s="83"/>
      <c r="P48" s="83"/>
    </row>
    <row r="49" spans="1:16" x14ac:dyDescent="0.2">
      <c r="A49" s="44" t="s">
        <v>34</v>
      </c>
      <c r="B49" s="90">
        <v>42893</v>
      </c>
      <c r="D49" s="83"/>
      <c r="E49" s="83"/>
      <c r="F49" s="83"/>
      <c r="G49" s="83"/>
      <c r="H49" s="83"/>
      <c r="I49" s="83"/>
      <c r="J49" s="85"/>
      <c r="K49" s="83"/>
      <c r="L49" s="83"/>
      <c r="M49" s="83"/>
      <c r="N49" s="83"/>
      <c r="O49" s="83"/>
      <c r="P49" s="83"/>
    </row>
    <row r="50" spans="1:16" x14ac:dyDescent="0.2">
      <c r="A50" s="44" t="s">
        <v>35</v>
      </c>
      <c r="B50" s="87" t="s">
        <v>414</v>
      </c>
      <c r="D50" s="83"/>
      <c r="E50" s="83"/>
      <c r="F50" s="83"/>
      <c r="G50" s="83"/>
      <c r="H50" s="83"/>
      <c r="I50" s="83"/>
      <c r="J50" s="85"/>
      <c r="K50" s="83"/>
      <c r="L50" s="83"/>
      <c r="M50" s="83"/>
      <c r="N50" s="83"/>
      <c r="O50" s="83"/>
      <c r="P50" s="83"/>
    </row>
    <row r="51" spans="1:16" x14ac:dyDescent="0.2">
      <c r="A51" s="44" t="s">
        <v>446</v>
      </c>
      <c r="B51" s="87" t="s">
        <v>413</v>
      </c>
      <c r="D51" s="83"/>
      <c r="E51" s="83"/>
      <c r="F51" s="83"/>
      <c r="G51" s="83"/>
      <c r="H51" s="83"/>
      <c r="I51" s="83"/>
      <c r="J51" s="85"/>
      <c r="K51" s="83"/>
      <c r="L51" s="83"/>
      <c r="M51" s="83"/>
      <c r="N51" s="83"/>
      <c r="O51" s="83"/>
      <c r="P51" s="83"/>
    </row>
    <row r="52" spans="1:16" x14ac:dyDescent="0.2">
      <c r="A52" s="44" t="s">
        <v>397</v>
      </c>
      <c r="B52" s="82">
        <v>0.6</v>
      </c>
      <c r="D52" s="83"/>
      <c r="E52" s="83"/>
      <c r="F52" s="83"/>
      <c r="G52" s="83"/>
      <c r="H52" s="83"/>
      <c r="I52" s="83"/>
      <c r="J52" s="85"/>
      <c r="K52" s="83"/>
      <c r="L52" s="83"/>
      <c r="M52" s="83"/>
      <c r="N52" s="83"/>
      <c r="O52" s="83"/>
      <c r="P52" s="83"/>
    </row>
    <row r="53" spans="1:16" x14ac:dyDescent="0.2">
      <c r="A53" s="44" t="s">
        <v>456</v>
      </c>
      <c r="B53" s="117" t="s">
        <v>455</v>
      </c>
      <c r="D53" s="83"/>
      <c r="E53" s="83"/>
      <c r="F53" s="83"/>
      <c r="G53" s="83"/>
      <c r="H53" s="83"/>
      <c r="I53" s="83"/>
      <c r="J53" s="85"/>
      <c r="K53" s="83"/>
      <c r="L53" s="83"/>
      <c r="M53" s="83"/>
      <c r="N53" s="83"/>
      <c r="O53" s="83"/>
      <c r="P53" s="83"/>
    </row>
    <row r="54" spans="1:16" x14ac:dyDescent="0.2">
      <c r="D54" s="83"/>
      <c r="E54" s="83"/>
      <c r="F54" s="83"/>
      <c r="G54" s="83"/>
      <c r="H54" s="83"/>
      <c r="I54" s="83"/>
      <c r="J54" s="85"/>
      <c r="K54" s="83"/>
      <c r="L54" s="83"/>
      <c r="M54" s="83"/>
      <c r="N54" s="83"/>
      <c r="O54" s="83"/>
      <c r="P54" s="83"/>
    </row>
    <row r="55" spans="1:16" x14ac:dyDescent="0.2">
      <c r="D55" s="83"/>
      <c r="E55" s="83"/>
      <c r="F55" s="83"/>
      <c r="G55" s="83"/>
      <c r="H55" s="83"/>
      <c r="I55" s="83"/>
      <c r="J55" s="85"/>
      <c r="K55" s="83"/>
      <c r="L55" s="83"/>
      <c r="M55" s="83"/>
      <c r="N55" s="83"/>
      <c r="O55" s="83"/>
      <c r="P55" s="83"/>
    </row>
    <row r="56" spans="1:16" x14ac:dyDescent="0.2">
      <c r="D56" s="83"/>
      <c r="E56" s="83"/>
      <c r="F56" s="83"/>
      <c r="G56" s="83"/>
      <c r="H56" s="83"/>
      <c r="I56" s="83"/>
      <c r="J56" s="85"/>
      <c r="K56" s="83"/>
      <c r="L56" s="83"/>
      <c r="M56" s="83"/>
      <c r="N56" s="83"/>
      <c r="O56" s="83"/>
      <c r="P56" s="83"/>
    </row>
    <row r="57" spans="1:16" ht="19.5" customHeight="1" x14ac:dyDescent="0.2">
      <c r="A57" s="84"/>
      <c r="D57" s="83"/>
      <c r="E57" s="83"/>
      <c r="F57" s="83"/>
      <c r="G57" s="83"/>
      <c r="H57" s="83"/>
      <c r="I57" s="83"/>
      <c r="J57" s="85"/>
      <c r="K57" s="83"/>
      <c r="L57" s="83"/>
      <c r="M57" s="83"/>
      <c r="N57" s="83"/>
      <c r="O57" s="83"/>
      <c r="P57" s="83"/>
    </row>
    <row r="58" spans="1:16" ht="21.75" customHeight="1" x14ac:dyDescent="0.2">
      <c r="A58" s="84"/>
      <c r="D58" s="83"/>
      <c r="E58" s="83"/>
      <c r="F58" s="83"/>
      <c r="G58" s="83"/>
      <c r="H58" s="83"/>
      <c r="I58" s="83"/>
      <c r="J58" s="85"/>
      <c r="K58" s="83"/>
      <c r="L58" s="83"/>
      <c r="M58" s="83"/>
      <c r="N58" s="83"/>
      <c r="O58" s="83"/>
      <c r="P58" s="83"/>
    </row>
    <row r="59" spans="1:16" x14ac:dyDescent="0.2">
      <c r="A59" s="84"/>
      <c r="D59" s="83"/>
      <c r="E59" s="83"/>
      <c r="F59" s="83"/>
      <c r="G59" s="83"/>
      <c r="H59" s="83"/>
      <c r="I59" s="83"/>
      <c r="J59" s="85"/>
      <c r="K59" s="83"/>
      <c r="L59" s="83"/>
      <c r="M59" s="83"/>
      <c r="N59" s="83"/>
      <c r="O59" s="83"/>
      <c r="P59" s="83"/>
    </row>
    <row r="60" spans="1:16" x14ac:dyDescent="0.2">
      <c r="A60" s="84"/>
      <c r="D60" s="83"/>
      <c r="E60" s="83"/>
      <c r="F60" s="83"/>
      <c r="G60" s="83"/>
      <c r="H60" s="83"/>
      <c r="I60" s="83"/>
      <c r="J60" s="85"/>
      <c r="K60" s="83"/>
      <c r="L60" s="83"/>
      <c r="M60" s="83"/>
      <c r="N60" s="83"/>
      <c r="O60" s="83"/>
      <c r="P60" s="83"/>
    </row>
    <row r="61" spans="1:16" x14ac:dyDescent="0.2">
      <c r="A61" s="84"/>
      <c r="D61" s="83"/>
      <c r="E61" s="83"/>
      <c r="F61" s="83"/>
      <c r="G61" s="83"/>
      <c r="H61" s="83"/>
      <c r="I61" s="83"/>
      <c r="J61" s="85"/>
      <c r="K61" s="83"/>
      <c r="L61" s="83"/>
      <c r="M61" s="83"/>
      <c r="N61" s="83"/>
      <c r="O61" s="83"/>
      <c r="P61" s="83"/>
    </row>
    <row r="62" spans="1:16" x14ac:dyDescent="0.2">
      <c r="A62" s="84"/>
      <c r="D62" s="83"/>
      <c r="E62" s="83"/>
      <c r="F62" s="83"/>
      <c r="G62" s="83"/>
      <c r="H62" s="83"/>
      <c r="I62" s="83"/>
      <c r="J62" s="85"/>
      <c r="K62" s="83"/>
      <c r="L62" s="83"/>
      <c r="M62" s="83"/>
      <c r="N62" s="83"/>
      <c r="O62" s="83"/>
      <c r="P62" s="83"/>
    </row>
    <row r="63" spans="1:16" x14ac:dyDescent="0.2">
      <c r="A63" s="84"/>
      <c r="D63" s="83"/>
      <c r="E63" s="83"/>
      <c r="F63" s="83"/>
      <c r="G63" s="83"/>
      <c r="H63" s="83"/>
      <c r="I63" s="83"/>
      <c r="J63" s="85"/>
      <c r="K63" s="83"/>
      <c r="L63" s="83"/>
      <c r="M63" s="83"/>
      <c r="N63" s="83"/>
      <c r="O63" s="83"/>
      <c r="P63" s="83"/>
    </row>
    <row r="64" spans="1:16" x14ac:dyDescent="0.2">
      <c r="A64" s="84"/>
      <c r="D64" s="83"/>
      <c r="E64" s="83"/>
      <c r="F64" s="83"/>
      <c r="G64" s="83"/>
      <c r="H64" s="83"/>
      <c r="I64" s="83"/>
      <c r="J64" s="85"/>
      <c r="K64" s="83"/>
      <c r="L64" s="83"/>
      <c r="M64" s="83"/>
      <c r="N64" s="83"/>
      <c r="O64" s="83"/>
      <c r="P64" s="83"/>
    </row>
    <row r="65" spans="1:16" x14ac:dyDescent="0.2">
      <c r="A65" s="84"/>
      <c r="D65" s="83"/>
      <c r="E65" s="83"/>
      <c r="F65" s="83"/>
      <c r="G65" s="83"/>
      <c r="H65" s="83"/>
      <c r="I65" s="83"/>
      <c r="J65" s="85"/>
      <c r="K65" s="83"/>
      <c r="L65" s="83"/>
      <c r="M65" s="83"/>
      <c r="N65" s="83"/>
      <c r="O65" s="83"/>
      <c r="P65" s="83"/>
    </row>
    <row r="66" spans="1:16" x14ac:dyDescent="0.2">
      <c r="A66" s="84"/>
      <c r="D66" s="83"/>
      <c r="E66" s="83"/>
      <c r="F66" s="83"/>
      <c r="G66" s="83"/>
      <c r="H66" s="83"/>
      <c r="I66" s="83"/>
      <c r="J66" s="85"/>
      <c r="K66" s="83"/>
      <c r="L66" s="83"/>
      <c r="M66" s="83"/>
      <c r="N66" s="83"/>
      <c r="O66" s="83"/>
      <c r="P66" s="83"/>
    </row>
    <row r="67" spans="1:16" x14ac:dyDescent="0.2">
      <c r="A67" s="84"/>
      <c r="D67" s="83"/>
      <c r="E67" s="83"/>
      <c r="F67" s="83"/>
      <c r="G67" s="83"/>
      <c r="H67" s="83"/>
      <c r="I67" s="83"/>
      <c r="J67" s="85"/>
      <c r="K67" s="83"/>
      <c r="L67" s="83"/>
      <c r="M67" s="83"/>
      <c r="N67" s="83"/>
      <c r="O67" s="83"/>
      <c r="P67" s="83"/>
    </row>
    <row r="68" spans="1:16" x14ac:dyDescent="0.2">
      <c r="A68" s="84"/>
      <c r="D68" s="83"/>
      <c r="E68" s="83"/>
      <c r="F68" s="83"/>
      <c r="G68" s="83"/>
      <c r="H68" s="83"/>
      <c r="I68" s="83"/>
      <c r="J68" s="85"/>
      <c r="K68" s="83"/>
      <c r="L68" s="83"/>
      <c r="M68" s="83"/>
      <c r="N68" s="83"/>
      <c r="O68" s="83"/>
      <c r="P68" s="83"/>
    </row>
    <row r="69" spans="1:16" x14ac:dyDescent="0.2">
      <c r="A69" s="84"/>
      <c r="D69" s="83"/>
      <c r="E69" s="83"/>
      <c r="F69" s="83"/>
      <c r="G69" s="83"/>
      <c r="H69" s="83"/>
      <c r="I69" s="83"/>
      <c r="J69" s="85"/>
      <c r="K69" s="83"/>
      <c r="L69" s="83"/>
      <c r="M69" s="83"/>
      <c r="N69" s="83"/>
      <c r="O69" s="83"/>
      <c r="P69" s="83"/>
    </row>
    <row r="70" spans="1:16" x14ac:dyDescent="0.2">
      <c r="A70" s="84"/>
      <c r="D70" s="83"/>
      <c r="E70" s="83"/>
      <c r="F70" s="83"/>
      <c r="G70" s="83"/>
      <c r="H70" s="83"/>
      <c r="I70" s="83"/>
      <c r="J70" s="85"/>
      <c r="K70" s="83"/>
      <c r="L70" s="83"/>
      <c r="M70" s="83"/>
      <c r="N70" s="83"/>
      <c r="O70" s="83"/>
      <c r="P70" s="83"/>
    </row>
    <row r="71" spans="1:16" x14ac:dyDescent="0.2">
      <c r="A71" s="84"/>
      <c r="D71" s="83"/>
      <c r="E71" s="83"/>
      <c r="F71" s="83"/>
      <c r="G71" s="83"/>
      <c r="H71" s="83"/>
      <c r="I71" s="83"/>
      <c r="J71" s="85"/>
      <c r="K71" s="83"/>
      <c r="L71" s="83"/>
      <c r="M71" s="83"/>
      <c r="N71" s="83"/>
      <c r="O71" s="83"/>
      <c r="P71" s="83"/>
    </row>
    <row r="72" spans="1:16" x14ac:dyDescent="0.2">
      <c r="A72" s="84"/>
      <c r="D72" s="83"/>
      <c r="E72" s="83"/>
      <c r="F72" s="83"/>
      <c r="G72" s="83"/>
      <c r="H72" s="83"/>
      <c r="I72" s="83"/>
      <c r="J72" s="85"/>
      <c r="K72" s="83"/>
      <c r="L72" s="83"/>
      <c r="M72" s="83"/>
      <c r="N72" s="83"/>
      <c r="O72" s="83"/>
      <c r="P72" s="83"/>
    </row>
    <row r="73" spans="1:16" x14ac:dyDescent="0.2">
      <c r="A73" s="84"/>
      <c r="D73" s="83"/>
      <c r="E73" s="83"/>
      <c r="F73" s="83"/>
      <c r="G73" s="83"/>
      <c r="H73" s="83"/>
      <c r="I73" s="83"/>
      <c r="J73" s="85"/>
      <c r="K73" s="83"/>
      <c r="L73" s="83"/>
      <c r="M73" s="83"/>
      <c r="N73" s="83"/>
      <c r="O73" s="83"/>
      <c r="P73" s="83"/>
    </row>
    <row r="74" spans="1:16" x14ac:dyDescent="0.2">
      <c r="A74" s="84"/>
      <c r="D74" s="83"/>
      <c r="E74" s="83"/>
      <c r="F74" s="83"/>
      <c r="G74" s="83"/>
      <c r="H74" s="83"/>
      <c r="I74" s="83"/>
      <c r="J74" s="85"/>
      <c r="K74" s="83"/>
      <c r="L74" s="83"/>
      <c r="M74" s="83"/>
      <c r="N74" s="83"/>
      <c r="O74" s="83"/>
      <c r="P74" s="83"/>
    </row>
    <row r="75" spans="1:16" x14ac:dyDescent="0.2">
      <c r="A75" s="84"/>
      <c r="D75" s="83"/>
      <c r="E75" s="83"/>
      <c r="F75" s="83"/>
      <c r="G75" s="83"/>
      <c r="H75" s="83"/>
      <c r="I75" s="83"/>
      <c r="J75" s="85"/>
      <c r="K75" s="83"/>
      <c r="L75" s="83"/>
      <c r="M75" s="83"/>
      <c r="N75" s="83"/>
      <c r="O75" s="83"/>
      <c r="P75" s="83"/>
    </row>
    <row r="76" spans="1:16" x14ac:dyDescent="0.2">
      <c r="A76" s="84"/>
      <c r="D76" s="83"/>
      <c r="E76" s="83"/>
      <c r="F76" s="83"/>
      <c r="G76" s="83"/>
      <c r="H76" s="83"/>
      <c r="I76" s="83"/>
      <c r="J76" s="85"/>
      <c r="K76" s="83"/>
      <c r="L76" s="83"/>
      <c r="M76" s="83"/>
      <c r="N76" s="83"/>
      <c r="O76" s="83"/>
      <c r="P76" s="83"/>
    </row>
    <row r="77" spans="1:16" x14ac:dyDescent="0.2">
      <c r="A77" s="84"/>
      <c r="D77" s="83"/>
      <c r="E77" s="83"/>
      <c r="F77" s="83"/>
      <c r="G77" s="83"/>
      <c r="H77" s="83"/>
      <c r="I77" s="83"/>
      <c r="J77" s="85"/>
      <c r="K77" s="83"/>
      <c r="L77" s="83"/>
      <c r="M77" s="83"/>
      <c r="N77" s="83"/>
      <c r="O77" s="83"/>
      <c r="P77" s="83"/>
    </row>
    <row r="78" spans="1:16" x14ac:dyDescent="0.2">
      <c r="A78" s="84"/>
      <c r="D78" s="83"/>
      <c r="E78" s="83"/>
      <c r="F78" s="83"/>
      <c r="G78" s="83"/>
      <c r="H78" s="83"/>
      <c r="I78" s="83"/>
      <c r="J78" s="85"/>
      <c r="K78" s="83"/>
      <c r="L78" s="83"/>
      <c r="M78" s="83"/>
      <c r="N78" s="83"/>
      <c r="O78" s="83"/>
      <c r="P78" s="83"/>
    </row>
    <row r="79" spans="1:16" x14ac:dyDescent="0.2">
      <c r="A79" s="84"/>
      <c r="D79" s="83"/>
      <c r="E79" s="83"/>
      <c r="F79" s="83"/>
      <c r="G79" s="83"/>
      <c r="H79" s="83"/>
      <c r="I79" s="83"/>
      <c r="J79" s="85"/>
      <c r="K79" s="83"/>
      <c r="L79" s="83"/>
      <c r="M79" s="83"/>
      <c r="N79" s="83"/>
      <c r="O79" s="83"/>
      <c r="P79" s="83"/>
    </row>
    <row r="80" spans="1:16" x14ac:dyDescent="0.2">
      <c r="A80" s="84"/>
      <c r="D80" s="83"/>
      <c r="E80" s="83"/>
      <c r="F80" s="83"/>
      <c r="G80" s="83"/>
      <c r="H80" s="83"/>
      <c r="I80" s="83"/>
      <c r="J80" s="85"/>
      <c r="K80" s="83"/>
      <c r="L80" s="83"/>
      <c r="M80" s="83"/>
      <c r="N80" s="83"/>
      <c r="O80" s="83"/>
      <c r="P80" s="83"/>
    </row>
    <row r="81" spans="1:16" x14ac:dyDescent="0.2">
      <c r="A81" s="84"/>
      <c r="D81" s="83"/>
      <c r="E81" s="83"/>
      <c r="F81" s="83"/>
      <c r="G81" s="83"/>
      <c r="H81" s="83"/>
      <c r="I81" s="83"/>
      <c r="J81" s="85"/>
      <c r="K81" s="83"/>
      <c r="L81" s="83"/>
      <c r="M81" s="83"/>
      <c r="N81" s="83"/>
      <c r="O81" s="83"/>
      <c r="P81" s="83"/>
    </row>
    <row r="82" spans="1:16" x14ac:dyDescent="0.2">
      <c r="A82" s="84"/>
      <c r="D82" s="83"/>
      <c r="E82" s="83"/>
      <c r="F82" s="83"/>
      <c r="G82" s="83"/>
      <c r="H82" s="83"/>
      <c r="I82" s="83"/>
      <c r="J82" s="85"/>
      <c r="K82" s="83"/>
      <c r="L82" s="83"/>
      <c r="M82" s="83"/>
      <c r="N82" s="83"/>
      <c r="O82" s="83"/>
      <c r="P82" s="83"/>
    </row>
    <row r="83" spans="1:16" x14ac:dyDescent="0.2">
      <c r="A83" s="84"/>
      <c r="D83" s="83"/>
      <c r="E83" s="83"/>
      <c r="F83" s="83"/>
      <c r="G83" s="83"/>
      <c r="H83" s="83"/>
      <c r="I83" s="83"/>
      <c r="J83" s="85"/>
      <c r="K83" s="83"/>
      <c r="L83" s="83"/>
      <c r="M83" s="83"/>
      <c r="N83" s="83"/>
      <c r="O83" s="83"/>
      <c r="P83" s="83"/>
    </row>
    <row r="84" spans="1:16" x14ac:dyDescent="0.2">
      <c r="A84" s="84"/>
      <c r="D84" s="83"/>
      <c r="E84" s="83"/>
      <c r="F84" s="83"/>
      <c r="G84" s="83"/>
      <c r="H84" s="83"/>
      <c r="I84" s="83"/>
      <c r="J84" s="85"/>
      <c r="K84" s="83"/>
      <c r="L84" s="83"/>
      <c r="M84" s="83"/>
      <c r="N84" s="83"/>
      <c r="O84" s="83"/>
      <c r="P84" s="83"/>
    </row>
    <row r="85" spans="1:16" x14ac:dyDescent="0.2">
      <c r="A85" s="84"/>
      <c r="D85" s="83"/>
      <c r="E85" s="83"/>
      <c r="F85" s="83"/>
      <c r="G85" s="83"/>
      <c r="H85" s="83"/>
      <c r="I85" s="83"/>
      <c r="J85" s="85"/>
      <c r="K85" s="83"/>
      <c r="L85" s="83"/>
      <c r="M85" s="83"/>
      <c r="N85" s="83"/>
      <c r="O85" s="83"/>
      <c r="P85" s="83"/>
    </row>
    <row r="86" spans="1:16" x14ac:dyDescent="0.2">
      <c r="A86" s="84"/>
      <c r="D86" s="83"/>
      <c r="E86" s="83"/>
      <c r="F86" s="83"/>
      <c r="G86" s="83"/>
      <c r="H86" s="83"/>
      <c r="I86" s="83"/>
      <c r="J86" s="85"/>
      <c r="K86" s="83"/>
      <c r="L86" s="83"/>
      <c r="M86" s="83"/>
      <c r="N86" s="83"/>
      <c r="O86" s="83"/>
      <c r="P86" s="83"/>
    </row>
    <row r="87" spans="1:16" x14ac:dyDescent="0.2">
      <c r="A87" s="84"/>
      <c r="D87" s="83"/>
      <c r="E87" s="83"/>
      <c r="F87" s="83"/>
      <c r="G87" s="83"/>
      <c r="H87" s="83"/>
      <c r="I87" s="83"/>
      <c r="J87" s="85"/>
      <c r="K87" s="83"/>
      <c r="L87" s="83"/>
      <c r="M87" s="83"/>
      <c r="N87" s="83"/>
      <c r="O87" s="83"/>
      <c r="P87" s="83"/>
    </row>
    <row r="88" spans="1:16" x14ac:dyDescent="0.2">
      <c r="A88" s="84"/>
      <c r="D88" s="83"/>
      <c r="E88" s="83"/>
      <c r="F88" s="83"/>
      <c r="G88" s="83"/>
      <c r="H88" s="83"/>
      <c r="I88" s="83"/>
      <c r="J88" s="85"/>
      <c r="K88" s="83"/>
      <c r="L88" s="83"/>
      <c r="M88" s="83"/>
      <c r="N88" s="83"/>
      <c r="O88" s="83"/>
      <c r="P88" s="83"/>
    </row>
    <row r="89" spans="1:16" x14ac:dyDescent="0.2">
      <c r="A89" s="84"/>
      <c r="D89" s="83"/>
      <c r="E89" s="83"/>
      <c r="F89" s="83"/>
      <c r="G89" s="83"/>
      <c r="H89" s="83"/>
      <c r="I89" s="83"/>
      <c r="J89" s="85"/>
      <c r="K89" s="83"/>
      <c r="L89" s="83"/>
      <c r="M89" s="83"/>
      <c r="N89" s="83"/>
      <c r="O89" s="83"/>
      <c r="P89" s="83"/>
    </row>
    <row r="90" spans="1:16" x14ac:dyDescent="0.2">
      <c r="A90" s="84"/>
      <c r="D90" s="83"/>
      <c r="E90" s="83"/>
      <c r="F90" s="83"/>
      <c r="G90" s="83"/>
      <c r="H90" s="83"/>
      <c r="I90" s="83"/>
      <c r="J90" s="85"/>
      <c r="K90" s="83"/>
      <c r="L90" s="83"/>
      <c r="M90" s="83"/>
      <c r="N90" s="83"/>
      <c r="O90" s="83"/>
      <c r="P90" s="83"/>
    </row>
    <row r="91" spans="1:16" x14ac:dyDescent="0.2">
      <c r="A91" s="84"/>
      <c r="D91" s="83"/>
      <c r="E91" s="83"/>
      <c r="F91" s="83"/>
      <c r="G91" s="83"/>
      <c r="H91" s="83"/>
      <c r="I91" s="83"/>
      <c r="J91" s="85"/>
      <c r="K91" s="83"/>
      <c r="L91" s="83"/>
      <c r="M91" s="83"/>
      <c r="N91" s="83"/>
      <c r="O91" s="83"/>
      <c r="P91" s="83"/>
    </row>
    <row r="92" spans="1:16" x14ac:dyDescent="0.2">
      <c r="A92" s="84"/>
      <c r="D92" s="83"/>
      <c r="E92" s="83"/>
      <c r="F92" s="83"/>
      <c r="G92" s="83"/>
      <c r="H92" s="83"/>
      <c r="I92" s="83"/>
      <c r="J92" s="85"/>
      <c r="K92" s="83"/>
      <c r="L92" s="83"/>
      <c r="M92" s="83"/>
      <c r="N92" s="83"/>
      <c r="O92" s="83"/>
      <c r="P92" s="83"/>
    </row>
    <row r="93" spans="1:16" x14ac:dyDescent="0.2">
      <c r="A93" s="84"/>
      <c r="D93" s="83"/>
      <c r="E93" s="83"/>
      <c r="F93" s="83"/>
      <c r="G93" s="83"/>
      <c r="H93" s="83"/>
      <c r="I93" s="83"/>
      <c r="J93" s="85"/>
      <c r="K93" s="83"/>
      <c r="L93" s="83"/>
      <c r="M93" s="83"/>
      <c r="N93" s="83"/>
      <c r="O93" s="83"/>
      <c r="P93" s="83"/>
    </row>
    <row r="94" spans="1:16" x14ac:dyDescent="0.2">
      <c r="A94" s="84"/>
      <c r="D94" s="83"/>
      <c r="E94" s="83"/>
      <c r="F94" s="83"/>
      <c r="G94" s="83"/>
      <c r="H94" s="83"/>
      <c r="I94" s="83"/>
      <c r="J94" s="85"/>
      <c r="K94" s="83"/>
      <c r="L94" s="83"/>
      <c r="M94" s="83"/>
      <c r="N94" s="83"/>
      <c r="O94" s="83"/>
      <c r="P94" s="83"/>
    </row>
    <row r="95" spans="1:16" x14ac:dyDescent="0.2">
      <c r="A95" s="84"/>
      <c r="D95" s="83"/>
      <c r="E95" s="83"/>
      <c r="F95" s="83"/>
      <c r="G95" s="83"/>
      <c r="H95" s="83"/>
      <c r="I95" s="83"/>
      <c r="J95" s="85"/>
      <c r="K95" s="83"/>
      <c r="L95" s="83"/>
      <c r="M95" s="83"/>
      <c r="N95" s="83"/>
      <c r="O95" s="83"/>
      <c r="P95" s="83"/>
    </row>
    <row r="96" spans="1:16" x14ac:dyDescent="0.2">
      <c r="A96" s="84"/>
      <c r="D96" s="83"/>
      <c r="E96" s="83"/>
      <c r="F96" s="83"/>
      <c r="G96" s="83"/>
      <c r="H96" s="83"/>
      <c r="I96" s="83"/>
      <c r="J96" s="85"/>
      <c r="K96" s="83"/>
      <c r="L96" s="83"/>
      <c r="M96" s="83"/>
      <c r="N96" s="83"/>
      <c r="O96" s="83"/>
      <c r="P96" s="83"/>
    </row>
    <row r="97" spans="1:16" x14ac:dyDescent="0.2">
      <c r="A97" s="84"/>
      <c r="D97" s="83"/>
      <c r="E97" s="83"/>
      <c r="F97" s="83"/>
      <c r="G97" s="83"/>
      <c r="H97" s="83"/>
      <c r="I97" s="83"/>
      <c r="J97" s="85"/>
      <c r="K97" s="83"/>
      <c r="L97" s="83"/>
      <c r="M97" s="83"/>
      <c r="N97" s="83"/>
      <c r="O97" s="83"/>
      <c r="P97" s="83"/>
    </row>
    <row r="98" spans="1:16" x14ac:dyDescent="0.2">
      <c r="A98" s="84"/>
      <c r="D98" s="83"/>
      <c r="E98" s="83"/>
      <c r="F98" s="83"/>
      <c r="G98" s="83"/>
      <c r="H98" s="83"/>
      <c r="I98" s="83"/>
      <c r="J98" s="85"/>
      <c r="K98" s="83"/>
      <c r="L98" s="83"/>
      <c r="M98" s="83"/>
      <c r="N98" s="83"/>
      <c r="O98" s="83"/>
      <c r="P98" s="83"/>
    </row>
    <row r="99" spans="1:16" x14ac:dyDescent="0.2">
      <c r="A99" s="84"/>
      <c r="D99" s="83"/>
      <c r="E99" s="83"/>
      <c r="F99" s="83"/>
      <c r="G99" s="83"/>
      <c r="H99" s="83"/>
      <c r="I99" s="83"/>
      <c r="J99" s="85"/>
      <c r="K99" s="83"/>
      <c r="L99" s="83"/>
      <c r="M99" s="83"/>
      <c r="N99" s="83"/>
      <c r="O99" s="83"/>
      <c r="P99" s="83"/>
    </row>
    <row r="100" spans="1:16" x14ac:dyDescent="0.2">
      <c r="A100" s="84"/>
      <c r="D100" s="83"/>
      <c r="E100" s="83"/>
      <c r="F100" s="83"/>
      <c r="G100" s="83"/>
      <c r="H100" s="83"/>
      <c r="I100" s="83"/>
      <c r="J100" s="85"/>
      <c r="K100" s="83"/>
      <c r="L100" s="83"/>
      <c r="M100" s="83"/>
      <c r="N100" s="83"/>
      <c r="O100" s="83"/>
      <c r="P100" s="83"/>
    </row>
    <row r="101" spans="1:16" x14ac:dyDescent="0.2">
      <c r="A101" s="84"/>
      <c r="D101" s="83"/>
      <c r="E101" s="83"/>
      <c r="F101" s="83"/>
      <c r="G101" s="83"/>
      <c r="H101" s="83"/>
      <c r="I101" s="83"/>
      <c r="J101" s="85"/>
      <c r="K101" s="83"/>
      <c r="L101" s="83"/>
      <c r="M101" s="83"/>
      <c r="N101" s="83"/>
      <c r="O101" s="83"/>
      <c r="P101" s="83"/>
    </row>
    <row r="102" spans="1:16" x14ac:dyDescent="0.2">
      <c r="A102" s="84"/>
      <c r="D102" s="83"/>
      <c r="E102" s="83"/>
      <c r="F102" s="83"/>
      <c r="G102" s="83"/>
      <c r="H102" s="83"/>
      <c r="I102" s="83"/>
      <c r="J102" s="85"/>
      <c r="K102" s="83"/>
      <c r="L102" s="83"/>
      <c r="M102" s="83"/>
      <c r="N102" s="83"/>
      <c r="O102" s="83"/>
      <c r="P102" s="83"/>
    </row>
    <row r="103" spans="1:16" x14ac:dyDescent="0.2">
      <c r="A103" s="84"/>
      <c r="D103" s="83"/>
      <c r="E103" s="83"/>
      <c r="F103" s="83"/>
      <c r="G103" s="83"/>
      <c r="H103" s="83"/>
      <c r="I103" s="83"/>
      <c r="J103" s="85"/>
      <c r="K103" s="83"/>
      <c r="L103" s="83"/>
      <c r="M103" s="83"/>
      <c r="N103" s="83"/>
      <c r="O103" s="83"/>
      <c r="P103" s="83"/>
    </row>
    <row r="104" spans="1:16" x14ac:dyDescent="0.2">
      <c r="A104" s="84"/>
      <c r="D104" s="83"/>
      <c r="E104" s="83"/>
      <c r="F104" s="83"/>
      <c r="G104" s="83"/>
      <c r="H104" s="83"/>
      <c r="I104" s="83"/>
      <c r="J104" s="85"/>
      <c r="K104" s="83"/>
      <c r="L104" s="83"/>
      <c r="M104" s="83"/>
      <c r="N104" s="83"/>
      <c r="O104" s="83"/>
      <c r="P104" s="83"/>
    </row>
    <row r="105" spans="1:16" x14ac:dyDescent="0.2">
      <c r="A105" s="84"/>
      <c r="D105" s="83"/>
      <c r="E105" s="83"/>
      <c r="F105" s="83"/>
      <c r="G105" s="83"/>
      <c r="H105" s="83"/>
      <c r="I105" s="83"/>
      <c r="J105" s="85"/>
      <c r="K105" s="83"/>
      <c r="L105" s="83"/>
      <c r="M105" s="83"/>
      <c r="N105" s="83"/>
      <c r="O105" s="83"/>
      <c r="P105" s="83"/>
    </row>
    <row r="106" spans="1:16" x14ac:dyDescent="0.2">
      <c r="A106" s="84"/>
      <c r="D106" s="83"/>
      <c r="E106" s="83"/>
      <c r="F106" s="83"/>
      <c r="G106" s="83"/>
      <c r="H106" s="83"/>
      <c r="I106" s="83"/>
      <c r="J106" s="85"/>
      <c r="K106" s="83"/>
      <c r="L106" s="83"/>
      <c r="M106" s="83"/>
      <c r="N106" s="83"/>
      <c r="O106" s="83"/>
      <c r="P106" s="83"/>
    </row>
    <row r="107" spans="1:16" x14ac:dyDescent="0.2">
      <c r="A107" s="84"/>
      <c r="D107" s="83"/>
      <c r="E107" s="83"/>
      <c r="F107" s="83"/>
      <c r="G107" s="83"/>
      <c r="H107" s="83"/>
      <c r="I107" s="83"/>
      <c r="J107" s="85"/>
      <c r="K107" s="83"/>
      <c r="L107" s="83"/>
      <c r="M107" s="83"/>
      <c r="N107" s="83"/>
      <c r="O107" s="83"/>
      <c r="P107" s="83"/>
    </row>
    <row r="108" spans="1:16" x14ac:dyDescent="0.2">
      <c r="A108" s="84"/>
      <c r="D108" s="83"/>
      <c r="E108" s="83"/>
      <c r="F108" s="83"/>
      <c r="G108" s="83"/>
      <c r="H108" s="83"/>
      <c r="I108" s="83"/>
      <c r="J108" s="85"/>
      <c r="K108" s="83"/>
      <c r="L108" s="83"/>
      <c r="M108" s="83"/>
      <c r="N108" s="83"/>
      <c r="O108" s="83"/>
      <c r="P108" s="83"/>
    </row>
    <row r="109" spans="1:16" x14ac:dyDescent="0.2">
      <c r="A109" s="84"/>
      <c r="D109" s="83"/>
      <c r="E109" s="83"/>
      <c r="F109" s="83"/>
      <c r="G109" s="83"/>
      <c r="H109" s="83"/>
      <c r="I109" s="83"/>
      <c r="J109" s="85"/>
      <c r="K109" s="83"/>
      <c r="L109" s="83"/>
      <c r="M109" s="83"/>
      <c r="N109" s="83"/>
      <c r="O109" s="83"/>
      <c r="P109" s="83"/>
    </row>
    <row r="110" spans="1:16" x14ac:dyDescent="0.2">
      <c r="A110" s="84"/>
      <c r="D110" s="83"/>
      <c r="E110" s="83"/>
      <c r="F110" s="83"/>
      <c r="G110" s="83"/>
      <c r="H110" s="83"/>
      <c r="I110" s="83"/>
      <c r="J110" s="85"/>
      <c r="K110" s="83"/>
      <c r="L110" s="83"/>
      <c r="M110" s="83"/>
      <c r="N110" s="83"/>
      <c r="O110" s="83"/>
      <c r="P110" s="83"/>
    </row>
    <row r="111" spans="1:16" x14ac:dyDescent="0.2">
      <c r="A111" s="84"/>
      <c r="D111" s="83"/>
      <c r="E111" s="83"/>
      <c r="F111" s="83"/>
      <c r="G111" s="83"/>
      <c r="H111" s="83"/>
      <c r="I111" s="83"/>
      <c r="J111" s="85"/>
      <c r="K111" s="83"/>
      <c r="L111" s="83"/>
      <c r="M111" s="83"/>
      <c r="N111" s="83"/>
      <c r="O111" s="83"/>
      <c r="P111" s="83"/>
    </row>
    <row r="112" spans="1:16" x14ac:dyDescent="0.2">
      <c r="A112" s="84"/>
      <c r="D112" s="83"/>
      <c r="E112" s="83"/>
      <c r="F112" s="83"/>
      <c r="G112" s="83"/>
      <c r="H112" s="83"/>
      <c r="I112" s="83"/>
      <c r="J112" s="85"/>
      <c r="K112" s="83"/>
      <c r="L112" s="83"/>
      <c r="M112" s="83"/>
      <c r="N112" s="83"/>
      <c r="O112" s="83"/>
      <c r="P112" s="83"/>
    </row>
    <row r="113" spans="1:16" x14ac:dyDescent="0.2">
      <c r="A113" s="84"/>
      <c r="D113" s="83"/>
      <c r="E113" s="83"/>
      <c r="F113" s="83"/>
      <c r="G113" s="83"/>
      <c r="H113" s="83"/>
      <c r="I113" s="83"/>
      <c r="J113" s="85"/>
      <c r="K113" s="83"/>
      <c r="L113" s="83"/>
      <c r="M113" s="83"/>
      <c r="N113" s="83"/>
      <c r="O113" s="83"/>
      <c r="P113" s="83"/>
    </row>
    <row r="114" spans="1:16" x14ac:dyDescent="0.2">
      <c r="A114" s="84"/>
      <c r="D114" s="83"/>
      <c r="E114" s="83"/>
      <c r="F114" s="83"/>
      <c r="G114" s="83"/>
      <c r="H114" s="83"/>
      <c r="I114" s="83"/>
      <c r="J114" s="85"/>
      <c r="K114" s="83"/>
      <c r="L114" s="83"/>
      <c r="M114" s="83"/>
      <c r="N114" s="83"/>
      <c r="O114" s="83"/>
      <c r="P114" s="83"/>
    </row>
    <row r="115" spans="1:16" x14ac:dyDescent="0.2">
      <c r="A115" s="84"/>
      <c r="D115" s="83"/>
      <c r="E115" s="83"/>
      <c r="F115" s="83"/>
      <c r="G115" s="83"/>
      <c r="H115" s="83"/>
      <c r="I115" s="83"/>
      <c r="J115" s="85"/>
      <c r="K115" s="83"/>
      <c r="L115" s="83"/>
      <c r="M115" s="83"/>
      <c r="N115" s="83"/>
      <c r="O115" s="83"/>
      <c r="P115" s="83"/>
    </row>
    <row r="116" spans="1:16" x14ac:dyDescent="0.2">
      <c r="A116" s="84"/>
      <c r="D116" s="83"/>
      <c r="E116" s="83"/>
      <c r="F116" s="83"/>
      <c r="G116" s="83"/>
      <c r="H116" s="83"/>
      <c r="I116" s="83"/>
      <c r="J116" s="85"/>
      <c r="K116" s="83"/>
      <c r="L116" s="83"/>
      <c r="M116" s="83"/>
      <c r="N116" s="83"/>
      <c r="O116" s="83"/>
      <c r="P116" s="83"/>
    </row>
    <row r="117" spans="1:16" x14ac:dyDescent="0.2">
      <c r="A117" s="84"/>
      <c r="D117" s="83"/>
      <c r="E117" s="83"/>
      <c r="F117" s="83"/>
      <c r="G117" s="83"/>
      <c r="H117" s="83"/>
      <c r="I117" s="83"/>
      <c r="J117" s="85"/>
      <c r="K117" s="83"/>
      <c r="L117" s="83"/>
      <c r="M117" s="83"/>
      <c r="N117" s="83"/>
      <c r="O117" s="83"/>
      <c r="P117" s="83"/>
    </row>
    <row r="118" spans="1:16" x14ac:dyDescent="0.2">
      <c r="A118" s="84"/>
      <c r="D118" s="83"/>
      <c r="E118" s="83"/>
      <c r="F118" s="83"/>
      <c r="G118" s="83"/>
      <c r="H118" s="83"/>
      <c r="I118" s="83"/>
      <c r="J118" s="85"/>
      <c r="K118" s="83"/>
      <c r="L118" s="83"/>
      <c r="M118" s="83"/>
      <c r="N118" s="83"/>
      <c r="O118" s="83"/>
      <c r="P118" s="83"/>
    </row>
    <row r="119" spans="1:16" x14ac:dyDescent="0.2">
      <c r="A119" s="84"/>
      <c r="D119" s="83"/>
      <c r="E119" s="83"/>
      <c r="F119" s="83"/>
      <c r="G119" s="83"/>
      <c r="H119" s="83"/>
      <c r="I119" s="83"/>
      <c r="J119" s="85"/>
      <c r="K119" s="83"/>
      <c r="L119" s="83"/>
      <c r="M119" s="83"/>
      <c r="N119" s="83"/>
      <c r="O119" s="83"/>
      <c r="P119" s="83"/>
    </row>
    <row r="120" spans="1:16" x14ac:dyDescent="0.2">
      <c r="A120" s="84"/>
      <c r="D120" s="83"/>
      <c r="E120" s="83"/>
      <c r="F120" s="83"/>
      <c r="G120" s="83"/>
      <c r="H120" s="83"/>
      <c r="I120" s="83"/>
      <c r="J120" s="85"/>
      <c r="K120" s="83"/>
      <c r="L120" s="83"/>
      <c r="M120" s="83"/>
      <c r="N120" s="83"/>
      <c r="O120" s="83"/>
      <c r="P120" s="83"/>
    </row>
    <row r="121" spans="1:16" x14ac:dyDescent="0.2">
      <c r="A121" s="84"/>
      <c r="D121" s="83"/>
      <c r="E121" s="83"/>
      <c r="F121" s="83"/>
      <c r="G121" s="83"/>
      <c r="H121" s="83"/>
      <c r="I121" s="83"/>
      <c r="J121" s="85"/>
      <c r="K121" s="83"/>
      <c r="L121" s="83"/>
      <c r="M121" s="83"/>
      <c r="N121" s="83"/>
      <c r="O121" s="83"/>
      <c r="P121" s="83"/>
    </row>
    <row r="122" spans="1:16" x14ac:dyDescent="0.2">
      <c r="A122" s="84"/>
      <c r="D122" s="83"/>
      <c r="E122" s="83"/>
      <c r="F122" s="83"/>
      <c r="G122" s="83"/>
      <c r="H122" s="83"/>
      <c r="I122" s="83"/>
      <c r="J122" s="85"/>
      <c r="K122" s="83"/>
      <c r="L122" s="83"/>
      <c r="M122" s="83"/>
      <c r="N122" s="83"/>
      <c r="O122" s="83"/>
      <c r="P122" s="83"/>
    </row>
    <row r="123" spans="1:16" x14ac:dyDescent="0.2">
      <c r="A123" s="84"/>
      <c r="D123" s="83"/>
      <c r="E123" s="83"/>
      <c r="F123" s="83"/>
      <c r="G123" s="83"/>
      <c r="H123" s="83"/>
      <c r="I123" s="83"/>
      <c r="J123" s="85"/>
      <c r="K123" s="83"/>
      <c r="L123" s="83"/>
      <c r="M123" s="83"/>
      <c r="N123" s="83"/>
      <c r="O123" s="83"/>
      <c r="P123" s="83"/>
    </row>
    <row r="124" spans="1:16" x14ac:dyDescent="0.2">
      <c r="A124" s="84"/>
      <c r="D124" s="83"/>
      <c r="E124" s="83"/>
      <c r="F124" s="83"/>
      <c r="G124" s="83"/>
      <c r="H124" s="83"/>
      <c r="I124" s="83"/>
      <c r="J124" s="85"/>
      <c r="K124" s="83"/>
      <c r="L124" s="83"/>
      <c r="M124" s="83"/>
      <c r="N124" s="83"/>
      <c r="O124" s="83"/>
      <c r="P124" s="83"/>
    </row>
    <row r="125" spans="1:16" x14ac:dyDescent="0.2">
      <c r="A125" s="84"/>
      <c r="D125" s="83"/>
      <c r="E125" s="83"/>
      <c r="F125" s="83"/>
      <c r="G125" s="83"/>
      <c r="H125" s="83"/>
      <c r="I125" s="83"/>
      <c r="J125" s="85"/>
      <c r="K125" s="83"/>
      <c r="L125" s="83"/>
      <c r="M125" s="83"/>
      <c r="N125" s="83"/>
      <c r="O125" s="83"/>
      <c r="P125" s="83"/>
    </row>
    <row r="126" spans="1:16" x14ac:dyDescent="0.2">
      <c r="A126" s="84"/>
      <c r="D126" s="83"/>
      <c r="E126" s="83"/>
      <c r="F126" s="83"/>
      <c r="G126" s="83"/>
      <c r="H126" s="83"/>
      <c r="I126" s="83"/>
      <c r="J126" s="85"/>
      <c r="K126" s="83"/>
      <c r="L126" s="83"/>
      <c r="M126" s="83"/>
      <c r="N126" s="83"/>
      <c r="O126" s="83"/>
      <c r="P126" s="83"/>
    </row>
    <row r="127" spans="1:16" x14ac:dyDescent="0.2">
      <c r="A127" s="84"/>
      <c r="D127" s="83"/>
      <c r="E127" s="83"/>
      <c r="F127" s="83"/>
      <c r="G127" s="83"/>
      <c r="H127" s="83"/>
      <c r="I127" s="83"/>
      <c r="J127" s="85"/>
      <c r="K127" s="83"/>
      <c r="L127" s="83"/>
      <c r="M127" s="83"/>
      <c r="N127" s="83"/>
      <c r="O127" s="83"/>
      <c r="P127" s="83"/>
    </row>
    <row r="128" spans="1:16" x14ac:dyDescent="0.2">
      <c r="A128" s="84"/>
      <c r="D128" s="83"/>
      <c r="E128" s="83"/>
      <c r="F128" s="83"/>
      <c r="G128" s="83"/>
      <c r="H128" s="83"/>
      <c r="I128" s="83"/>
      <c r="J128" s="85"/>
      <c r="K128" s="83"/>
      <c r="L128" s="83"/>
      <c r="M128" s="83"/>
      <c r="N128" s="83"/>
      <c r="O128" s="83"/>
      <c r="P128" s="83"/>
    </row>
    <row r="129" spans="1:16" x14ac:dyDescent="0.2">
      <c r="A129" s="84"/>
      <c r="D129" s="83"/>
      <c r="E129" s="83"/>
      <c r="F129" s="83"/>
      <c r="G129" s="83"/>
      <c r="H129" s="83"/>
      <c r="I129" s="83"/>
      <c r="J129" s="85"/>
      <c r="K129" s="83"/>
      <c r="L129" s="83"/>
      <c r="M129" s="83"/>
      <c r="N129" s="83"/>
      <c r="O129" s="83"/>
      <c r="P129" s="83"/>
    </row>
    <row r="130" spans="1:16" x14ac:dyDescent="0.2">
      <c r="A130" s="84"/>
      <c r="D130" s="83"/>
      <c r="E130" s="83"/>
      <c r="F130" s="83"/>
      <c r="G130" s="83"/>
      <c r="H130" s="83"/>
      <c r="I130" s="83"/>
      <c r="J130" s="85"/>
      <c r="K130" s="83"/>
      <c r="L130" s="83"/>
      <c r="M130" s="83"/>
      <c r="N130" s="83"/>
      <c r="O130" s="83"/>
      <c r="P130" s="83"/>
    </row>
    <row r="131" spans="1:16" x14ac:dyDescent="0.2">
      <c r="A131" s="84"/>
      <c r="D131" s="83"/>
      <c r="E131" s="83"/>
      <c r="F131" s="83"/>
      <c r="G131" s="83"/>
      <c r="H131" s="83"/>
      <c r="I131" s="83"/>
      <c r="J131" s="85"/>
      <c r="K131" s="83"/>
      <c r="L131" s="83"/>
      <c r="M131" s="83"/>
      <c r="N131" s="83"/>
      <c r="O131" s="83"/>
      <c r="P131" s="83"/>
    </row>
    <row r="132" spans="1:16" x14ac:dyDescent="0.2">
      <c r="A132" s="84"/>
      <c r="D132" s="83"/>
      <c r="E132" s="83"/>
      <c r="F132" s="83"/>
      <c r="G132" s="83"/>
      <c r="H132" s="83"/>
      <c r="I132" s="83"/>
      <c r="J132" s="85"/>
      <c r="K132" s="83"/>
      <c r="L132" s="83"/>
      <c r="M132" s="83"/>
      <c r="N132" s="83"/>
      <c r="O132" s="83"/>
      <c r="P132" s="83"/>
    </row>
    <row r="133" spans="1:16" x14ac:dyDescent="0.2">
      <c r="A133" s="84"/>
      <c r="D133" s="83"/>
      <c r="E133" s="83"/>
      <c r="F133" s="83"/>
      <c r="G133" s="83"/>
      <c r="H133" s="83"/>
      <c r="I133" s="83"/>
      <c r="J133" s="85"/>
      <c r="K133" s="83"/>
      <c r="L133" s="83"/>
      <c r="M133" s="83"/>
      <c r="N133" s="83"/>
      <c r="O133" s="83"/>
      <c r="P133" s="83"/>
    </row>
    <row r="134" spans="1:16" x14ac:dyDescent="0.2">
      <c r="A134" s="84"/>
      <c r="D134" s="83"/>
      <c r="E134" s="83"/>
      <c r="F134" s="83"/>
      <c r="G134" s="83"/>
      <c r="H134" s="83"/>
      <c r="I134" s="83"/>
    </row>
    <row r="135" spans="1:16" x14ac:dyDescent="0.2">
      <c r="A135" s="84"/>
      <c r="D135" s="83"/>
      <c r="E135" s="83"/>
      <c r="F135" s="83"/>
      <c r="G135" s="83"/>
      <c r="H135" s="83"/>
      <c r="I135" s="83"/>
    </row>
    <row r="136" spans="1:16" x14ac:dyDescent="0.2">
      <c r="A136" s="84"/>
      <c r="D136" s="83"/>
      <c r="E136" s="83"/>
      <c r="F136" s="83"/>
      <c r="G136" s="83"/>
      <c r="H136" s="83"/>
      <c r="I136" s="83"/>
    </row>
    <row r="137" spans="1:16" x14ac:dyDescent="0.2">
      <c r="A137" s="84"/>
      <c r="D137" s="83"/>
      <c r="E137" s="83"/>
      <c r="F137" s="83"/>
      <c r="G137" s="83"/>
      <c r="H137" s="83"/>
      <c r="I137" s="83"/>
    </row>
    <row r="138" spans="1:16" x14ac:dyDescent="0.2">
      <c r="A138" s="84"/>
      <c r="D138" s="83"/>
      <c r="E138" s="83"/>
      <c r="F138" s="83"/>
      <c r="G138" s="83"/>
      <c r="H138" s="83"/>
      <c r="I138" s="83"/>
    </row>
    <row r="139" spans="1:16" x14ac:dyDescent="0.2">
      <c r="A139" s="84"/>
      <c r="D139" s="83"/>
      <c r="E139" s="83"/>
      <c r="F139" s="83"/>
      <c r="G139" s="83"/>
      <c r="H139" s="83"/>
      <c r="I139" s="83"/>
    </row>
    <row r="140" spans="1:16" x14ac:dyDescent="0.2">
      <c r="A140" s="84"/>
      <c r="D140" s="83"/>
      <c r="E140" s="83"/>
      <c r="F140" s="83"/>
      <c r="G140" s="83"/>
      <c r="H140" s="83"/>
      <c r="I140" s="83"/>
    </row>
    <row r="141" spans="1:16" x14ac:dyDescent="0.2">
      <c r="A141" s="84"/>
      <c r="D141" s="83"/>
      <c r="E141" s="83"/>
      <c r="F141" s="83"/>
      <c r="G141" s="83"/>
      <c r="H141" s="83"/>
      <c r="I141" s="83"/>
    </row>
    <row r="142" spans="1:16" x14ac:dyDescent="0.2">
      <c r="A142" s="84"/>
      <c r="D142" s="83"/>
      <c r="E142" s="83"/>
      <c r="F142" s="83"/>
      <c r="G142" s="83"/>
      <c r="H142" s="83"/>
      <c r="I142" s="83"/>
    </row>
    <row r="143" spans="1:16" x14ac:dyDescent="0.2">
      <c r="A143" s="84"/>
      <c r="D143" s="83"/>
      <c r="E143" s="83"/>
      <c r="F143" s="83"/>
      <c r="G143" s="83"/>
      <c r="H143" s="83"/>
      <c r="I143" s="83"/>
    </row>
    <row r="144" spans="1:16" x14ac:dyDescent="0.2">
      <c r="A144" s="84"/>
      <c r="D144" s="83"/>
      <c r="E144" s="83"/>
      <c r="F144" s="83"/>
      <c r="G144" s="83"/>
      <c r="H144" s="83"/>
      <c r="I144" s="83"/>
    </row>
    <row r="145" spans="1:9" x14ac:dyDescent="0.2">
      <c r="A145" s="84"/>
      <c r="D145" s="83"/>
      <c r="E145" s="83"/>
      <c r="F145" s="83"/>
      <c r="G145" s="83"/>
      <c r="H145" s="83"/>
      <c r="I145" s="83"/>
    </row>
    <row r="146" spans="1:9" x14ac:dyDescent="0.2">
      <c r="A146" s="84"/>
      <c r="D146" s="83"/>
      <c r="E146" s="83"/>
      <c r="F146" s="83"/>
      <c r="G146" s="83"/>
      <c r="H146" s="83"/>
      <c r="I146" s="83"/>
    </row>
    <row r="147" spans="1:9" x14ac:dyDescent="0.2">
      <c r="A147" s="84"/>
      <c r="D147" s="83"/>
      <c r="E147" s="83"/>
      <c r="F147" s="83"/>
      <c r="G147" s="83"/>
      <c r="H147" s="83"/>
      <c r="I147" s="83"/>
    </row>
    <row r="148" spans="1:9" x14ac:dyDescent="0.2">
      <c r="A148" s="84"/>
      <c r="D148" s="83"/>
      <c r="E148" s="83"/>
      <c r="F148" s="83"/>
      <c r="G148" s="83"/>
      <c r="H148" s="83"/>
      <c r="I148" s="83"/>
    </row>
    <row r="149" spans="1:9" x14ac:dyDescent="0.2">
      <c r="A149" s="84"/>
      <c r="D149" s="83"/>
      <c r="E149" s="83"/>
      <c r="F149" s="83"/>
      <c r="G149" s="83"/>
      <c r="H149" s="83"/>
      <c r="I149" s="83"/>
    </row>
    <row r="150" spans="1:9" x14ac:dyDescent="0.2">
      <c r="A150" s="84"/>
      <c r="D150" s="83"/>
      <c r="E150" s="83"/>
      <c r="F150" s="83"/>
      <c r="G150" s="83"/>
      <c r="H150" s="83"/>
      <c r="I150" s="83"/>
    </row>
    <row r="151" spans="1:9" x14ac:dyDescent="0.2">
      <c r="A151" s="84"/>
      <c r="D151" s="83"/>
      <c r="E151" s="83"/>
      <c r="F151" s="83"/>
      <c r="G151" s="83"/>
      <c r="H151" s="83"/>
      <c r="I151" s="83"/>
    </row>
    <row r="152" spans="1:9" x14ac:dyDescent="0.2">
      <c r="A152" s="84"/>
      <c r="D152" s="83"/>
      <c r="E152" s="83"/>
      <c r="F152" s="83"/>
      <c r="G152" s="83"/>
      <c r="H152" s="83"/>
      <c r="I152" s="83"/>
    </row>
    <row r="153" spans="1:9" x14ac:dyDescent="0.2">
      <c r="A153" s="84"/>
      <c r="D153" s="83"/>
      <c r="E153" s="83"/>
      <c r="F153" s="83"/>
      <c r="G153" s="83"/>
      <c r="H153" s="83"/>
      <c r="I153" s="83"/>
    </row>
    <row r="154" spans="1:9" x14ac:dyDescent="0.2">
      <c r="A154" s="84"/>
      <c r="D154" s="83"/>
      <c r="E154" s="83"/>
      <c r="F154" s="83"/>
      <c r="G154" s="83"/>
      <c r="H154" s="83"/>
      <c r="I154" s="83"/>
    </row>
    <row r="155" spans="1:9" x14ac:dyDescent="0.2">
      <c r="A155" s="84"/>
      <c r="D155" s="83"/>
      <c r="E155" s="83"/>
      <c r="F155" s="83"/>
      <c r="G155" s="83"/>
      <c r="H155" s="83"/>
      <c r="I155" s="83"/>
    </row>
    <row r="156" spans="1:9" x14ac:dyDescent="0.2">
      <c r="A156" s="84"/>
      <c r="D156" s="83"/>
      <c r="E156" s="83"/>
      <c r="F156" s="83"/>
      <c r="G156" s="83"/>
      <c r="H156" s="83"/>
      <c r="I156" s="83"/>
    </row>
    <row r="157" spans="1:9" x14ac:dyDescent="0.2">
      <c r="A157" s="84"/>
      <c r="D157" s="83"/>
      <c r="E157" s="83"/>
      <c r="F157" s="83"/>
      <c r="G157" s="83"/>
      <c r="H157" s="83"/>
      <c r="I157" s="83"/>
    </row>
    <row r="158" spans="1:9" x14ac:dyDescent="0.2">
      <c r="A158" s="84"/>
      <c r="D158" s="83"/>
      <c r="E158" s="83"/>
      <c r="F158" s="83"/>
      <c r="G158" s="83"/>
      <c r="H158" s="83"/>
      <c r="I158" s="83"/>
    </row>
    <row r="159" spans="1:9" x14ac:dyDescent="0.2">
      <c r="A159" s="84"/>
      <c r="D159" s="83"/>
      <c r="E159" s="83"/>
      <c r="F159" s="83"/>
      <c r="G159" s="83"/>
      <c r="H159" s="83"/>
      <c r="I159" s="83"/>
    </row>
    <row r="160" spans="1:9" x14ac:dyDescent="0.2">
      <c r="A160" s="84"/>
      <c r="D160" s="83"/>
      <c r="E160" s="83"/>
      <c r="F160" s="83"/>
      <c r="G160" s="83"/>
      <c r="H160" s="83"/>
      <c r="I160" s="83"/>
    </row>
    <row r="161" spans="1:9" x14ac:dyDescent="0.2">
      <c r="A161" s="84"/>
      <c r="D161" s="83"/>
      <c r="E161" s="83"/>
      <c r="F161" s="83"/>
      <c r="G161" s="83"/>
      <c r="H161" s="83"/>
      <c r="I161" s="83"/>
    </row>
    <row r="162" spans="1:9" x14ac:dyDescent="0.2">
      <c r="A162" s="84"/>
      <c r="D162" s="83"/>
      <c r="E162" s="83"/>
      <c r="F162" s="83"/>
      <c r="G162" s="83"/>
      <c r="H162" s="83"/>
      <c r="I162" s="83"/>
    </row>
    <row r="163" spans="1:9" x14ac:dyDescent="0.2">
      <c r="A163" s="84"/>
      <c r="D163" s="83"/>
      <c r="E163" s="83"/>
      <c r="F163" s="83"/>
      <c r="G163" s="83"/>
      <c r="H163" s="83"/>
      <c r="I163" s="83"/>
    </row>
    <row r="164" spans="1:9" x14ac:dyDescent="0.2">
      <c r="A164" s="84"/>
      <c r="D164" s="83"/>
      <c r="E164" s="83"/>
      <c r="F164" s="83"/>
      <c r="G164" s="83"/>
      <c r="H164" s="83"/>
      <c r="I164" s="83"/>
    </row>
    <row r="165" spans="1:9" x14ac:dyDescent="0.2">
      <c r="A165" s="84"/>
      <c r="D165" s="83"/>
      <c r="E165" s="83"/>
      <c r="F165" s="83"/>
      <c r="G165" s="83"/>
      <c r="H165" s="83"/>
      <c r="I165" s="83"/>
    </row>
    <row r="166" spans="1:9" x14ac:dyDescent="0.2">
      <c r="A166" s="84"/>
      <c r="D166" s="83"/>
      <c r="E166" s="83"/>
      <c r="F166" s="83"/>
      <c r="G166" s="83"/>
      <c r="H166" s="83"/>
      <c r="I166" s="83"/>
    </row>
    <row r="167" spans="1:9" x14ac:dyDescent="0.2">
      <c r="A167" s="84"/>
      <c r="D167" s="83"/>
      <c r="E167" s="83"/>
      <c r="F167" s="83"/>
      <c r="G167" s="83"/>
      <c r="H167" s="83"/>
      <c r="I167" s="83"/>
    </row>
    <row r="168" spans="1:9" x14ac:dyDescent="0.2">
      <c r="A168" s="84"/>
      <c r="D168" s="83"/>
      <c r="E168" s="83"/>
      <c r="F168" s="83"/>
      <c r="G168" s="83"/>
      <c r="H168" s="83"/>
      <c r="I168" s="83"/>
    </row>
    <row r="169" spans="1:9" x14ac:dyDescent="0.2">
      <c r="A169" s="84"/>
      <c r="D169" s="83"/>
      <c r="E169" s="83"/>
      <c r="F169" s="83"/>
      <c r="G169" s="83"/>
      <c r="H169" s="83"/>
      <c r="I169" s="83"/>
    </row>
    <row r="170" spans="1:9" x14ac:dyDescent="0.2">
      <c r="A170" s="84"/>
      <c r="D170" s="83"/>
      <c r="E170" s="83"/>
      <c r="F170" s="83"/>
      <c r="G170" s="83"/>
      <c r="H170" s="83"/>
      <c r="I170" s="83"/>
    </row>
    <row r="171" spans="1:9" x14ac:dyDescent="0.2">
      <c r="A171" s="84"/>
      <c r="D171" s="83"/>
      <c r="E171" s="83"/>
      <c r="F171" s="83"/>
      <c r="G171" s="83"/>
      <c r="H171" s="83"/>
      <c r="I171" s="83"/>
    </row>
    <row r="172" spans="1:9" x14ac:dyDescent="0.2">
      <c r="A172" s="84"/>
      <c r="D172" s="83"/>
    </row>
    <row r="173" spans="1:9" x14ac:dyDescent="0.2">
      <c r="A173" s="84"/>
    </row>
    <row r="174" spans="1:9" x14ac:dyDescent="0.2">
      <c r="A174" s="84"/>
    </row>
    <row r="175" spans="1:9" x14ac:dyDescent="0.2">
      <c r="A175" s="84"/>
    </row>
    <row r="176" spans="1:9" x14ac:dyDescent="0.2">
      <c r="A176" s="84"/>
    </row>
    <row r="177" spans="1:1" x14ac:dyDescent="0.2">
      <c r="A177" s="84"/>
    </row>
    <row r="178" spans="1:1" x14ac:dyDescent="0.2">
      <c r="A178" s="84"/>
    </row>
    <row r="179" spans="1:1" x14ac:dyDescent="0.2">
      <c r="A179" s="84"/>
    </row>
    <row r="180" spans="1:1" x14ac:dyDescent="0.2">
      <c r="A180" s="84"/>
    </row>
    <row r="181" spans="1:1" x14ac:dyDescent="0.2">
      <c r="A181" s="84"/>
    </row>
    <row r="182" spans="1:1" x14ac:dyDescent="0.2">
      <c r="A182" s="84"/>
    </row>
    <row r="183" spans="1:1" x14ac:dyDescent="0.2">
      <c r="A183" s="84"/>
    </row>
    <row r="184" spans="1:1" x14ac:dyDescent="0.2">
      <c r="A184" s="84"/>
    </row>
    <row r="185" spans="1:1" x14ac:dyDescent="0.2">
      <c r="A185" s="84"/>
    </row>
    <row r="186" spans="1:1" x14ac:dyDescent="0.2">
      <c r="A186" s="84"/>
    </row>
    <row r="187" spans="1:1" x14ac:dyDescent="0.2">
      <c r="A187" s="84"/>
    </row>
    <row r="188" spans="1:1" x14ac:dyDescent="0.2">
      <c r="A188" s="84"/>
    </row>
    <row r="189" spans="1:1" x14ac:dyDescent="0.2">
      <c r="A189" s="84"/>
    </row>
    <row r="190" spans="1:1" x14ac:dyDescent="0.2">
      <c r="A190" s="84"/>
    </row>
    <row r="191" spans="1:1" x14ac:dyDescent="0.2">
      <c r="A191" s="84"/>
    </row>
    <row r="192" spans="1:1" x14ac:dyDescent="0.2">
      <c r="A192" s="84"/>
    </row>
    <row r="193" spans="1:1" x14ac:dyDescent="0.2">
      <c r="A193" s="84"/>
    </row>
    <row r="194" spans="1:1" x14ac:dyDescent="0.2">
      <c r="A194" s="84"/>
    </row>
    <row r="195" spans="1:1" x14ac:dyDescent="0.2">
      <c r="A195" s="84"/>
    </row>
    <row r="196" spans="1:1" x14ac:dyDescent="0.2">
      <c r="A196" s="84"/>
    </row>
    <row r="197" spans="1:1" x14ac:dyDescent="0.2">
      <c r="A197" s="84"/>
    </row>
    <row r="198" spans="1:1" x14ac:dyDescent="0.2">
      <c r="A198" s="84"/>
    </row>
    <row r="199" spans="1:1" x14ac:dyDescent="0.2">
      <c r="A199" s="84"/>
    </row>
    <row r="200" spans="1:1" x14ac:dyDescent="0.2">
      <c r="A200" s="84"/>
    </row>
    <row r="201" spans="1:1" x14ac:dyDescent="0.2">
      <c r="A201" s="84"/>
    </row>
    <row r="202" spans="1:1" x14ac:dyDescent="0.2">
      <c r="A202" s="84"/>
    </row>
    <row r="203" spans="1:1" x14ac:dyDescent="0.2">
      <c r="A203" s="84"/>
    </row>
    <row r="204" spans="1:1" x14ac:dyDescent="0.2">
      <c r="A204" s="84"/>
    </row>
    <row r="205" spans="1:1" x14ac:dyDescent="0.2">
      <c r="A205" s="84"/>
    </row>
    <row r="206" spans="1:1" x14ac:dyDescent="0.2">
      <c r="A206" s="84"/>
    </row>
    <row r="207" spans="1:1" x14ac:dyDescent="0.2">
      <c r="A207" s="84"/>
    </row>
    <row r="208" spans="1:1" x14ac:dyDescent="0.2">
      <c r="A208" s="84"/>
    </row>
    <row r="209" spans="1:1" x14ac:dyDescent="0.2">
      <c r="A209" s="84"/>
    </row>
    <row r="210" spans="1:1" x14ac:dyDescent="0.2">
      <c r="A210" s="84"/>
    </row>
    <row r="211" spans="1:1" x14ac:dyDescent="0.2">
      <c r="A211" s="84"/>
    </row>
    <row r="212" spans="1:1" x14ac:dyDescent="0.2">
      <c r="A212" s="84"/>
    </row>
    <row r="213" spans="1:1" x14ac:dyDescent="0.2">
      <c r="A213" s="84"/>
    </row>
    <row r="214" spans="1:1" x14ac:dyDescent="0.2">
      <c r="A214" s="84"/>
    </row>
    <row r="215" spans="1:1" x14ac:dyDescent="0.2">
      <c r="A215" s="84"/>
    </row>
    <row r="216" spans="1:1" x14ac:dyDescent="0.2">
      <c r="A216" s="84"/>
    </row>
    <row r="217" spans="1:1" x14ac:dyDescent="0.2">
      <c r="A217" s="84"/>
    </row>
    <row r="218" spans="1:1" x14ac:dyDescent="0.2">
      <c r="A218" s="84"/>
    </row>
    <row r="219" spans="1:1" x14ac:dyDescent="0.2">
      <c r="A219" s="84"/>
    </row>
    <row r="220" spans="1:1" x14ac:dyDescent="0.2">
      <c r="A220" s="84"/>
    </row>
    <row r="221" spans="1:1" x14ac:dyDescent="0.2">
      <c r="A221" s="84"/>
    </row>
    <row r="222" spans="1:1" x14ac:dyDescent="0.2">
      <c r="A222" s="84"/>
    </row>
    <row r="223" spans="1:1" x14ac:dyDescent="0.2">
      <c r="A223" s="84"/>
    </row>
    <row r="224" spans="1:1" x14ac:dyDescent="0.2">
      <c r="A224" s="84"/>
    </row>
    <row r="225" spans="1:1" x14ac:dyDescent="0.2">
      <c r="A225" s="84"/>
    </row>
    <row r="226" spans="1:1" x14ac:dyDescent="0.2">
      <c r="A226" s="84"/>
    </row>
    <row r="227" spans="1:1" x14ac:dyDescent="0.2">
      <c r="A227" s="84"/>
    </row>
    <row r="228" spans="1:1" x14ac:dyDescent="0.2">
      <c r="A228" s="84"/>
    </row>
    <row r="229" spans="1:1" x14ac:dyDescent="0.2">
      <c r="A229" s="84"/>
    </row>
    <row r="230" spans="1:1" x14ac:dyDescent="0.2">
      <c r="A230" s="84"/>
    </row>
    <row r="231" spans="1:1" x14ac:dyDescent="0.2">
      <c r="A231" s="84"/>
    </row>
    <row r="232" spans="1:1" x14ac:dyDescent="0.2">
      <c r="A232" s="84"/>
    </row>
    <row r="233" spans="1:1" x14ac:dyDescent="0.2">
      <c r="A233" s="84"/>
    </row>
    <row r="234" spans="1:1" x14ac:dyDescent="0.2">
      <c r="A234" s="84"/>
    </row>
    <row r="235" spans="1:1" x14ac:dyDescent="0.2">
      <c r="A235" s="84"/>
    </row>
    <row r="236" spans="1:1" x14ac:dyDescent="0.2">
      <c r="A236" s="84"/>
    </row>
    <row r="237" spans="1:1" x14ac:dyDescent="0.2">
      <c r="A237" s="84"/>
    </row>
    <row r="238" spans="1:1" x14ac:dyDescent="0.2">
      <c r="A238" s="84"/>
    </row>
    <row r="239" spans="1:1" x14ac:dyDescent="0.2">
      <c r="A239" s="84"/>
    </row>
    <row r="240" spans="1:1" x14ac:dyDescent="0.2">
      <c r="A240" s="84"/>
    </row>
    <row r="241" spans="1:1" x14ac:dyDescent="0.2">
      <c r="A241" s="84"/>
    </row>
    <row r="242" spans="1:1" x14ac:dyDescent="0.2">
      <c r="A242" s="84"/>
    </row>
    <row r="243" spans="1:1" x14ac:dyDescent="0.2">
      <c r="A243" s="84"/>
    </row>
    <row r="244" spans="1:1" x14ac:dyDescent="0.2">
      <c r="A244" s="84"/>
    </row>
    <row r="245" spans="1:1" x14ac:dyDescent="0.2">
      <c r="A245" s="84"/>
    </row>
    <row r="246" spans="1:1" x14ac:dyDescent="0.2">
      <c r="A246" s="84"/>
    </row>
    <row r="247" spans="1:1" x14ac:dyDescent="0.2">
      <c r="A247" s="84"/>
    </row>
    <row r="248" spans="1:1" x14ac:dyDescent="0.2">
      <c r="A248" s="84"/>
    </row>
    <row r="249" spans="1:1" x14ac:dyDescent="0.2">
      <c r="A249" s="84"/>
    </row>
    <row r="250" spans="1:1" x14ac:dyDescent="0.2">
      <c r="A250" s="84"/>
    </row>
    <row r="251" spans="1:1" x14ac:dyDescent="0.2">
      <c r="A251" s="84"/>
    </row>
    <row r="252" spans="1:1" x14ac:dyDescent="0.2">
      <c r="A252" s="84"/>
    </row>
    <row r="253" spans="1:1" x14ac:dyDescent="0.2">
      <c r="A253" s="84"/>
    </row>
    <row r="254" spans="1:1" x14ac:dyDescent="0.2">
      <c r="A254" s="84"/>
    </row>
    <row r="255" spans="1:1" x14ac:dyDescent="0.2">
      <c r="A255" s="84"/>
    </row>
    <row r="256" spans="1:1" x14ac:dyDescent="0.2">
      <c r="A256" s="84"/>
    </row>
    <row r="257" spans="1:1" x14ac:dyDescent="0.2">
      <c r="A257" s="84"/>
    </row>
    <row r="258" spans="1:1" x14ac:dyDescent="0.2">
      <c r="A258" s="84"/>
    </row>
    <row r="259" spans="1:1" x14ac:dyDescent="0.2">
      <c r="A259" s="84"/>
    </row>
    <row r="260" spans="1:1" x14ac:dyDescent="0.2">
      <c r="A260" s="84"/>
    </row>
    <row r="261" spans="1:1" x14ac:dyDescent="0.2">
      <c r="A261" s="84"/>
    </row>
    <row r="262" spans="1:1" x14ac:dyDescent="0.2">
      <c r="A262" s="84"/>
    </row>
    <row r="263" spans="1:1" x14ac:dyDescent="0.2">
      <c r="A263" s="84"/>
    </row>
    <row r="264" spans="1:1" x14ac:dyDescent="0.2">
      <c r="A264" s="84"/>
    </row>
    <row r="265" spans="1:1" x14ac:dyDescent="0.2">
      <c r="A265" s="84"/>
    </row>
    <row r="266" spans="1:1" x14ac:dyDescent="0.2">
      <c r="A266" s="84"/>
    </row>
    <row r="267" spans="1:1" x14ac:dyDescent="0.2">
      <c r="A267" s="84"/>
    </row>
    <row r="268" spans="1:1" x14ac:dyDescent="0.2">
      <c r="A268" s="84"/>
    </row>
    <row r="269" spans="1:1" x14ac:dyDescent="0.2">
      <c r="A269" s="84"/>
    </row>
    <row r="270" spans="1:1" x14ac:dyDescent="0.2">
      <c r="A270" s="84"/>
    </row>
    <row r="271" spans="1:1" x14ac:dyDescent="0.2">
      <c r="A271" s="84"/>
    </row>
    <row r="272" spans="1:1" x14ac:dyDescent="0.2">
      <c r="A272" s="84"/>
    </row>
    <row r="273" spans="1:1" x14ac:dyDescent="0.2">
      <c r="A273" s="84"/>
    </row>
    <row r="274" spans="1:1" x14ac:dyDescent="0.2">
      <c r="A274" s="84"/>
    </row>
    <row r="275" spans="1:1" x14ac:dyDescent="0.2">
      <c r="A275" s="84"/>
    </row>
    <row r="276" spans="1:1" x14ac:dyDescent="0.2">
      <c r="A276" s="84"/>
    </row>
    <row r="277" spans="1:1" x14ac:dyDescent="0.2">
      <c r="A277" s="84"/>
    </row>
    <row r="278" spans="1:1" x14ac:dyDescent="0.2">
      <c r="A278" s="84"/>
    </row>
    <row r="279" spans="1:1" x14ac:dyDescent="0.2">
      <c r="A279" s="84"/>
    </row>
    <row r="280" spans="1:1" x14ac:dyDescent="0.2">
      <c r="A280" s="84"/>
    </row>
    <row r="281" spans="1:1" x14ac:dyDescent="0.2">
      <c r="A281" s="84"/>
    </row>
    <row r="282" spans="1:1" x14ac:dyDescent="0.2">
      <c r="A282" s="84"/>
    </row>
    <row r="283" spans="1:1" x14ac:dyDescent="0.2">
      <c r="A283" s="84"/>
    </row>
    <row r="284" spans="1:1" x14ac:dyDescent="0.2">
      <c r="A284" s="84"/>
    </row>
    <row r="285" spans="1:1" x14ac:dyDescent="0.2">
      <c r="A285" s="84"/>
    </row>
    <row r="286" spans="1:1" x14ac:dyDescent="0.2">
      <c r="A286" s="84"/>
    </row>
    <row r="287" spans="1:1" x14ac:dyDescent="0.2">
      <c r="A287" s="84"/>
    </row>
    <row r="288" spans="1:1" x14ac:dyDescent="0.2">
      <c r="A288" s="84"/>
    </row>
    <row r="289" spans="1:1" x14ac:dyDescent="0.2">
      <c r="A289" s="84"/>
    </row>
    <row r="290" spans="1:1" x14ac:dyDescent="0.2">
      <c r="A290" s="84"/>
    </row>
    <row r="291" spans="1:1" x14ac:dyDescent="0.2">
      <c r="A291" s="84"/>
    </row>
    <row r="292" spans="1:1" x14ac:dyDescent="0.2">
      <c r="A292" s="84"/>
    </row>
    <row r="293" spans="1:1" x14ac:dyDescent="0.2">
      <c r="A293" s="84"/>
    </row>
    <row r="294" spans="1:1" x14ac:dyDescent="0.2">
      <c r="A294" s="84"/>
    </row>
    <row r="295" spans="1:1" x14ac:dyDescent="0.2">
      <c r="A295" s="84"/>
    </row>
    <row r="296" spans="1:1" x14ac:dyDescent="0.2">
      <c r="A296" s="84"/>
    </row>
    <row r="297" spans="1:1" x14ac:dyDescent="0.2">
      <c r="A297" s="84"/>
    </row>
    <row r="298" spans="1:1" x14ac:dyDescent="0.2">
      <c r="A298" s="84"/>
    </row>
    <row r="299" spans="1:1" x14ac:dyDescent="0.2">
      <c r="A299" s="84"/>
    </row>
    <row r="300" spans="1:1" x14ac:dyDescent="0.2">
      <c r="A300" s="84"/>
    </row>
    <row r="301" spans="1:1" x14ac:dyDescent="0.2">
      <c r="A301" s="84"/>
    </row>
    <row r="302" spans="1:1" x14ac:dyDescent="0.2">
      <c r="A302" s="84"/>
    </row>
    <row r="303" spans="1:1" x14ac:dyDescent="0.2">
      <c r="A303" s="84"/>
    </row>
    <row r="304" spans="1:1" x14ac:dyDescent="0.2">
      <c r="A304" s="84"/>
    </row>
    <row r="305" spans="1:1" x14ac:dyDescent="0.2">
      <c r="A305" s="84"/>
    </row>
    <row r="306" spans="1:1" x14ac:dyDescent="0.2">
      <c r="A306" s="84"/>
    </row>
    <row r="307" spans="1:1" x14ac:dyDescent="0.2">
      <c r="A307" s="84"/>
    </row>
    <row r="308" spans="1:1" x14ac:dyDescent="0.2">
      <c r="A308" s="84"/>
    </row>
    <row r="309" spans="1:1" x14ac:dyDescent="0.2">
      <c r="A309" s="84"/>
    </row>
    <row r="310" spans="1:1" x14ac:dyDescent="0.2">
      <c r="A310" s="84"/>
    </row>
    <row r="311" spans="1:1" x14ac:dyDescent="0.2">
      <c r="A311" s="84"/>
    </row>
    <row r="312" spans="1:1" x14ac:dyDescent="0.2">
      <c r="A312" s="84"/>
    </row>
    <row r="313" spans="1:1" x14ac:dyDescent="0.2">
      <c r="A313" s="84"/>
    </row>
    <row r="314" spans="1:1" x14ac:dyDescent="0.2">
      <c r="A314" s="84"/>
    </row>
    <row r="315" spans="1:1" x14ac:dyDescent="0.2">
      <c r="A315" s="84"/>
    </row>
    <row r="316" spans="1:1" x14ac:dyDescent="0.2">
      <c r="A316" s="84"/>
    </row>
    <row r="317" spans="1:1" x14ac:dyDescent="0.2">
      <c r="A317" s="84"/>
    </row>
    <row r="318" spans="1:1" x14ac:dyDescent="0.2">
      <c r="A318" s="84"/>
    </row>
    <row r="319" spans="1:1" x14ac:dyDescent="0.2">
      <c r="A319" s="84"/>
    </row>
    <row r="320" spans="1:1" x14ac:dyDescent="0.2">
      <c r="A320" s="84"/>
    </row>
    <row r="321" spans="1:9" x14ac:dyDescent="0.2">
      <c r="A321" s="84"/>
    </row>
    <row r="322" spans="1:9" x14ac:dyDescent="0.2">
      <c r="A322" s="84"/>
    </row>
    <row r="323" spans="1:9" x14ac:dyDescent="0.2">
      <c r="A323" s="84"/>
    </row>
    <row r="324" spans="1:9" x14ac:dyDescent="0.2">
      <c r="A324" s="84"/>
    </row>
    <row r="325" spans="1:9" x14ac:dyDescent="0.2">
      <c r="A325" s="84"/>
    </row>
    <row r="326" spans="1:9" x14ac:dyDescent="0.2">
      <c r="A326" s="84"/>
    </row>
    <row r="327" spans="1:9" x14ac:dyDescent="0.2">
      <c r="A327" s="84"/>
    </row>
    <row r="328" spans="1:9" x14ac:dyDescent="0.2">
      <c r="A328" s="84"/>
    </row>
    <row r="329" spans="1:9" x14ac:dyDescent="0.2">
      <c r="A329" s="84"/>
    </row>
    <row r="330" spans="1:9" x14ac:dyDescent="0.2">
      <c r="A330" s="84"/>
    </row>
    <row r="331" spans="1:9" x14ac:dyDescent="0.2">
      <c r="A331" s="84"/>
    </row>
    <row r="332" spans="1:9" x14ac:dyDescent="0.2">
      <c r="A332" s="84"/>
    </row>
    <row r="333" spans="1:9" x14ac:dyDescent="0.2">
      <c r="A333" s="84"/>
    </row>
    <row r="334" spans="1:9" x14ac:dyDescent="0.2">
      <c r="A334" s="84"/>
    </row>
    <row r="335" spans="1:9" x14ac:dyDescent="0.2">
      <c r="A335" s="84"/>
      <c r="E335" s="83"/>
      <c r="F335" s="83"/>
      <c r="G335" s="83"/>
      <c r="H335" s="83"/>
      <c r="I335" s="83"/>
    </row>
    <row r="336" spans="1:9" x14ac:dyDescent="0.2">
      <c r="A336" s="84"/>
      <c r="D336" s="83"/>
      <c r="E336" s="83"/>
      <c r="F336" s="83"/>
      <c r="G336" s="83"/>
      <c r="H336" s="83"/>
      <c r="I336" s="83"/>
    </row>
    <row r="337" spans="2:10" x14ac:dyDescent="0.2">
      <c r="D337" s="83"/>
      <c r="E337" s="83"/>
      <c r="F337" s="83"/>
      <c r="G337" s="83"/>
      <c r="H337" s="83"/>
      <c r="I337" s="83"/>
      <c r="J337" s="85"/>
    </row>
    <row r="338" spans="2:10" x14ac:dyDescent="0.2">
      <c r="D338" s="83"/>
      <c r="E338" s="83"/>
      <c r="F338" s="83"/>
      <c r="G338" s="83"/>
      <c r="H338" s="83"/>
      <c r="I338" s="83"/>
      <c r="J338" s="85"/>
    </row>
    <row r="339" spans="2:10" x14ac:dyDescent="0.2">
      <c r="D339" s="83"/>
      <c r="E339" s="83"/>
      <c r="F339" s="83"/>
      <c r="G339" s="83"/>
      <c r="H339" s="83"/>
      <c r="I339" s="83"/>
      <c r="J339" s="85"/>
    </row>
    <row r="340" spans="2:10" x14ac:dyDescent="0.2">
      <c r="D340" s="83"/>
      <c r="H340" s="83"/>
      <c r="I340" s="83"/>
      <c r="J340" s="85"/>
    </row>
    <row r="341" spans="2:10" x14ac:dyDescent="0.2">
      <c r="H341" s="83"/>
      <c r="I341" s="83"/>
      <c r="J341" s="85"/>
    </row>
    <row r="342" spans="2:10" x14ac:dyDescent="0.2">
      <c r="H342" s="83"/>
      <c r="I342" s="83"/>
      <c r="J342" s="85"/>
    </row>
    <row r="343" spans="2:10" x14ac:dyDescent="0.2">
      <c r="H343" s="83"/>
      <c r="I343" s="83"/>
      <c r="J343" s="85"/>
    </row>
    <row r="344" spans="2:10" x14ac:dyDescent="0.2">
      <c r="H344" s="83"/>
      <c r="I344" s="83"/>
      <c r="J344" s="85"/>
    </row>
    <row r="345" spans="2:10" x14ac:dyDescent="0.2">
      <c r="H345" s="83"/>
      <c r="I345" s="83"/>
      <c r="J345" s="85"/>
    </row>
    <row r="346" spans="2:10" x14ac:dyDescent="0.2">
      <c r="E346" s="83"/>
      <c r="F346" s="83"/>
      <c r="G346" s="83"/>
      <c r="H346" s="83"/>
      <c r="I346" s="83"/>
      <c r="J346" s="85"/>
    </row>
    <row r="347" spans="2:10" x14ac:dyDescent="0.2">
      <c r="D347" s="83"/>
      <c r="E347" s="83"/>
      <c r="F347" s="83"/>
      <c r="G347" s="83"/>
      <c r="H347" s="83"/>
      <c r="I347" s="83"/>
      <c r="J347" s="85"/>
    </row>
    <row r="348" spans="2:10" x14ac:dyDescent="0.2">
      <c r="B348" s="84"/>
      <c r="D348" s="83"/>
      <c r="E348" s="83"/>
      <c r="F348" s="83"/>
      <c r="G348" s="83"/>
      <c r="H348" s="83"/>
      <c r="I348" s="83"/>
      <c r="J348" s="85"/>
    </row>
    <row r="349" spans="2:10" x14ac:dyDescent="0.2">
      <c r="B349" s="84"/>
      <c r="D349" s="83"/>
      <c r="I349" s="83"/>
      <c r="J349" s="85"/>
    </row>
    <row r="350" spans="2:10" x14ac:dyDescent="0.2">
      <c r="C350" s="91"/>
      <c r="I350" s="83"/>
      <c r="J350" s="85"/>
    </row>
    <row r="351" spans="2:10" x14ac:dyDescent="0.2">
      <c r="C351" s="91"/>
      <c r="I351" s="83"/>
      <c r="J351" s="85"/>
    </row>
    <row r="352" spans="2:10" x14ac:dyDescent="0.2">
      <c r="C352" s="91"/>
      <c r="I352" s="83"/>
      <c r="J352" s="85"/>
    </row>
    <row r="353" spans="3:10" x14ac:dyDescent="0.2">
      <c r="C353" s="91"/>
      <c r="J353" s="85"/>
    </row>
    <row r="354" spans="3:10" x14ac:dyDescent="0.2">
      <c r="C354" s="91"/>
      <c r="J354" s="85"/>
    </row>
    <row r="355" spans="3:10" x14ac:dyDescent="0.2">
      <c r="C355" s="91"/>
    </row>
    <row r="356" spans="3:10" x14ac:dyDescent="0.2">
      <c r="C356" s="91"/>
    </row>
    <row r="357" spans="3:10" x14ac:dyDescent="0.2">
      <c r="C357" s="91"/>
    </row>
    <row r="358" spans="3:10" x14ac:dyDescent="0.2">
      <c r="C358" s="91"/>
    </row>
    <row r="359" spans="3:10" x14ac:dyDescent="0.2">
      <c r="C359" s="84"/>
    </row>
    <row r="360" spans="3:10" x14ac:dyDescent="0.2"/>
    <row r="361" spans="3:10" x14ac:dyDescent="0.2"/>
    <row r="362" spans="3:10" x14ac:dyDescent="0.2">
      <c r="E362" s="83"/>
      <c r="F362" s="83"/>
    </row>
    <row r="363" spans="3:10" x14ac:dyDescent="0.2">
      <c r="D363" s="83"/>
    </row>
    <row r="364" spans="3:10" x14ac:dyDescent="0.2"/>
    <row r="365" spans="3:10" x14ac:dyDescent="0.2"/>
    <row r="366" spans="3:10" x14ac:dyDescent="0.2"/>
    <row r="367" spans="3:10" x14ac:dyDescent="0.2"/>
    <row r="368" spans="3:10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x14ac:dyDescent="0.2"/>
    <row r="546" x14ac:dyDescent="0.2"/>
    <row r="547" x14ac:dyDescent="0.2"/>
    <row r="548" x14ac:dyDescent="0.2"/>
    <row r="549" x14ac:dyDescent="0.2"/>
    <row r="550" x14ac:dyDescent="0.2"/>
    <row r="551" x14ac:dyDescent="0.2"/>
    <row r="552" x14ac:dyDescent="0.2"/>
    <row r="553" x14ac:dyDescent="0.2"/>
    <row r="554" x14ac:dyDescent="0.2"/>
    <row r="555" x14ac:dyDescent="0.2"/>
    <row r="556" x14ac:dyDescent="0.2"/>
    <row r="557" x14ac:dyDescent="0.2"/>
    <row r="558" x14ac:dyDescent="0.2"/>
    <row r="559" x14ac:dyDescent="0.2"/>
    <row r="560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  <row r="1001" x14ac:dyDescent="0.2"/>
    <row r="1002" x14ac:dyDescent="0.2"/>
    <row r="1003" x14ac:dyDescent="0.2"/>
    <row r="1004" x14ac:dyDescent="0.2"/>
    <row r="1005" x14ac:dyDescent="0.2"/>
    <row r="1006" x14ac:dyDescent="0.2"/>
    <row r="1007" x14ac:dyDescent="0.2"/>
    <row r="1008" x14ac:dyDescent="0.2"/>
    <row r="1009" x14ac:dyDescent="0.2"/>
    <row r="1010" x14ac:dyDescent="0.2"/>
    <row r="1011" x14ac:dyDescent="0.2"/>
    <row r="1012" x14ac:dyDescent="0.2"/>
    <row r="1013" x14ac:dyDescent="0.2"/>
    <row r="1014" x14ac:dyDescent="0.2"/>
    <row r="1015" x14ac:dyDescent="0.2"/>
    <row r="1016" x14ac:dyDescent="0.2"/>
    <row r="1017" x14ac:dyDescent="0.2"/>
    <row r="1018" x14ac:dyDescent="0.2"/>
    <row r="1019" x14ac:dyDescent="0.2"/>
    <row r="1020" x14ac:dyDescent="0.2"/>
    <row r="1021" x14ac:dyDescent="0.2"/>
    <row r="1022" x14ac:dyDescent="0.2"/>
    <row r="1023" x14ac:dyDescent="0.2"/>
    <row r="1024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x14ac:dyDescent="0.2"/>
    <row r="1166" x14ac:dyDescent="0.2"/>
    <row r="1167" x14ac:dyDescent="0.2"/>
    <row r="1168" x14ac:dyDescent="0.2"/>
    <row r="1169" x14ac:dyDescent="0.2"/>
  </sheetData>
  <dataValidations count="5">
    <dataValidation type="whole" allowBlank="1" showInputMessage="1" showErrorMessage="1" sqref="B48">
      <formula1>1</formula1>
      <formula2>99999999999</formula2>
    </dataValidation>
    <dataValidation type="list" showInputMessage="1" showErrorMessage="1" sqref="B32">
      <formula1>PERIODICITE</formula1>
    </dataValidation>
    <dataValidation type="list" showInputMessage="1" showErrorMessage="1" sqref="B10">
      <formula1>TYPE</formula1>
    </dataValidation>
    <dataValidation type="list" showInputMessage="1" showErrorMessage="1" sqref="B45">
      <formula1>TYPE_SS_JACENT</formula1>
    </dataValidation>
    <dataValidation showInputMessage="1" showErrorMessage="1" sqref="B46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24" r:id="rId4" name="CaseAutre">
          <controlPr defaultSize="0" autoLine="0" r:id="rId5">
            <anchor moveWithCells="1">
              <from>
                <xdr:col>1</xdr:col>
                <xdr:colOff>66675</xdr:colOff>
                <xdr:row>2</xdr:row>
                <xdr:rowOff>38100</xdr:rowOff>
              </from>
              <to>
                <xdr:col>1</xdr:col>
                <xdr:colOff>781050</xdr:colOff>
                <xdr:row>3</xdr:row>
                <xdr:rowOff>85725</xdr:rowOff>
              </to>
            </anchor>
          </controlPr>
        </control>
      </mc:Choice>
      <mc:Fallback>
        <control shapeId="4124" r:id="rId4" name="CaseAutre"/>
      </mc:Fallback>
    </mc:AlternateContent>
    <mc:AlternateContent xmlns:mc="http://schemas.openxmlformats.org/markup-compatibility/2006">
      <mc:Choice Requires="x14">
        <control shapeId="4121" r:id="rId6" name="CaseReuters">
          <controlPr defaultSize="0" autoLine="0" r:id="rId7">
            <anchor moveWithCells="1">
              <from>
                <xdr:col>0</xdr:col>
                <xdr:colOff>1781175</xdr:colOff>
                <xdr:row>2</xdr:row>
                <xdr:rowOff>19050</xdr:rowOff>
              </from>
              <to>
                <xdr:col>0</xdr:col>
                <xdr:colOff>2457450</xdr:colOff>
                <xdr:row>3</xdr:row>
                <xdr:rowOff>95250</xdr:rowOff>
              </to>
            </anchor>
          </controlPr>
        </control>
      </mc:Choice>
      <mc:Fallback>
        <control shapeId="4121" r:id="rId6" name="CaseReuters"/>
      </mc:Fallback>
    </mc:AlternateContent>
    <mc:AlternateContent xmlns:mc="http://schemas.openxmlformats.org/markup-compatibility/2006">
      <mc:Choice Requires="x14">
        <control shapeId="4122" r:id="rId8" name="CaseSungard">
          <controlPr defaultSize="0" autoLine="0" r:id="rId9">
            <anchor moveWithCells="1">
              <from>
                <xdr:col>0</xdr:col>
                <xdr:colOff>1790700</xdr:colOff>
                <xdr:row>3</xdr:row>
                <xdr:rowOff>114300</xdr:rowOff>
              </from>
              <to>
                <xdr:col>0</xdr:col>
                <xdr:colOff>2505075</xdr:colOff>
                <xdr:row>5</xdr:row>
                <xdr:rowOff>9525</xdr:rowOff>
              </to>
            </anchor>
          </controlPr>
        </control>
      </mc:Choice>
      <mc:Fallback>
        <control shapeId="4122" r:id="rId8" name="CaseSungard"/>
      </mc:Fallback>
    </mc:AlternateContent>
    <mc:AlternateContent xmlns:mc="http://schemas.openxmlformats.org/markup-compatibility/2006">
      <mc:Choice Requires="x14">
        <control shapeId="4120" r:id="rId10" name="Group Box 24">
          <controlPr defaultSize="0" autoFill="0" autoPict="0">
            <anchor moveWithCells="1">
              <from>
                <xdr:col>0</xdr:col>
                <xdr:colOff>1733550</xdr:colOff>
                <xdr:row>1</xdr:row>
                <xdr:rowOff>57150</xdr:rowOff>
              </from>
              <to>
                <xdr:col>1</xdr:col>
                <xdr:colOff>1095375</xdr:colOff>
                <xdr:row>6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Listes!$B$4:$B$5</xm:f>
          </x14:formula1>
          <xm:sqref>B47</xm:sqref>
        </x14:dataValidation>
        <x14:dataValidation type="list" allowBlank="1" showInputMessage="1" showErrorMessage="1">
          <x14:formula1>
            <xm:f>Listes!D20:D23</xm:f>
          </x14:formula1>
          <xm:sqref>B53</xm:sqref>
        </x14:dataValidation>
        <x14:dataValidation type="list" showInputMessage="1" showErrorMessage="1">
          <x14:formula1>
            <xm:f>Listes!$C$21:$C$22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G40"/>
  <sheetViews>
    <sheetView topLeftCell="D13" workbookViewId="0">
      <selection activeCell="D25" sqref="D25"/>
    </sheetView>
  </sheetViews>
  <sheetFormatPr baseColWidth="10" defaultColWidth="11.42578125" defaultRowHeight="12" x14ac:dyDescent="0.2"/>
  <cols>
    <col min="1" max="1" width="11.42578125" style="1"/>
    <col min="2" max="2" width="23.85546875" style="1" bestFit="1" customWidth="1"/>
    <col min="3" max="3" width="130.85546875" style="1" bestFit="1" customWidth="1"/>
    <col min="4" max="4" width="34.140625" style="2" customWidth="1"/>
    <col min="5" max="16384" width="11.42578125" style="1"/>
  </cols>
  <sheetData>
    <row r="1" spans="2:4" x14ac:dyDescent="0.2">
      <c r="D1" s="1"/>
    </row>
    <row r="2" spans="2:4" x14ac:dyDescent="0.2">
      <c r="D2" s="1"/>
    </row>
    <row r="3" spans="2:4" x14ac:dyDescent="0.2">
      <c r="B3" s="3" t="s">
        <v>11</v>
      </c>
      <c r="C3" s="3" t="s">
        <v>18</v>
      </c>
      <c r="D3" s="3" t="s">
        <v>434</v>
      </c>
    </row>
    <row r="4" spans="2:4" x14ac:dyDescent="0.2">
      <c r="B4" s="1" t="s">
        <v>438</v>
      </c>
      <c r="C4" s="1" t="s">
        <v>399</v>
      </c>
      <c r="D4" s="1" t="s">
        <v>435</v>
      </c>
    </row>
    <row r="5" spans="2:4" x14ac:dyDescent="0.2">
      <c r="B5" s="1" t="s">
        <v>392</v>
      </c>
      <c r="C5" s="1" t="s">
        <v>396</v>
      </c>
      <c r="D5" s="1" t="s">
        <v>436</v>
      </c>
    </row>
    <row r="6" spans="2:4" x14ac:dyDescent="0.2">
      <c r="D6" s="1"/>
    </row>
    <row r="7" spans="2:4" x14ac:dyDescent="0.2">
      <c r="D7" s="1"/>
    </row>
    <row r="8" spans="2:4" x14ac:dyDescent="0.2">
      <c r="D8" s="1"/>
    </row>
    <row r="9" spans="2:4" x14ac:dyDescent="0.2">
      <c r="D9" s="1"/>
    </row>
    <row r="10" spans="2:4" x14ac:dyDescent="0.2">
      <c r="D10" s="1"/>
    </row>
    <row r="11" spans="2:4" x14ac:dyDescent="0.2">
      <c r="D11" s="1"/>
    </row>
    <row r="12" spans="2:4" x14ac:dyDescent="0.2">
      <c r="D12" s="1"/>
    </row>
    <row r="13" spans="2:4" x14ac:dyDescent="0.2">
      <c r="D13" s="1"/>
    </row>
    <row r="14" spans="2:4" x14ac:dyDescent="0.2">
      <c r="D14" s="1"/>
    </row>
    <row r="15" spans="2:4" x14ac:dyDescent="0.2">
      <c r="D15" s="1"/>
    </row>
    <row r="16" spans="2:4" x14ac:dyDescent="0.2">
      <c r="D16" s="1"/>
    </row>
    <row r="17" spans="2:4" x14ac:dyDescent="0.2">
      <c r="D17" s="1"/>
    </row>
    <row r="18" spans="2:4" x14ac:dyDescent="0.2">
      <c r="D18" s="1"/>
    </row>
    <row r="19" spans="2:4" x14ac:dyDescent="0.2">
      <c r="D19" s="116" t="s">
        <v>452</v>
      </c>
    </row>
    <row r="20" spans="2:4" x14ac:dyDescent="0.2">
      <c r="B20" s="3" t="s">
        <v>20</v>
      </c>
      <c r="C20" s="3" t="s">
        <v>23</v>
      </c>
      <c r="D20" s="1" t="s">
        <v>454</v>
      </c>
    </row>
    <row r="21" spans="2:4" x14ac:dyDescent="0.2">
      <c r="B21" s="1" t="s">
        <v>12</v>
      </c>
      <c r="C21" s="1" t="s">
        <v>24</v>
      </c>
      <c r="D21" s="31" t="s">
        <v>457</v>
      </c>
    </row>
    <row r="22" spans="2:4" x14ac:dyDescent="0.2">
      <c r="B22" s="1" t="s">
        <v>13</v>
      </c>
      <c r="C22" s="1" t="s">
        <v>25</v>
      </c>
      <c r="D22" s="31" t="s">
        <v>453</v>
      </c>
    </row>
    <row r="23" spans="2:4" x14ac:dyDescent="0.2">
      <c r="D23" s="31" t="s">
        <v>455</v>
      </c>
    </row>
    <row r="24" spans="2:4" x14ac:dyDescent="0.2">
      <c r="D24" s="31"/>
    </row>
    <row r="25" spans="2:4" x14ac:dyDescent="0.2">
      <c r="B25" s="3"/>
      <c r="D25" s="31"/>
    </row>
    <row r="26" spans="2:4" x14ac:dyDescent="0.2">
      <c r="D26" s="31"/>
    </row>
    <row r="27" spans="2:4" x14ac:dyDescent="0.2">
      <c r="D27" s="31"/>
    </row>
    <row r="28" spans="2:4" x14ac:dyDescent="0.2">
      <c r="D28" s="31"/>
    </row>
    <row r="29" spans="2:4" x14ac:dyDescent="0.2">
      <c r="D29" s="31"/>
    </row>
    <row r="30" spans="2:4" x14ac:dyDescent="0.2">
      <c r="D30" s="31"/>
    </row>
    <row r="31" spans="2:4" x14ac:dyDescent="0.2">
      <c r="D31" s="31"/>
    </row>
    <row r="35" spans="2:7" x14ac:dyDescent="0.2">
      <c r="B35" s="3" t="s">
        <v>7</v>
      </c>
      <c r="C35" s="3" t="s">
        <v>30</v>
      </c>
    </row>
    <row r="36" spans="2:7" x14ac:dyDescent="0.2">
      <c r="B36" s="1" t="s">
        <v>377</v>
      </c>
      <c r="C36" s="1" t="s">
        <v>32</v>
      </c>
    </row>
    <row r="37" spans="2:7" x14ac:dyDescent="0.2">
      <c r="B37" s="1" t="s">
        <v>378</v>
      </c>
      <c r="C37" s="1" t="s">
        <v>31</v>
      </c>
    </row>
    <row r="38" spans="2:7" x14ac:dyDescent="0.2">
      <c r="B38" s="1" t="s">
        <v>379</v>
      </c>
      <c r="C38" s="1" t="s">
        <v>398</v>
      </c>
      <c r="G38" s="37"/>
    </row>
    <row r="39" spans="2:7" x14ac:dyDescent="0.2">
      <c r="B39" s="1" t="s">
        <v>380</v>
      </c>
    </row>
    <row r="40" spans="2:7" x14ac:dyDescent="0.2">
      <c r="B40" s="1" t="s">
        <v>381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H114"/>
  <sheetViews>
    <sheetView workbookViewId="0">
      <selection activeCell="E17" sqref="E17"/>
    </sheetView>
  </sheetViews>
  <sheetFormatPr baseColWidth="10" defaultColWidth="11.42578125" defaultRowHeight="15" x14ac:dyDescent="0.25"/>
  <cols>
    <col min="1" max="1" width="11.42578125" style="3" customWidth="1"/>
    <col min="2" max="2" width="29.42578125" style="104" customWidth="1"/>
    <col min="3" max="4" width="28.5703125" style="104" customWidth="1"/>
    <col min="5" max="5" width="29" customWidth="1"/>
    <col min="6" max="6" width="30" style="1" customWidth="1"/>
    <col min="7" max="16384" width="11.42578125" style="1"/>
  </cols>
  <sheetData>
    <row r="1" spans="1:8" ht="12" x14ac:dyDescent="0.2">
      <c r="B1" s="5"/>
      <c r="C1" s="1"/>
      <c r="D1" s="1"/>
      <c r="E1" s="1"/>
      <c r="H1" s="7"/>
    </row>
    <row r="2" spans="1:8" ht="12" x14ac:dyDescent="0.2">
      <c r="B2" s="39"/>
      <c r="C2" s="38"/>
      <c r="D2" s="38"/>
      <c r="E2" s="8"/>
      <c r="F2" s="30"/>
    </row>
    <row r="3" spans="1:8" ht="12" x14ac:dyDescent="0.2">
      <c r="B3" s="39"/>
      <c r="C3" s="38"/>
      <c r="D3" s="38"/>
      <c r="E3" s="8"/>
    </row>
    <row r="4" spans="1:8" ht="12" x14ac:dyDescent="0.2">
      <c r="B4" s="39"/>
      <c r="C4" s="38"/>
      <c r="D4" s="38"/>
      <c r="E4" s="8"/>
    </row>
    <row r="5" spans="1:8" ht="24" x14ac:dyDescent="0.2">
      <c r="B5" s="9" t="s">
        <v>373</v>
      </c>
      <c r="C5" s="6" t="s">
        <v>374</v>
      </c>
      <c r="D5" s="6" t="s">
        <v>465</v>
      </c>
      <c r="E5" s="6" t="s">
        <v>442</v>
      </c>
    </row>
    <row r="6" spans="1:8" x14ac:dyDescent="0.25">
      <c r="B6" s="104">
        <v>43815</v>
      </c>
      <c r="C6" s="104">
        <v>43829</v>
      </c>
      <c r="D6" s="103">
        <v>0.7</v>
      </c>
      <c r="E6" s="103">
        <v>1</v>
      </c>
    </row>
    <row r="7" spans="1:8" x14ac:dyDescent="0.25">
      <c r="B7" s="104">
        <v>44179</v>
      </c>
      <c r="C7" s="104">
        <v>44193</v>
      </c>
      <c r="D7" s="103">
        <v>0.7</v>
      </c>
      <c r="E7" s="103">
        <v>1</v>
      </c>
    </row>
    <row r="8" spans="1:8" x14ac:dyDescent="0.25">
      <c r="B8" s="104">
        <v>44544</v>
      </c>
      <c r="C8" s="104">
        <v>44558</v>
      </c>
      <c r="D8" s="103">
        <v>0.7</v>
      </c>
      <c r="E8" s="103">
        <v>1</v>
      </c>
    </row>
    <row r="9" spans="1:8" x14ac:dyDescent="0.25">
      <c r="B9" s="104">
        <v>44909</v>
      </c>
      <c r="C9" s="104">
        <v>44923</v>
      </c>
      <c r="D9" s="103">
        <v>0.7</v>
      </c>
      <c r="E9" s="103">
        <v>1</v>
      </c>
    </row>
    <row r="10" spans="1:8" x14ac:dyDescent="0.25">
      <c r="B10" s="104">
        <v>45274</v>
      </c>
      <c r="C10" s="104">
        <v>45288</v>
      </c>
      <c r="D10" s="103">
        <v>0.7</v>
      </c>
      <c r="E10" s="103">
        <v>1</v>
      </c>
    </row>
    <row r="11" spans="1:8" x14ac:dyDescent="0.25">
      <c r="B11" s="104">
        <v>45642</v>
      </c>
      <c r="C11" s="104">
        <v>45656</v>
      </c>
      <c r="D11" s="103">
        <v>0.7</v>
      </c>
      <c r="E11" s="103">
        <v>1</v>
      </c>
    </row>
    <row r="12" spans="1:8" x14ac:dyDescent="0.25">
      <c r="B12" s="104">
        <v>46006</v>
      </c>
      <c r="C12" s="104">
        <v>46020</v>
      </c>
      <c r="D12" s="103">
        <v>0.7</v>
      </c>
      <c r="E12" s="103">
        <v>1</v>
      </c>
    </row>
    <row r="13" spans="1:8" x14ac:dyDescent="0.25">
      <c r="B13" s="104">
        <v>46370</v>
      </c>
      <c r="C13" s="104">
        <v>46384</v>
      </c>
      <c r="D13" s="103">
        <v>0.7</v>
      </c>
      <c r="E13" s="103">
        <v>1</v>
      </c>
    </row>
    <row r="14" spans="1:8" x14ac:dyDescent="0.25">
      <c r="B14" s="104">
        <v>46735</v>
      </c>
      <c r="C14" s="104">
        <v>46749</v>
      </c>
      <c r="D14" s="103">
        <v>0.7</v>
      </c>
      <c r="E14" s="103">
        <v>1</v>
      </c>
    </row>
    <row r="15" spans="1:8" s="5" customFormat="1" x14ac:dyDescent="0.25">
      <c r="A15" s="113" t="s">
        <v>450</v>
      </c>
      <c r="B15" s="111">
        <v>47101</v>
      </c>
      <c r="C15" s="111">
        <v>47115</v>
      </c>
      <c r="D15" s="112">
        <v>0.7</v>
      </c>
      <c r="E15" s="112">
        <v>1</v>
      </c>
    </row>
    <row r="16" spans="1:8" x14ac:dyDescent="0.25">
      <c r="E16" s="103"/>
    </row>
    <row r="17" spans="5:5" x14ac:dyDescent="0.25">
      <c r="E17" s="103"/>
    </row>
    <row r="18" spans="5:5" x14ac:dyDescent="0.25">
      <c r="E18" s="103"/>
    </row>
    <row r="19" spans="5:5" x14ac:dyDescent="0.25">
      <c r="E19" s="103"/>
    </row>
    <row r="20" spans="5:5" x14ac:dyDescent="0.25">
      <c r="E20" s="103"/>
    </row>
    <row r="21" spans="5:5" x14ac:dyDescent="0.25">
      <c r="E21" s="103"/>
    </row>
    <row r="22" spans="5:5" x14ac:dyDescent="0.25">
      <c r="E22" s="103"/>
    </row>
    <row r="23" spans="5:5" x14ac:dyDescent="0.25">
      <c r="E23" s="103"/>
    </row>
    <row r="24" spans="5:5" x14ac:dyDescent="0.25">
      <c r="E24" s="103"/>
    </row>
    <row r="25" spans="5:5" x14ac:dyDescent="0.25">
      <c r="E25" s="103"/>
    </row>
    <row r="26" spans="5:5" x14ac:dyDescent="0.25">
      <c r="E26" s="103"/>
    </row>
    <row r="27" spans="5:5" x14ac:dyDescent="0.25">
      <c r="E27" s="103"/>
    </row>
    <row r="28" spans="5:5" x14ac:dyDescent="0.25">
      <c r="E28" s="103"/>
    </row>
    <row r="29" spans="5:5" x14ac:dyDescent="0.25">
      <c r="E29" s="103"/>
    </row>
    <row r="30" spans="5:5" x14ac:dyDescent="0.25">
      <c r="E30" s="103"/>
    </row>
    <row r="31" spans="5:5" x14ac:dyDescent="0.25">
      <c r="E31" s="103"/>
    </row>
    <row r="32" spans="5:5" x14ac:dyDescent="0.25">
      <c r="E32" s="103"/>
    </row>
    <row r="33" spans="5:5" x14ac:dyDescent="0.25">
      <c r="E33" s="103"/>
    </row>
    <row r="34" spans="5:5" x14ac:dyDescent="0.25">
      <c r="E34" s="103"/>
    </row>
    <row r="35" spans="5:5" x14ac:dyDescent="0.25">
      <c r="E35" s="103"/>
    </row>
    <row r="36" spans="5:5" x14ac:dyDescent="0.25">
      <c r="E36" s="103"/>
    </row>
    <row r="37" spans="5:5" x14ac:dyDescent="0.25">
      <c r="E37" s="103"/>
    </row>
    <row r="38" spans="5:5" x14ac:dyDescent="0.25">
      <c r="E38" s="103"/>
    </row>
    <row r="39" spans="5:5" x14ac:dyDescent="0.25">
      <c r="E39" s="103"/>
    </row>
    <row r="40" spans="5:5" x14ac:dyDescent="0.25">
      <c r="E40" s="103"/>
    </row>
    <row r="41" spans="5:5" x14ac:dyDescent="0.25">
      <c r="E41" s="103"/>
    </row>
    <row r="42" spans="5:5" x14ac:dyDescent="0.25">
      <c r="E42" s="103"/>
    </row>
    <row r="43" spans="5:5" x14ac:dyDescent="0.25">
      <c r="E43" s="103"/>
    </row>
    <row r="44" spans="5:5" x14ac:dyDescent="0.25">
      <c r="E44" s="103"/>
    </row>
    <row r="45" spans="5:5" x14ac:dyDescent="0.25">
      <c r="E45" s="103"/>
    </row>
    <row r="46" spans="5:5" x14ac:dyDescent="0.25">
      <c r="E46" s="103"/>
    </row>
    <row r="47" spans="5:5" x14ac:dyDescent="0.25">
      <c r="E47" s="103"/>
    </row>
    <row r="48" spans="5:5" x14ac:dyDescent="0.25">
      <c r="E48" s="103"/>
    </row>
    <row r="49" spans="5:5" x14ac:dyDescent="0.25">
      <c r="E49" s="103"/>
    </row>
    <row r="50" spans="5:5" x14ac:dyDescent="0.25">
      <c r="E50" s="103"/>
    </row>
    <row r="51" spans="5:5" x14ac:dyDescent="0.25">
      <c r="E51" s="103"/>
    </row>
    <row r="52" spans="5:5" x14ac:dyDescent="0.25">
      <c r="E52" s="103"/>
    </row>
    <row r="53" spans="5:5" x14ac:dyDescent="0.25">
      <c r="E53" s="103"/>
    </row>
    <row r="54" spans="5:5" x14ac:dyDescent="0.25">
      <c r="E54" s="103"/>
    </row>
    <row r="55" spans="5:5" x14ac:dyDescent="0.25">
      <c r="E55" s="103"/>
    </row>
    <row r="56" spans="5:5" x14ac:dyDescent="0.25">
      <c r="E56" s="103"/>
    </row>
    <row r="57" spans="5:5" x14ac:dyDescent="0.25">
      <c r="E57" s="103"/>
    </row>
    <row r="58" spans="5:5" x14ac:dyDescent="0.25">
      <c r="E58" s="103"/>
    </row>
    <row r="59" spans="5:5" x14ac:dyDescent="0.25">
      <c r="E59" s="103"/>
    </row>
    <row r="60" spans="5:5" x14ac:dyDescent="0.25">
      <c r="E60" s="103"/>
    </row>
    <row r="61" spans="5:5" x14ac:dyDescent="0.25">
      <c r="E61" s="103"/>
    </row>
    <row r="62" spans="5:5" x14ac:dyDescent="0.25">
      <c r="E62" s="103"/>
    </row>
    <row r="63" spans="5:5" x14ac:dyDescent="0.25">
      <c r="E63" s="103"/>
    </row>
    <row r="64" spans="5:5" x14ac:dyDescent="0.25">
      <c r="E64" s="103"/>
    </row>
    <row r="65" spans="5:5" x14ac:dyDescent="0.25">
      <c r="E65" s="103"/>
    </row>
    <row r="66" spans="5:5" x14ac:dyDescent="0.25">
      <c r="E66" s="103"/>
    </row>
    <row r="67" spans="5:5" x14ac:dyDescent="0.25">
      <c r="E67" s="103"/>
    </row>
    <row r="68" spans="5:5" x14ac:dyDescent="0.25">
      <c r="E68" s="103"/>
    </row>
    <row r="69" spans="5:5" x14ac:dyDescent="0.25">
      <c r="E69" s="103"/>
    </row>
    <row r="70" spans="5:5" x14ac:dyDescent="0.25">
      <c r="E70" s="103"/>
    </row>
    <row r="71" spans="5:5" x14ac:dyDescent="0.25">
      <c r="E71" s="103"/>
    </row>
    <row r="72" spans="5:5" x14ac:dyDescent="0.25">
      <c r="E72" s="103"/>
    </row>
    <row r="73" spans="5:5" x14ac:dyDescent="0.25">
      <c r="E73" s="103"/>
    </row>
    <row r="74" spans="5:5" x14ac:dyDescent="0.25">
      <c r="E74" s="103"/>
    </row>
    <row r="75" spans="5:5" x14ac:dyDescent="0.25">
      <c r="E75" s="103"/>
    </row>
    <row r="76" spans="5:5" x14ac:dyDescent="0.25">
      <c r="E76" s="103"/>
    </row>
    <row r="77" spans="5:5" x14ac:dyDescent="0.25">
      <c r="E77" s="103"/>
    </row>
    <row r="78" spans="5:5" x14ac:dyDescent="0.25">
      <c r="E78" s="103"/>
    </row>
    <row r="79" spans="5:5" x14ac:dyDescent="0.25">
      <c r="E79" s="103"/>
    </row>
    <row r="80" spans="5:5" x14ac:dyDescent="0.25">
      <c r="E80" s="103"/>
    </row>
    <row r="81" spans="5:5" x14ac:dyDescent="0.25">
      <c r="E81" s="103"/>
    </row>
    <row r="82" spans="5:5" x14ac:dyDescent="0.25">
      <c r="E82" s="103"/>
    </row>
    <row r="83" spans="5:5" x14ac:dyDescent="0.25">
      <c r="E83" s="103"/>
    </row>
    <row r="84" spans="5:5" x14ac:dyDescent="0.25">
      <c r="E84" s="103"/>
    </row>
    <row r="85" spans="5:5" x14ac:dyDescent="0.25">
      <c r="E85" s="103"/>
    </row>
    <row r="86" spans="5:5" x14ac:dyDescent="0.25">
      <c r="E86" s="103"/>
    </row>
    <row r="87" spans="5:5" x14ac:dyDescent="0.25">
      <c r="E87" s="103"/>
    </row>
    <row r="88" spans="5:5" x14ac:dyDescent="0.25">
      <c r="E88" s="103"/>
    </row>
    <row r="89" spans="5:5" x14ac:dyDescent="0.25">
      <c r="E89" s="103"/>
    </row>
    <row r="90" spans="5:5" x14ac:dyDescent="0.25">
      <c r="E90" s="103"/>
    </row>
    <row r="91" spans="5:5" x14ac:dyDescent="0.25">
      <c r="E91" s="103"/>
    </row>
    <row r="92" spans="5:5" x14ac:dyDescent="0.25">
      <c r="E92" s="103"/>
    </row>
    <row r="93" spans="5:5" x14ac:dyDescent="0.25">
      <c r="E93" s="103"/>
    </row>
    <row r="94" spans="5:5" x14ac:dyDescent="0.25">
      <c r="E94" s="103"/>
    </row>
    <row r="95" spans="5:5" x14ac:dyDescent="0.25">
      <c r="E95" s="103"/>
    </row>
    <row r="96" spans="5:5" x14ac:dyDescent="0.25">
      <c r="E96" s="103"/>
    </row>
    <row r="97" spans="5:5" x14ac:dyDescent="0.25">
      <c r="E97" s="103"/>
    </row>
    <row r="98" spans="5:5" x14ac:dyDescent="0.25">
      <c r="E98" s="103"/>
    </row>
    <row r="99" spans="5:5" x14ac:dyDescent="0.25">
      <c r="E99" s="103"/>
    </row>
    <row r="100" spans="5:5" x14ac:dyDescent="0.25">
      <c r="E100" s="103"/>
    </row>
    <row r="101" spans="5:5" x14ac:dyDescent="0.25">
      <c r="E101" s="103"/>
    </row>
    <row r="102" spans="5:5" x14ac:dyDescent="0.25">
      <c r="E102" s="103"/>
    </row>
    <row r="103" spans="5:5" x14ac:dyDescent="0.25">
      <c r="E103" s="103"/>
    </row>
    <row r="104" spans="5:5" x14ac:dyDescent="0.25">
      <c r="E104" s="103"/>
    </row>
    <row r="105" spans="5:5" x14ac:dyDescent="0.25">
      <c r="E105" s="103"/>
    </row>
    <row r="106" spans="5:5" x14ac:dyDescent="0.25">
      <c r="E106" s="103"/>
    </row>
    <row r="107" spans="5:5" x14ac:dyDescent="0.25">
      <c r="E107" s="103"/>
    </row>
    <row r="108" spans="5:5" x14ac:dyDescent="0.25">
      <c r="E108" s="103"/>
    </row>
    <row r="109" spans="5:5" x14ac:dyDescent="0.25">
      <c r="E109" s="103"/>
    </row>
    <row r="110" spans="5:5" x14ac:dyDescent="0.25">
      <c r="E110" s="103"/>
    </row>
    <row r="111" spans="5:5" x14ac:dyDescent="0.25">
      <c r="E111" s="103"/>
    </row>
    <row r="112" spans="5:5" x14ac:dyDescent="0.25">
      <c r="E112" s="103"/>
    </row>
    <row r="113" spans="5:5" x14ac:dyDescent="0.25">
      <c r="E113" s="103"/>
    </row>
    <row r="114" spans="5:5" x14ac:dyDescent="0.25">
      <c r="E114" s="10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alcul_date">
                <anchor moveWithCells="1" sizeWithCells="1">
                  <from>
                    <xdr:col>1</xdr:col>
                    <xdr:colOff>0</xdr:colOff>
                    <xdr:row>0</xdr:row>
                    <xdr:rowOff>104775</xdr:rowOff>
                  </from>
                  <to>
                    <xdr:col>1</xdr:col>
                    <xdr:colOff>1066800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1:F815"/>
  <sheetViews>
    <sheetView workbookViewId="0">
      <selection activeCell="I11" sqref="I11"/>
    </sheetView>
  </sheetViews>
  <sheetFormatPr baseColWidth="10" defaultRowHeight="15" x14ac:dyDescent="0.25"/>
  <cols>
    <col min="2" max="2" width="14.5703125" bestFit="1" customWidth="1"/>
    <col min="3" max="3" width="20.7109375" customWidth="1"/>
    <col min="4" max="5" width="26.140625" customWidth="1"/>
    <col min="6" max="6" width="30.85546875" style="1" customWidth="1"/>
    <col min="7" max="7" width="14.85546875" bestFit="1" customWidth="1"/>
  </cols>
  <sheetData>
    <row r="1" spans="2:6" x14ac:dyDescent="0.25">
      <c r="F1"/>
    </row>
    <row r="2" spans="2:6" x14ac:dyDescent="0.25">
      <c r="F2"/>
    </row>
    <row r="3" spans="2:6" x14ac:dyDescent="0.25">
      <c r="C3" s="114" t="s">
        <v>460</v>
      </c>
      <c r="D3" s="108" t="s">
        <v>466</v>
      </c>
      <c r="E3" s="108" t="s">
        <v>443</v>
      </c>
      <c r="F3" s="108" t="s">
        <v>1</v>
      </c>
    </row>
    <row r="4" spans="2:6" x14ac:dyDescent="0.25">
      <c r="B4" s="107" t="s">
        <v>19</v>
      </c>
      <c r="C4" s="109" t="s">
        <v>462</v>
      </c>
      <c r="D4" s="109" t="s">
        <v>463</v>
      </c>
      <c r="E4" s="109" t="s">
        <v>464</v>
      </c>
      <c r="F4" s="115" t="s">
        <v>461</v>
      </c>
    </row>
    <row r="5" spans="2:6" x14ac:dyDescent="0.25">
      <c r="B5" s="107"/>
      <c r="C5" s="109"/>
      <c r="D5" s="110"/>
      <c r="E5" s="110"/>
      <c r="F5" s="109"/>
    </row>
    <row r="6" spans="2:6" x14ac:dyDescent="0.25">
      <c r="B6" s="107"/>
      <c r="C6" s="109"/>
      <c r="D6" s="110"/>
      <c r="E6" s="110"/>
      <c r="F6" s="109"/>
    </row>
    <row r="7" spans="2:6" x14ac:dyDescent="0.25">
      <c r="B7" s="107"/>
      <c r="C7" s="109"/>
      <c r="D7" s="110"/>
      <c r="E7" s="110"/>
      <c r="F7" s="109"/>
    </row>
    <row r="8" spans="2:6" x14ac:dyDescent="0.25">
      <c r="B8" s="107"/>
      <c r="C8" s="109"/>
      <c r="D8" s="110"/>
      <c r="E8" s="110"/>
      <c r="F8" s="109"/>
    </row>
    <row r="9" spans="2:6" x14ac:dyDescent="0.25">
      <c r="B9" s="107"/>
      <c r="C9" s="109"/>
      <c r="D9" s="110"/>
      <c r="E9" s="110"/>
      <c r="F9" s="109"/>
    </row>
    <row r="10" spans="2:6" x14ac:dyDescent="0.25">
      <c r="B10" s="107"/>
      <c r="C10" s="109"/>
      <c r="D10" s="110"/>
      <c r="E10" s="110"/>
      <c r="F10" s="109"/>
    </row>
    <row r="11" spans="2:6" x14ac:dyDescent="0.25">
      <c r="B11" s="107"/>
      <c r="C11" s="109"/>
      <c r="D11" s="110"/>
      <c r="E11" s="110"/>
      <c r="F11" s="109"/>
    </row>
    <row r="12" spans="2:6" x14ac:dyDescent="0.25">
      <c r="B12" s="107"/>
      <c r="C12" s="109"/>
      <c r="D12" s="110"/>
      <c r="E12" s="110"/>
      <c r="F12" s="109"/>
    </row>
    <row r="13" spans="2:6" x14ac:dyDescent="0.25">
      <c r="B13" s="107"/>
      <c r="C13" s="109"/>
      <c r="D13" s="110"/>
      <c r="E13" s="110"/>
      <c r="F13" s="109"/>
    </row>
    <row r="14" spans="2:6" x14ac:dyDescent="0.25">
      <c r="B14" s="107"/>
      <c r="C14" s="109"/>
      <c r="D14" s="110"/>
      <c r="E14" s="110"/>
      <c r="F14" s="109"/>
    </row>
    <row r="15" spans="2:6" x14ac:dyDescent="0.25">
      <c r="B15" s="107"/>
      <c r="C15" s="109"/>
      <c r="D15" s="110"/>
      <c r="E15" s="110"/>
      <c r="F15" s="109"/>
    </row>
    <row r="16" spans="2:6" x14ac:dyDescent="0.25">
      <c r="B16" s="107"/>
      <c r="C16" s="109"/>
      <c r="D16" s="110"/>
      <c r="E16" s="110"/>
      <c r="F16" s="109"/>
    </row>
    <row r="17" spans="2:6" x14ac:dyDescent="0.25">
      <c r="B17" s="107"/>
      <c r="C17" s="109"/>
      <c r="D17" s="110"/>
      <c r="E17" s="110"/>
      <c r="F17" s="109"/>
    </row>
    <row r="18" spans="2:6" x14ac:dyDescent="0.25">
      <c r="B18" s="107"/>
      <c r="C18" s="109"/>
      <c r="D18" s="110"/>
      <c r="E18" s="110"/>
      <c r="F18" s="109"/>
    </row>
    <row r="19" spans="2:6" x14ac:dyDescent="0.25">
      <c r="B19" s="107"/>
      <c r="C19" s="109"/>
      <c r="D19" s="110"/>
      <c r="E19" s="110"/>
      <c r="F19" s="109"/>
    </row>
    <row r="20" spans="2:6" x14ac:dyDescent="0.25">
      <c r="B20" s="107"/>
      <c r="C20" s="109"/>
      <c r="D20" s="110"/>
      <c r="E20" s="110"/>
      <c r="F20" s="109"/>
    </row>
    <row r="21" spans="2:6" x14ac:dyDescent="0.25">
      <c r="B21" s="107"/>
      <c r="C21" s="109"/>
      <c r="D21" s="110"/>
      <c r="E21" s="110"/>
      <c r="F21" s="109"/>
    </row>
    <row r="22" spans="2:6" x14ac:dyDescent="0.25">
      <c r="B22" s="107"/>
      <c r="C22" s="109"/>
      <c r="D22" s="110"/>
      <c r="E22" s="110"/>
      <c r="F22" s="109"/>
    </row>
    <row r="23" spans="2:6" x14ac:dyDescent="0.25">
      <c r="B23" s="107"/>
      <c r="C23" s="109"/>
      <c r="D23" s="110"/>
      <c r="E23" s="110"/>
      <c r="F23" s="109"/>
    </row>
    <row r="24" spans="2:6" x14ac:dyDescent="0.25">
      <c r="B24" s="107"/>
      <c r="C24" s="109"/>
      <c r="D24" s="110"/>
      <c r="E24" s="110"/>
      <c r="F24" s="109"/>
    </row>
    <row r="25" spans="2:6" x14ac:dyDescent="0.25">
      <c r="B25" s="107"/>
      <c r="C25" s="109"/>
      <c r="D25" s="110"/>
      <c r="E25" s="110"/>
      <c r="F25" s="109"/>
    </row>
    <row r="26" spans="2:6" x14ac:dyDescent="0.25">
      <c r="B26" s="107"/>
      <c r="C26" s="109"/>
      <c r="D26" s="110"/>
      <c r="E26" s="110"/>
      <c r="F26" s="109"/>
    </row>
    <row r="27" spans="2:6" x14ac:dyDescent="0.25">
      <c r="B27" s="107"/>
      <c r="C27" s="109"/>
      <c r="D27" s="110"/>
      <c r="E27" s="110"/>
      <c r="F27" s="109"/>
    </row>
    <row r="28" spans="2:6" x14ac:dyDescent="0.25">
      <c r="B28" s="107"/>
      <c r="C28" s="109"/>
      <c r="D28" s="110"/>
      <c r="E28" s="110"/>
      <c r="F28" s="109"/>
    </row>
    <row r="29" spans="2:6" x14ac:dyDescent="0.25">
      <c r="B29" s="107"/>
      <c r="C29" s="109"/>
      <c r="D29" s="110"/>
      <c r="E29" s="110"/>
      <c r="F29" s="109"/>
    </row>
    <row r="30" spans="2:6" x14ac:dyDescent="0.25">
      <c r="B30" s="107"/>
      <c r="C30" s="109"/>
      <c r="D30" s="110"/>
      <c r="E30" s="110"/>
      <c r="F30" s="109"/>
    </row>
    <row r="31" spans="2:6" x14ac:dyDescent="0.25">
      <c r="B31" s="107"/>
      <c r="C31" s="109"/>
      <c r="D31" s="110"/>
      <c r="E31" s="110"/>
      <c r="F31" s="109"/>
    </row>
    <row r="32" spans="2:6" x14ac:dyDescent="0.25">
      <c r="B32" s="107"/>
      <c r="C32" s="109"/>
      <c r="D32" s="110"/>
      <c r="E32" s="110"/>
      <c r="F32" s="109"/>
    </row>
    <row r="33" spans="2:6" x14ac:dyDescent="0.25">
      <c r="B33" s="107"/>
      <c r="C33" s="109"/>
      <c r="D33" s="110"/>
      <c r="E33" s="110"/>
      <c r="F33" s="109"/>
    </row>
    <row r="34" spans="2:6" x14ac:dyDescent="0.25">
      <c r="B34" s="107"/>
      <c r="C34" s="109"/>
      <c r="D34" s="110"/>
      <c r="E34" s="110"/>
      <c r="F34" s="109"/>
    </row>
    <row r="35" spans="2:6" x14ac:dyDescent="0.25">
      <c r="B35" s="107"/>
      <c r="C35" s="109"/>
      <c r="D35" s="110"/>
      <c r="E35" s="110"/>
      <c r="F35" s="109"/>
    </row>
    <row r="36" spans="2:6" x14ac:dyDescent="0.25">
      <c r="B36" s="107"/>
      <c r="C36" s="109"/>
      <c r="D36" s="110"/>
      <c r="E36" s="110"/>
      <c r="F36" s="109"/>
    </row>
    <row r="37" spans="2:6" x14ac:dyDescent="0.25">
      <c r="B37" s="107"/>
      <c r="C37" s="109"/>
      <c r="D37" s="110"/>
      <c r="E37" s="110"/>
      <c r="F37" s="109"/>
    </row>
    <row r="38" spans="2:6" x14ac:dyDescent="0.25">
      <c r="B38" s="107"/>
      <c r="C38" s="109"/>
      <c r="D38" s="110"/>
      <c r="E38" s="110"/>
      <c r="F38" s="109"/>
    </row>
    <row r="39" spans="2:6" x14ac:dyDescent="0.25">
      <c r="B39" s="107"/>
      <c r="C39" s="109"/>
      <c r="D39" s="110"/>
      <c r="E39" s="110"/>
      <c r="F39" s="109"/>
    </row>
    <row r="40" spans="2:6" x14ac:dyDescent="0.25">
      <c r="B40" s="107"/>
      <c r="C40" s="109"/>
      <c r="D40" s="110"/>
      <c r="E40" s="110"/>
      <c r="F40" s="109"/>
    </row>
    <row r="41" spans="2:6" x14ac:dyDescent="0.25">
      <c r="B41" s="107"/>
      <c r="C41" s="109"/>
      <c r="D41" s="110"/>
      <c r="E41" s="110"/>
      <c r="F41" s="109"/>
    </row>
    <row r="42" spans="2:6" x14ac:dyDescent="0.25">
      <c r="B42" s="107"/>
      <c r="C42" s="109"/>
      <c r="D42" s="110"/>
      <c r="E42" s="110"/>
      <c r="F42" s="109"/>
    </row>
    <row r="43" spans="2:6" x14ac:dyDescent="0.25">
      <c r="B43" s="107"/>
      <c r="C43" s="109"/>
      <c r="D43" s="110"/>
      <c r="E43" s="110"/>
      <c r="F43" s="109"/>
    </row>
    <row r="44" spans="2:6" x14ac:dyDescent="0.25">
      <c r="B44" s="107"/>
      <c r="C44" s="109"/>
      <c r="D44" s="110"/>
      <c r="E44" s="110"/>
      <c r="F44" s="109"/>
    </row>
    <row r="45" spans="2:6" x14ac:dyDescent="0.25">
      <c r="B45" s="107"/>
      <c r="C45" s="109"/>
      <c r="D45" s="110"/>
      <c r="E45" s="110"/>
      <c r="F45" s="109"/>
    </row>
    <row r="46" spans="2:6" x14ac:dyDescent="0.25">
      <c r="B46" s="107"/>
      <c r="C46" s="109"/>
      <c r="D46" s="110"/>
      <c r="E46" s="110"/>
      <c r="F46" s="109"/>
    </row>
    <row r="47" spans="2:6" x14ac:dyDescent="0.25">
      <c r="B47" s="107"/>
      <c r="C47" s="109"/>
      <c r="D47" s="110"/>
      <c r="E47" s="110"/>
      <c r="F47" s="109"/>
    </row>
    <row r="48" spans="2:6" x14ac:dyDescent="0.25">
      <c r="B48" s="107"/>
      <c r="C48" s="109"/>
      <c r="D48" s="110"/>
      <c r="E48" s="110"/>
      <c r="F48" s="109"/>
    </row>
    <row r="49" spans="2:6" x14ac:dyDescent="0.25">
      <c r="B49" s="107"/>
      <c r="C49" s="109"/>
      <c r="D49" s="110"/>
      <c r="E49" s="110"/>
      <c r="F49" s="109"/>
    </row>
    <row r="50" spans="2:6" x14ac:dyDescent="0.25">
      <c r="B50" s="107"/>
      <c r="C50" s="109"/>
      <c r="D50" s="110"/>
      <c r="E50" s="110"/>
      <c r="F50" s="109"/>
    </row>
    <row r="51" spans="2:6" x14ac:dyDescent="0.25">
      <c r="B51" s="107"/>
      <c r="C51" s="109"/>
      <c r="D51" s="110"/>
      <c r="E51" s="110"/>
      <c r="F51" s="109"/>
    </row>
    <row r="52" spans="2:6" x14ac:dyDescent="0.25">
      <c r="B52" s="107"/>
      <c r="C52" s="109"/>
      <c r="D52" s="110"/>
      <c r="E52" s="110"/>
      <c r="F52" s="109"/>
    </row>
    <row r="53" spans="2:6" x14ac:dyDescent="0.25">
      <c r="B53" s="107"/>
      <c r="C53" s="109"/>
      <c r="D53" s="110"/>
      <c r="E53" s="110"/>
      <c r="F53" s="109"/>
    </row>
    <row r="54" spans="2:6" x14ac:dyDescent="0.25">
      <c r="B54" s="107"/>
      <c r="C54" s="109"/>
      <c r="D54" s="110"/>
      <c r="E54" s="110"/>
      <c r="F54" s="109"/>
    </row>
    <row r="55" spans="2:6" x14ac:dyDescent="0.25">
      <c r="B55" s="107"/>
      <c r="C55" s="109"/>
      <c r="D55" s="110"/>
      <c r="E55" s="110"/>
      <c r="F55" s="109"/>
    </row>
    <row r="56" spans="2:6" x14ac:dyDescent="0.25">
      <c r="B56" s="107"/>
      <c r="C56" s="109"/>
      <c r="D56" s="110"/>
      <c r="E56" s="110"/>
      <c r="F56" s="109"/>
    </row>
    <row r="57" spans="2:6" x14ac:dyDescent="0.25">
      <c r="B57" s="107"/>
      <c r="C57" s="109"/>
      <c r="D57" s="110"/>
      <c r="E57" s="110"/>
      <c r="F57" s="109"/>
    </row>
    <row r="58" spans="2:6" x14ac:dyDescent="0.25">
      <c r="B58" s="107"/>
      <c r="C58" s="109"/>
      <c r="D58" s="110"/>
      <c r="E58" s="110"/>
      <c r="F58" s="109"/>
    </row>
    <row r="59" spans="2:6" x14ac:dyDescent="0.25">
      <c r="B59" s="107"/>
      <c r="C59" s="109"/>
      <c r="D59" s="110"/>
      <c r="E59" s="110"/>
      <c r="F59" s="109"/>
    </row>
    <row r="60" spans="2:6" x14ac:dyDescent="0.25">
      <c r="B60" s="107"/>
      <c r="C60" s="109"/>
      <c r="D60" s="110"/>
      <c r="E60" s="110"/>
      <c r="F60" s="109"/>
    </row>
    <row r="61" spans="2:6" x14ac:dyDescent="0.25">
      <c r="B61" s="107"/>
      <c r="C61" s="109"/>
      <c r="D61" s="110"/>
      <c r="E61" s="110"/>
      <c r="F61" s="109"/>
    </row>
    <row r="62" spans="2:6" x14ac:dyDescent="0.25">
      <c r="B62" s="107"/>
      <c r="C62" s="109"/>
      <c r="D62" s="110"/>
      <c r="E62" s="110"/>
      <c r="F62" s="109"/>
    </row>
    <row r="63" spans="2:6" x14ac:dyDescent="0.25">
      <c r="B63" s="107"/>
      <c r="C63" s="109"/>
      <c r="D63" s="110"/>
      <c r="E63" s="110"/>
      <c r="F63" s="109"/>
    </row>
    <row r="64" spans="2:6" x14ac:dyDescent="0.25">
      <c r="B64" s="107"/>
      <c r="C64" s="109"/>
      <c r="D64" s="110"/>
      <c r="E64" s="110"/>
      <c r="F64" s="109"/>
    </row>
    <row r="65" spans="2:6" x14ac:dyDescent="0.25">
      <c r="B65" s="107"/>
      <c r="C65" s="109"/>
      <c r="D65" s="110"/>
      <c r="E65" s="110"/>
      <c r="F65" s="109"/>
    </row>
    <row r="66" spans="2:6" x14ac:dyDescent="0.25">
      <c r="B66" s="107"/>
      <c r="C66" s="109"/>
      <c r="D66" s="110"/>
      <c r="E66" s="110"/>
      <c r="F66" s="109"/>
    </row>
    <row r="67" spans="2:6" x14ac:dyDescent="0.25">
      <c r="B67" s="107"/>
      <c r="C67" s="109"/>
      <c r="D67" s="110"/>
      <c r="E67" s="110"/>
      <c r="F67" s="109"/>
    </row>
    <row r="68" spans="2:6" x14ac:dyDescent="0.25">
      <c r="B68" s="107"/>
      <c r="C68" s="109"/>
      <c r="D68" s="110"/>
      <c r="E68" s="110"/>
      <c r="F68" s="109"/>
    </row>
    <row r="69" spans="2:6" x14ac:dyDescent="0.25">
      <c r="B69" s="107"/>
      <c r="C69" s="109"/>
      <c r="D69" s="110"/>
      <c r="E69" s="110"/>
      <c r="F69" s="109"/>
    </row>
    <row r="70" spans="2:6" x14ac:dyDescent="0.25">
      <c r="B70" s="107"/>
      <c r="C70" s="109"/>
      <c r="D70" s="110"/>
      <c r="E70" s="110"/>
      <c r="F70" s="109"/>
    </row>
    <row r="71" spans="2:6" x14ac:dyDescent="0.25">
      <c r="B71" s="107"/>
      <c r="C71" s="109"/>
      <c r="D71" s="110"/>
      <c r="E71" s="110"/>
      <c r="F71" s="109"/>
    </row>
    <row r="72" spans="2:6" x14ac:dyDescent="0.25">
      <c r="B72" s="107"/>
      <c r="C72" s="109"/>
      <c r="D72" s="110"/>
      <c r="E72" s="110"/>
      <c r="F72" s="109"/>
    </row>
    <row r="73" spans="2:6" x14ac:dyDescent="0.25">
      <c r="B73" s="107"/>
      <c r="C73" s="109"/>
      <c r="D73" s="110"/>
      <c r="E73" s="110"/>
      <c r="F73" s="109"/>
    </row>
    <row r="74" spans="2:6" x14ac:dyDescent="0.25">
      <c r="B74" s="107"/>
      <c r="C74" s="109"/>
      <c r="D74" s="110"/>
      <c r="E74" s="110"/>
      <c r="F74" s="109"/>
    </row>
    <row r="75" spans="2:6" x14ac:dyDescent="0.25">
      <c r="B75" s="107"/>
      <c r="C75" s="109"/>
      <c r="D75" s="110"/>
      <c r="E75" s="110"/>
      <c r="F75" s="109"/>
    </row>
    <row r="76" spans="2:6" x14ac:dyDescent="0.25">
      <c r="B76" s="107"/>
      <c r="C76" s="109"/>
      <c r="D76" s="110"/>
      <c r="E76" s="110"/>
      <c r="F76" s="109"/>
    </row>
    <row r="77" spans="2:6" x14ac:dyDescent="0.25">
      <c r="B77" s="107"/>
      <c r="C77" s="109"/>
      <c r="D77" s="110"/>
      <c r="E77" s="110"/>
      <c r="F77" s="109"/>
    </row>
    <row r="78" spans="2:6" x14ac:dyDescent="0.25">
      <c r="B78" s="107"/>
      <c r="C78" s="109"/>
      <c r="D78" s="110"/>
      <c r="E78" s="110"/>
      <c r="F78" s="109"/>
    </row>
    <row r="79" spans="2:6" x14ac:dyDescent="0.25">
      <c r="B79" s="107"/>
      <c r="C79" s="109"/>
      <c r="D79" s="110"/>
      <c r="E79" s="110"/>
      <c r="F79" s="109"/>
    </row>
    <row r="80" spans="2:6" x14ac:dyDescent="0.25">
      <c r="B80" s="107"/>
      <c r="C80" s="109"/>
      <c r="D80" s="110"/>
      <c r="E80" s="110"/>
      <c r="F80" s="109"/>
    </row>
    <row r="81" spans="2:6" x14ac:dyDescent="0.25">
      <c r="B81" s="107"/>
      <c r="C81" s="109"/>
      <c r="D81" s="110"/>
      <c r="E81" s="110"/>
      <c r="F81" s="109"/>
    </row>
    <row r="82" spans="2:6" x14ac:dyDescent="0.25">
      <c r="B82" s="107"/>
      <c r="C82" s="109"/>
      <c r="D82" s="110"/>
      <c r="E82" s="110"/>
      <c r="F82" s="109"/>
    </row>
    <row r="83" spans="2:6" x14ac:dyDescent="0.25">
      <c r="B83" s="107"/>
      <c r="C83" s="109"/>
      <c r="D83" s="110"/>
      <c r="E83" s="110"/>
      <c r="F83" s="109"/>
    </row>
    <row r="84" spans="2:6" x14ac:dyDescent="0.25">
      <c r="B84" s="107"/>
      <c r="C84" s="109"/>
      <c r="D84" s="110"/>
      <c r="E84" s="110"/>
      <c r="F84" s="109"/>
    </row>
    <row r="85" spans="2:6" x14ac:dyDescent="0.25">
      <c r="B85" s="107"/>
      <c r="C85" s="109"/>
      <c r="D85" s="110"/>
      <c r="E85" s="110"/>
      <c r="F85" s="109"/>
    </row>
    <row r="86" spans="2:6" x14ac:dyDescent="0.25">
      <c r="B86" s="107"/>
      <c r="C86" s="109"/>
      <c r="D86" s="110"/>
      <c r="E86" s="110"/>
      <c r="F86" s="109"/>
    </row>
    <row r="87" spans="2:6" x14ac:dyDescent="0.25">
      <c r="B87" s="107"/>
      <c r="C87" s="109"/>
      <c r="D87" s="110"/>
      <c r="E87" s="110"/>
      <c r="F87" s="109"/>
    </row>
    <row r="88" spans="2:6" x14ac:dyDescent="0.25">
      <c r="B88" s="107"/>
      <c r="C88" s="109"/>
      <c r="D88" s="110"/>
      <c r="E88" s="110"/>
      <c r="F88" s="109"/>
    </row>
    <row r="89" spans="2:6" x14ac:dyDescent="0.25">
      <c r="B89" s="107"/>
      <c r="C89" s="109"/>
      <c r="D89" s="110"/>
      <c r="E89" s="110"/>
      <c r="F89" s="109"/>
    </row>
    <row r="90" spans="2:6" x14ac:dyDescent="0.25">
      <c r="B90" s="107"/>
      <c r="C90" s="109"/>
      <c r="D90" s="110"/>
      <c r="E90" s="110"/>
      <c r="F90" s="109"/>
    </row>
    <row r="91" spans="2:6" x14ac:dyDescent="0.25">
      <c r="B91" s="107"/>
      <c r="C91" s="109"/>
      <c r="D91" s="110"/>
      <c r="E91" s="110"/>
      <c r="F91" s="109"/>
    </row>
    <row r="92" spans="2:6" x14ac:dyDescent="0.25">
      <c r="B92" s="107"/>
      <c r="C92" s="109"/>
      <c r="D92" s="110"/>
      <c r="E92" s="110"/>
      <c r="F92" s="109"/>
    </row>
    <row r="93" spans="2:6" x14ac:dyDescent="0.25">
      <c r="B93" s="107"/>
      <c r="C93" s="109"/>
      <c r="D93" s="110"/>
      <c r="E93" s="110"/>
      <c r="F93" s="109"/>
    </row>
    <row r="94" spans="2:6" x14ac:dyDescent="0.25">
      <c r="B94" s="107"/>
      <c r="C94" s="109"/>
      <c r="D94" s="110"/>
      <c r="E94" s="110"/>
      <c r="F94" s="109"/>
    </row>
    <row r="95" spans="2:6" x14ac:dyDescent="0.25">
      <c r="B95" s="107"/>
      <c r="C95" s="109"/>
      <c r="D95" s="110"/>
      <c r="E95" s="110"/>
      <c r="F95" s="109"/>
    </row>
    <row r="96" spans="2:6" x14ac:dyDescent="0.25">
      <c r="B96" s="107"/>
      <c r="C96" s="109"/>
      <c r="D96" s="110"/>
      <c r="E96" s="110"/>
      <c r="F96" s="109"/>
    </row>
    <row r="97" spans="2:6" x14ac:dyDescent="0.25">
      <c r="B97" s="107"/>
      <c r="C97" s="109"/>
      <c r="D97" s="110"/>
      <c r="E97" s="110"/>
      <c r="F97" s="109"/>
    </row>
    <row r="98" spans="2:6" x14ac:dyDescent="0.25">
      <c r="B98" s="107"/>
      <c r="C98" s="109"/>
      <c r="D98" s="110"/>
      <c r="E98" s="110"/>
      <c r="F98" s="109"/>
    </row>
    <row r="99" spans="2:6" x14ac:dyDescent="0.25">
      <c r="B99" s="107"/>
      <c r="C99" s="109"/>
      <c r="D99" s="110"/>
      <c r="E99" s="110"/>
      <c r="F99" s="109"/>
    </row>
    <row r="100" spans="2:6" x14ac:dyDescent="0.25">
      <c r="B100" s="107"/>
      <c r="C100" s="109"/>
      <c r="D100" s="110"/>
      <c r="E100" s="110"/>
      <c r="F100" s="109"/>
    </row>
    <row r="101" spans="2:6" x14ac:dyDescent="0.25">
      <c r="B101" s="107"/>
      <c r="C101" s="109"/>
      <c r="D101" s="110"/>
      <c r="E101" s="110"/>
      <c r="F101" s="109"/>
    </row>
    <row r="102" spans="2:6" x14ac:dyDescent="0.25">
      <c r="B102" s="107"/>
      <c r="C102" s="109"/>
      <c r="D102" s="110"/>
      <c r="E102" s="110"/>
      <c r="F102" s="109"/>
    </row>
    <row r="103" spans="2:6" x14ac:dyDescent="0.25">
      <c r="B103" s="107"/>
      <c r="C103" s="109"/>
      <c r="D103" s="110"/>
      <c r="E103" s="110"/>
      <c r="F103" s="109"/>
    </row>
    <row r="104" spans="2:6" x14ac:dyDescent="0.25">
      <c r="B104" s="107"/>
      <c r="C104" s="109"/>
      <c r="D104" s="110"/>
      <c r="E104" s="110"/>
      <c r="F104" s="109"/>
    </row>
    <row r="105" spans="2:6" x14ac:dyDescent="0.25">
      <c r="B105" s="107"/>
      <c r="C105" s="109"/>
      <c r="D105" s="110"/>
      <c r="E105" s="110"/>
      <c r="F105" s="109"/>
    </row>
    <row r="106" spans="2:6" x14ac:dyDescent="0.25">
      <c r="B106" s="107"/>
      <c r="C106" s="109"/>
      <c r="D106" s="110"/>
      <c r="E106" s="110"/>
      <c r="F106" s="109"/>
    </row>
    <row r="107" spans="2:6" x14ac:dyDescent="0.25">
      <c r="B107" s="107"/>
      <c r="C107" s="109"/>
      <c r="D107" s="110"/>
      <c r="E107" s="110"/>
      <c r="F107" s="109"/>
    </row>
    <row r="108" spans="2:6" x14ac:dyDescent="0.25">
      <c r="B108" s="107"/>
      <c r="C108" s="109"/>
      <c r="D108" s="110"/>
      <c r="E108" s="110"/>
      <c r="F108" s="109"/>
    </row>
    <row r="109" spans="2:6" x14ac:dyDescent="0.25">
      <c r="B109" s="107"/>
      <c r="C109" s="109"/>
      <c r="D109" s="110"/>
      <c r="E109" s="110"/>
      <c r="F109" s="109"/>
    </row>
    <row r="110" spans="2:6" x14ac:dyDescent="0.25">
      <c r="B110" s="107"/>
      <c r="C110" s="109"/>
      <c r="D110" s="110"/>
      <c r="E110" s="110"/>
      <c r="F110" s="109"/>
    </row>
    <row r="111" spans="2:6" x14ac:dyDescent="0.25">
      <c r="B111" s="107"/>
      <c r="C111" s="109"/>
      <c r="D111" s="110"/>
      <c r="E111" s="110"/>
      <c r="F111" s="109"/>
    </row>
    <row r="112" spans="2:6" x14ac:dyDescent="0.25">
      <c r="B112" s="107"/>
      <c r="C112" s="109"/>
      <c r="D112" s="110"/>
      <c r="E112" s="110"/>
      <c r="F112" s="109"/>
    </row>
    <row r="113" spans="2:6" x14ac:dyDescent="0.25">
      <c r="B113" s="107"/>
      <c r="C113" s="109"/>
      <c r="D113" s="110"/>
      <c r="E113" s="110"/>
      <c r="F113" s="109"/>
    </row>
    <row r="114" spans="2:6" x14ac:dyDescent="0.25">
      <c r="B114" s="107"/>
      <c r="C114" s="109"/>
      <c r="D114" s="110"/>
      <c r="E114" s="110"/>
      <c r="F114" s="109"/>
    </row>
    <row r="115" spans="2:6" x14ac:dyDescent="0.25">
      <c r="B115" s="107"/>
      <c r="C115" s="109"/>
      <c r="D115" s="110"/>
      <c r="E115" s="110"/>
      <c r="F115" s="109"/>
    </row>
    <row r="116" spans="2:6" x14ac:dyDescent="0.25">
      <c r="B116" s="107"/>
      <c r="C116" s="109"/>
      <c r="D116" s="110"/>
      <c r="E116" s="110"/>
      <c r="F116" s="109"/>
    </row>
    <row r="117" spans="2:6" x14ac:dyDescent="0.25">
      <c r="B117" s="107"/>
      <c r="C117" s="109"/>
      <c r="D117" s="110"/>
      <c r="E117" s="110"/>
      <c r="F117" s="109"/>
    </row>
    <row r="118" spans="2:6" x14ac:dyDescent="0.25">
      <c r="B118" s="107"/>
      <c r="C118" s="109"/>
      <c r="D118" s="110"/>
      <c r="E118" s="110"/>
      <c r="F118" s="109"/>
    </row>
    <row r="119" spans="2:6" x14ac:dyDescent="0.25">
      <c r="B119" s="107"/>
      <c r="C119" s="109"/>
      <c r="D119" s="110"/>
      <c r="E119" s="110"/>
      <c r="F119" s="109"/>
    </row>
    <row r="120" spans="2:6" x14ac:dyDescent="0.25">
      <c r="B120" s="107"/>
      <c r="C120" s="109"/>
      <c r="D120" s="110"/>
      <c r="E120" s="110"/>
      <c r="F120" s="109"/>
    </row>
    <row r="121" spans="2:6" x14ac:dyDescent="0.25">
      <c r="B121" s="107"/>
      <c r="C121" s="109"/>
      <c r="D121" s="110"/>
      <c r="E121" s="110"/>
      <c r="F121" s="109"/>
    </row>
    <row r="122" spans="2:6" x14ac:dyDescent="0.25">
      <c r="B122" s="107"/>
      <c r="C122" s="109"/>
      <c r="D122" s="110"/>
      <c r="E122" s="110"/>
      <c r="F122" s="109"/>
    </row>
    <row r="123" spans="2:6" x14ac:dyDescent="0.25">
      <c r="B123" s="107"/>
      <c r="C123" s="109"/>
      <c r="D123" s="110"/>
      <c r="E123" s="110"/>
      <c r="F123" s="109"/>
    </row>
    <row r="124" spans="2:6" x14ac:dyDescent="0.25">
      <c r="B124" s="107"/>
      <c r="C124" s="109"/>
      <c r="D124" s="110"/>
      <c r="E124" s="110"/>
      <c r="F124" s="109"/>
    </row>
    <row r="125" spans="2:6" x14ac:dyDescent="0.25">
      <c r="B125" s="107"/>
      <c r="C125" s="109"/>
      <c r="D125" s="110"/>
      <c r="E125" s="110"/>
      <c r="F125" s="109"/>
    </row>
    <row r="126" spans="2:6" x14ac:dyDescent="0.25">
      <c r="B126" s="107"/>
      <c r="C126" s="109"/>
      <c r="D126" s="110"/>
      <c r="E126" s="110"/>
      <c r="F126" s="109"/>
    </row>
    <row r="127" spans="2:6" x14ac:dyDescent="0.25">
      <c r="B127" s="107"/>
      <c r="C127" s="109"/>
      <c r="D127" s="110"/>
      <c r="E127" s="110"/>
      <c r="F127" s="109"/>
    </row>
    <row r="128" spans="2:6" x14ac:dyDescent="0.25">
      <c r="B128" s="107"/>
      <c r="C128" s="109"/>
      <c r="D128" s="110"/>
      <c r="E128" s="110"/>
      <c r="F128" s="109"/>
    </row>
    <row r="129" spans="2:6" x14ac:dyDescent="0.25">
      <c r="B129" s="107"/>
      <c r="C129" s="109"/>
      <c r="D129" s="110"/>
      <c r="E129" s="110"/>
      <c r="F129" s="109"/>
    </row>
    <row r="130" spans="2:6" x14ac:dyDescent="0.25">
      <c r="B130" s="107"/>
      <c r="C130" s="109"/>
      <c r="D130" s="110"/>
      <c r="E130" s="110"/>
      <c r="F130" s="109"/>
    </row>
    <row r="131" spans="2:6" x14ac:dyDescent="0.25">
      <c r="B131" s="107"/>
      <c r="C131" s="109"/>
      <c r="D131" s="110"/>
      <c r="E131" s="110"/>
      <c r="F131" s="109"/>
    </row>
    <row r="132" spans="2:6" x14ac:dyDescent="0.25">
      <c r="B132" s="107"/>
      <c r="C132" s="109"/>
      <c r="D132" s="110"/>
      <c r="E132" s="110"/>
      <c r="F132" s="109"/>
    </row>
    <row r="133" spans="2:6" x14ac:dyDescent="0.25">
      <c r="B133" s="107"/>
      <c r="C133" s="109"/>
      <c r="D133" s="110"/>
      <c r="E133" s="110"/>
      <c r="F133" s="109"/>
    </row>
    <row r="134" spans="2:6" x14ac:dyDescent="0.25">
      <c r="B134" s="107"/>
      <c r="C134" s="109"/>
      <c r="D134" s="110"/>
      <c r="E134" s="110"/>
      <c r="F134" s="109"/>
    </row>
    <row r="135" spans="2:6" x14ac:dyDescent="0.25">
      <c r="B135" s="107"/>
      <c r="C135" s="109"/>
      <c r="D135" s="110"/>
      <c r="E135" s="110"/>
      <c r="F135" s="109"/>
    </row>
    <row r="136" spans="2:6" x14ac:dyDescent="0.25">
      <c r="B136" s="107"/>
      <c r="C136" s="109"/>
      <c r="D136" s="110"/>
      <c r="E136" s="110"/>
      <c r="F136" s="109"/>
    </row>
    <row r="137" spans="2:6" x14ac:dyDescent="0.25">
      <c r="B137" s="107"/>
      <c r="C137" s="109"/>
      <c r="D137" s="110"/>
      <c r="E137" s="110"/>
      <c r="F137" s="109"/>
    </row>
    <row r="138" spans="2:6" x14ac:dyDescent="0.25">
      <c r="B138" s="107"/>
      <c r="C138" s="109"/>
      <c r="D138" s="110"/>
      <c r="E138" s="110"/>
      <c r="F138" s="109"/>
    </row>
    <row r="139" spans="2:6" x14ac:dyDescent="0.25">
      <c r="B139" s="107"/>
      <c r="C139" s="109"/>
      <c r="D139" s="110"/>
      <c r="E139" s="110"/>
      <c r="F139" s="109"/>
    </row>
    <row r="140" spans="2:6" x14ac:dyDescent="0.25">
      <c r="B140" s="107"/>
      <c r="C140" s="109"/>
      <c r="D140" s="110"/>
      <c r="E140" s="110"/>
      <c r="F140" s="109"/>
    </row>
    <row r="141" spans="2:6" x14ac:dyDescent="0.25">
      <c r="B141" s="107"/>
      <c r="C141" s="109"/>
      <c r="D141" s="110"/>
      <c r="E141" s="110"/>
      <c r="F141" s="109"/>
    </row>
    <row r="142" spans="2:6" x14ac:dyDescent="0.25">
      <c r="B142" s="107"/>
      <c r="C142" s="109"/>
      <c r="D142" s="110"/>
      <c r="E142" s="110"/>
      <c r="F142" s="109"/>
    </row>
    <row r="143" spans="2:6" x14ac:dyDescent="0.25">
      <c r="B143" s="107"/>
      <c r="C143" s="109"/>
      <c r="D143" s="110"/>
      <c r="E143" s="110"/>
      <c r="F143" s="109"/>
    </row>
    <row r="144" spans="2:6" x14ac:dyDescent="0.25">
      <c r="B144" s="107"/>
      <c r="C144" s="109"/>
      <c r="D144" s="110"/>
      <c r="E144" s="110"/>
      <c r="F144" s="109"/>
    </row>
    <row r="145" spans="2:6" x14ac:dyDescent="0.25">
      <c r="B145" s="107"/>
      <c r="C145" s="109"/>
      <c r="D145" s="110"/>
      <c r="E145" s="110"/>
      <c r="F145" s="109"/>
    </row>
    <row r="146" spans="2:6" x14ac:dyDescent="0.25">
      <c r="B146" s="107"/>
      <c r="C146" s="109"/>
      <c r="D146" s="110"/>
      <c r="E146" s="110"/>
      <c r="F146" s="109"/>
    </row>
    <row r="147" spans="2:6" x14ac:dyDescent="0.25">
      <c r="B147" s="107"/>
      <c r="C147" s="109"/>
      <c r="D147" s="110"/>
      <c r="E147" s="110"/>
      <c r="F147" s="109"/>
    </row>
    <row r="148" spans="2:6" x14ac:dyDescent="0.25">
      <c r="B148" s="107"/>
      <c r="C148" s="109"/>
      <c r="D148" s="110"/>
      <c r="E148" s="110"/>
      <c r="F148" s="109"/>
    </row>
    <row r="149" spans="2:6" x14ac:dyDescent="0.25">
      <c r="B149" s="107"/>
      <c r="C149" s="109"/>
      <c r="D149" s="110"/>
      <c r="E149" s="110"/>
      <c r="F149" s="109"/>
    </row>
    <row r="150" spans="2:6" x14ac:dyDescent="0.25">
      <c r="B150" s="107"/>
      <c r="C150" s="109"/>
      <c r="D150" s="110"/>
      <c r="E150" s="110"/>
      <c r="F150" s="109"/>
    </row>
    <row r="151" spans="2:6" x14ac:dyDescent="0.25">
      <c r="B151" s="107"/>
      <c r="C151" s="109"/>
      <c r="D151" s="110"/>
      <c r="E151" s="110"/>
      <c r="F151" s="109"/>
    </row>
    <row r="152" spans="2:6" x14ac:dyDescent="0.25">
      <c r="B152" s="107"/>
      <c r="C152" s="109"/>
      <c r="D152" s="110"/>
      <c r="E152" s="110"/>
      <c r="F152" s="109"/>
    </row>
    <row r="153" spans="2:6" x14ac:dyDescent="0.25">
      <c r="B153" s="107"/>
      <c r="C153" s="109"/>
      <c r="D153" s="110"/>
      <c r="E153" s="110"/>
      <c r="F153" s="109"/>
    </row>
    <row r="154" spans="2:6" x14ac:dyDescent="0.25">
      <c r="B154" s="107"/>
      <c r="C154" s="109"/>
      <c r="D154" s="110"/>
      <c r="E154" s="110"/>
      <c r="F154" s="109"/>
    </row>
    <row r="155" spans="2:6" x14ac:dyDescent="0.25">
      <c r="B155" s="107"/>
      <c r="C155" s="109"/>
      <c r="D155" s="110"/>
      <c r="E155" s="110"/>
      <c r="F155" s="109"/>
    </row>
    <row r="156" spans="2:6" x14ac:dyDescent="0.25">
      <c r="B156" s="107"/>
      <c r="C156" s="109"/>
      <c r="D156" s="110"/>
      <c r="E156" s="110"/>
      <c r="F156" s="109"/>
    </row>
    <row r="157" spans="2:6" x14ac:dyDescent="0.25">
      <c r="B157" s="107"/>
      <c r="C157" s="109"/>
      <c r="D157" s="110"/>
      <c r="E157" s="110"/>
      <c r="F157" s="109"/>
    </row>
    <row r="158" spans="2:6" x14ac:dyDescent="0.25">
      <c r="B158" s="107"/>
      <c r="C158" s="109"/>
      <c r="D158" s="110"/>
      <c r="E158" s="110"/>
      <c r="F158" s="109"/>
    </row>
    <row r="159" spans="2:6" x14ac:dyDescent="0.25">
      <c r="B159" s="107"/>
      <c r="C159" s="109"/>
      <c r="D159" s="110"/>
      <c r="E159" s="110"/>
      <c r="F159" s="109"/>
    </row>
    <row r="160" spans="2:6" x14ac:dyDescent="0.25">
      <c r="B160" s="107"/>
      <c r="C160" s="109"/>
      <c r="D160" s="110"/>
      <c r="E160" s="110"/>
      <c r="F160" s="109"/>
    </row>
    <row r="161" spans="2:6" x14ac:dyDescent="0.25">
      <c r="B161" s="107"/>
      <c r="C161" s="109"/>
      <c r="D161" s="110"/>
      <c r="E161" s="110"/>
      <c r="F161" s="109"/>
    </row>
    <row r="162" spans="2:6" x14ac:dyDescent="0.25">
      <c r="B162" s="107"/>
      <c r="C162" s="109"/>
      <c r="D162" s="110"/>
      <c r="E162" s="110"/>
      <c r="F162" s="109"/>
    </row>
    <row r="163" spans="2:6" x14ac:dyDescent="0.25">
      <c r="B163" s="107"/>
      <c r="C163" s="109"/>
      <c r="D163" s="110"/>
      <c r="E163" s="110"/>
      <c r="F163" s="109"/>
    </row>
    <row r="164" spans="2:6" x14ac:dyDescent="0.25">
      <c r="B164" s="107"/>
      <c r="C164" s="109"/>
      <c r="D164" s="110"/>
      <c r="E164" s="110"/>
      <c r="F164" s="109"/>
    </row>
    <row r="165" spans="2:6" x14ac:dyDescent="0.25">
      <c r="B165" s="107"/>
      <c r="C165" s="109"/>
      <c r="D165" s="110"/>
      <c r="E165" s="110"/>
      <c r="F165" s="109"/>
    </row>
    <row r="166" spans="2:6" x14ac:dyDescent="0.25">
      <c r="B166" s="107"/>
      <c r="C166" s="109"/>
      <c r="D166" s="110"/>
      <c r="E166" s="110"/>
      <c r="F166" s="109"/>
    </row>
    <row r="167" spans="2:6" x14ac:dyDescent="0.25">
      <c r="B167" s="107"/>
      <c r="C167" s="109"/>
      <c r="D167" s="110"/>
      <c r="E167" s="110"/>
      <c r="F167" s="109"/>
    </row>
    <row r="168" spans="2:6" x14ac:dyDescent="0.25">
      <c r="B168" s="107"/>
      <c r="C168" s="109"/>
      <c r="D168" s="110"/>
      <c r="E168" s="110"/>
      <c r="F168" s="109"/>
    </row>
    <row r="169" spans="2:6" x14ac:dyDescent="0.25">
      <c r="B169" s="107"/>
      <c r="C169" s="109"/>
      <c r="D169" s="110"/>
      <c r="E169" s="110"/>
      <c r="F169" s="109"/>
    </row>
    <row r="170" spans="2:6" x14ac:dyDescent="0.25">
      <c r="B170" s="107"/>
      <c r="C170" s="109"/>
      <c r="D170" s="110"/>
      <c r="E170" s="110"/>
      <c r="F170" s="109"/>
    </row>
    <row r="171" spans="2:6" x14ac:dyDescent="0.25">
      <c r="B171" s="107"/>
      <c r="C171" s="109"/>
      <c r="D171" s="110"/>
      <c r="E171" s="110"/>
      <c r="F171" s="109"/>
    </row>
    <row r="172" spans="2:6" x14ac:dyDescent="0.25">
      <c r="B172" s="107"/>
      <c r="C172" s="109"/>
      <c r="D172" s="110"/>
      <c r="E172" s="110"/>
      <c r="F172" s="109"/>
    </row>
    <row r="173" spans="2:6" x14ac:dyDescent="0.25">
      <c r="B173" s="107"/>
      <c r="C173" s="109"/>
      <c r="D173" s="110"/>
      <c r="E173" s="110"/>
      <c r="F173" s="109"/>
    </row>
    <row r="174" spans="2:6" x14ac:dyDescent="0.25">
      <c r="B174" s="107"/>
      <c r="C174" s="109"/>
      <c r="D174" s="110"/>
      <c r="E174" s="110"/>
      <c r="F174" s="109"/>
    </row>
    <row r="175" spans="2:6" x14ac:dyDescent="0.25">
      <c r="B175" s="107"/>
      <c r="C175" s="109"/>
      <c r="D175" s="110"/>
      <c r="E175" s="110"/>
      <c r="F175" s="109"/>
    </row>
    <row r="176" spans="2:6" x14ac:dyDescent="0.25">
      <c r="B176" s="107"/>
      <c r="C176" s="109"/>
      <c r="D176" s="110"/>
      <c r="E176" s="110"/>
      <c r="F176" s="109"/>
    </row>
    <row r="177" spans="2:6" x14ac:dyDescent="0.25">
      <c r="B177" s="107"/>
      <c r="C177" s="109"/>
      <c r="D177" s="110"/>
      <c r="E177" s="110"/>
      <c r="F177" s="109"/>
    </row>
    <row r="178" spans="2:6" x14ac:dyDescent="0.25">
      <c r="B178" s="107"/>
      <c r="C178" s="109"/>
      <c r="D178" s="110"/>
      <c r="E178" s="110"/>
      <c r="F178" s="109"/>
    </row>
    <row r="179" spans="2:6" x14ac:dyDescent="0.25">
      <c r="B179" s="107"/>
      <c r="C179" s="109"/>
      <c r="D179" s="110"/>
      <c r="E179" s="110"/>
      <c r="F179" s="109"/>
    </row>
    <row r="180" spans="2:6" x14ac:dyDescent="0.25">
      <c r="B180" s="107"/>
      <c r="C180" s="109"/>
      <c r="D180" s="110"/>
      <c r="E180" s="110"/>
      <c r="F180" s="109"/>
    </row>
    <row r="181" spans="2:6" x14ac:dyDescent="0.25">
      <c r="B181" s="107"/>
      <c r="C181" s="109"/>
      <c r="D181" s="110"/>
      <c r="E181" s="110"/>
      <c r="F181" s="109"/>
    </row>
    <row r="182" spans="2:6" x14ac:dyDescent="0.25">
      <c r="B182" s="107"/>
      <c r="C182" s="109"/>
      <c r="D182" s="110"/>
      <c r="E182" s="110"/>
      <c r="F182" s="109"/>
    </row>
    <row r="183" spans="2:6" x14ac:dyDescent="0.25">
      <c r="B183" s="107"/>
      <c r="C183" s="109"/>
      <c r="D183" s="110"/>
      <c r="E183" s="110"/>
      <c r="F183" s="109"/>
    </row>
    <row r="184" spans="2:6" x14ac:dyDescent="0.25">
      <c r="B184" s="107"/>
      <c r="C184" s="109"/>
      <c r="D184" s="110"/>
      <c r="E184" s="110"/>
      <c r="F184" s="109"/>
    </row>
    <row r="185" spans="2:6" x14ac:dyDescent="0.25">
      <c r="B185" s="107"/>
      <c r="C185" s="109"/>
      <c r="D185" s="110"/>
      <c r="E185" s="110"/>
      <c r="F185" s="109"/>
    </row>
    <row r="186" spans="2:6" x14ac:dyDescent="0.25">
      <c r="B186" s="107"/>
      <c r="C186" s="109"/>
      <c r="D186" s="110"/>
      <c r="E186" s="110"/>
      <c r="F186" s="109"/>
    </row>
    <row r="187" spans="2:6" x14ac:dyDescent="0.25">
      <c r="B187" s="107"/>
      <c r="C187" s="109"/>
      <c r="D187" s="110"/>
      <c r="E187" s="110"/>
      <c r="F187" s="109"/>
    </row>
    <row r="188" spans="2:6" x14ac:dyDescent="0.25">
      <c r="B188" s="107"/>
      <c r="C188" s="109"/>
      <c r="D188" s="110"/>
      <c r="E188" s="110"/>
      <c r="F188" s="109"/>
    </row>
    <row r="189" spans="2:6" x14ac:dyDescent="0.25">
      <c r="B189" s="107"/>
      <c r="C189" s="109"/>
      <c r="D189" s="110"/>
      <c r="E189" s="110"/>
      <c r="F189" s="109"/>
    </row>
    <row r="190" spans="2:6" x14ac:dyDescent="0.25">
      <c r="B190" s="107"/>
      <c r="C190" s="109"/>
      <c r="D190" s="110"/>
      <c r="E190" s="110"/>
      <c r="F190" s="109"/>
    </row>
    <row r="191" spans="2:6" x14ac:dyDescent="0.25">
      <c r="B191" s="107"/>
      <c r="C191" s="109"/>
      <c r="D191" s="110"/>
      <c r="E191" s="110"/>
      <c r="F191" s="109"/>
    </row>
    <row r="192" spans="2:6" x14ac:dyDescent="0.25">
      <c r="B192" s="107"/>
      <c r="C192" s="109"/>
      <c r="D192" s="110"/>
      <c r="E192" s="110"/>
      <c r="F192" s="109"/>
    </row>
    <row r="193" spans="2:6" x14ac:dyDescent="0.25">
      <c r="B193" s="107"/>
      <c r="C193" s="109"/>
      <c r="D193" s="110"/>
      <c r="E193" s="110"/>
      <c r="F193" s="109"/>
    </row>
    <row r="194" spans="2:6" x14ac:dyDescent="0.25">
      <c r="B194" s="107"/>
      <c r="C194" s="109"/>
      <c r="D194" s="110"/>
      <c r="E194" s="110"/>
      <c r="F194" s="109"/>
    </row>
    <row r="195" spans="2:6" x14ac:dyDescent="0.25">
      <c r="B195" s="107"/>
      <c r="C195" s="109"/>
      <c r="D195" s="110"/>
      <c r="E195" s="110"/>
      <c r="F195" s="109"/>
    </row>
    <row r="196" spans="2:6" x14ac:dyDescent="0.25">
      <c r="B196" s="107"/>
      <c r="C196" s="109"/>
      <c r="D196" s="110"/>
      <c r="E196" s="110"/>
      <c r="F196" s="109"/>
    </row>
    <row r="197" spans="2:6" x14ac:dyDescent="0.25">
      <c r="B197" s="107"/>
      <c r="C197" s="109"/>
      <c r="D197" s="110"/>
      <c r="E197" s="110"/>
      <c r="F197" s="109"/>
    </row>
    <row r="198" spans="2:6" x14ac:dyDescent="0.25">
      <c r="B198" s="107"/>
      <c r="C198" s="109"/>
      <c r="D198" s="110"/>
      <c r="E198" s="110"/>
      <c r="F198" s="109"/>
    </row>
    <row r="199" spans="2:6" x14ac:dyDescent="0.25">
      <c r="B199" s="107"/>
      <c r="C199" s="109"/>
      <c r="D199" s="110"/>
      <c r="E199" s="110"/>
      <c r="F199" s="109"/>
    </row>
    <row r="200" spans="2:6" x14ac:dyDescent="0.25">
      <c r="B200" s="107"/>
      <c r="C200" s="109"/>
      <c r="D200" s="110"/>
      <c r="E200" s="110"/>
      <c r="F200" s="109"/>
    </row>
    <row r="201" spans="2:6" x14ac:dyDescent="0.25">
      <c r="B201" s="107"/>
      <c r="C201" s="109"/>
      <c r="D201" s="110"/>
      <c r="E201" s="110"/>
      <c r="F201" s="109"/>
    </row>
    <row r="202" spans="2:6" x14ac:dyDescent="0.25">
      <c r="B202" s="107"/>
      <c r="C202" s="109"/>
      <c r="D202" s="110"/>
      <c r="E202" s="110"/>
      <c r="F202" s="109"/>
    </row>
    <row r="203" spans="2:6" x14ac:dyDescent="0.25">
      <c r="B203" s="107"/>
      <c r="C203" s="109"/>
      <c r="D203" s="110"/>
      <c r="E203" s="110"/>
      <c r="F203" s="109"/>
    </row>
    <row r="204" spans="2:6" x14ac:dyDescent="0.25">
      <c r="B204" s="107"/>
      <c r="C204" s="109"/>
      <c r="D204" s="110"/>
      <c r="E204" s="110"/>
      <c r="F204" s="109"/>
    </row>
    <row r="205" spans="2:6" x14ac:dyDescent="0.25">
      <c r="B205" s="107"/>
      <c r="C205" s="109"/>
      <c r="D205" s="110"/>
      <c r="E205" s="110"/>
      <c r="F205" s="109"/>
    </row>
    <row r="206" spans="2:6" x14ac:dyDescent="0.25">
      <c r="B206" s="107"/>
      <c r="C206" s="109"/>
      <c r="D206" s="110"/>
      <c r="E206" s="110"/>
      <c r="F206" s="109"/>
    </row>
    <row r="207" spans="2:6" x14ac:dyDescent="0.25">
      <c r="B207" s="107"/>
      <c r="C207" s="109"/>
      <c r="D207" s="110"/>
      <c r="E207" s="110"/>
      <c r="F207" s="109"/>
    </row>
    <row r="208" spans="2:6" x14ac:dyDescent="0.25">
      <c r="B208" s="107"/>
      <c r="C208" s="109"/>
      <c r="D208" s="110"/>
      <c r="E208" s="110"/>
      <c r="F208" s="109"/>
    </row>
    <row r="209" spans="2:6" x14ac:dyDescent="0.25">
      <c r="B209" s="107"/>
      <c r="C209" s="109"/>
      <c r="D209" s="110"/>
      <c r="E209" s="110"/>
      <c r="F209" s="109"/>
    </row>
    <row r="210" spans="2:6" x14ac:dyDescent="0.25">
      <c r="B210" s="107"/>
      <c r="C210" s="109"/>
      <c r="D210" s="110"/>
      <c r="E210" s="110"/>
      <c r="F210" s="109"/>
    </row>
    <row r="211" spans="2:6" x14ac:dyDescent="0.25">
      <c r="B211" s="107"/>
      <c r="C211" s="109"/>
      <c r="D211" s="110"/>
      <c r="E211" s="110"/>
      <c r="F211" s="109"/>
    </row>
    <row r="212" spans="2:6" x14ac:dyDescent="0.25">
      <c r="B212" s="107"/>
      <c r="C212" s="109"/>
      <c r="D212" s="110"/>
      <c r="E212" s="110"/>
      <c r="F212" s="109"/>
    </row>
    <row r="213" spans="2:6" x14ac:dyDescent="0.25">
      <c r="B213" s="107"/>
      <c r="C213" s="109"/>
      <c r="D213" s="110"/>
      <c r="E213" s="110"/>
      <c r="F213" s="109"/>
    </row>
    <row r="214" spans="2:6" x14ac:dyDescent="0.25">
      <c r="B214" s="107"/>
      <c r="C214" s="109"/>
      <c r="D214" s="110"/>
      <c r="E214" s="110"/>
      <c r="F214" s="109"/>
    </row>
    <row r="215" spans="2:6" x14ac:dyDescent="0.25">
      <c r="B215" s="107"/>
      <c r="C215" s="109"/>
      <c r="D215" s="110"/>
      <c r="E215" s="110"/>
      <c r="F215" s="109"/>
    </row>
    <row r="216" spans="2:6" x14ac:dyDescent="0.25">
      <c r="B216" s="107"/>
      <c r="C216" s="109"/>
      <c r="D216" s="110"/>
      <c r="E216" s="110"/>
      <c r="F216" s="109"/>
    </row>
    <row r="217" spans="2:6" x14ac:dyDescent="0.25">
      <c r="B217" s="107"/>
      <c r="C217" s="109"/>
      <c r="D217" s="110"/>
      <c r="E217" s="110"/>
      <c r="F217" s="109"/>
    </row>
    <row r="218" spans="2:6" x14ac:dyDescent="0.25">
      <c r="B218" s="107"/>
      <c r="C218" s="109"/>
      <c r="D218" s="110"/>
      <c r="E218" s="110"/>
      <c r="F218" s="109"/>
    </row>
    <row r="219" spans="2:6" x14ac:dyDescent="0.25">
      <c r="B219" s="107"/>
      <c r="C219" s="109"/>
      <c r="D219" s="110"/>
      <c r="E219" s="110"/>
      <c r="F219" s="109"/>
    </row>
    <row r="220" spans="2:6" x14ac:dyDescent="0.25">
      <c r="B220" s="107"/>
      <c r="C220" s="109"/>
      <c r="D220" s="110"/>
      <c r="E220" s="110"/>
      <c r="F220" s="109"/>
    </row>
    <row r="221" spans="2:6" x14ac:dyDescent="0.25">
      <c r="B221" s="107"/>
      <c r="C221" s="109"/>
      <c r="D221" s="110"/>
      <c r="E221" s="110"/>
      <c r="F221" s="109"/>
    </row>
    <row r="222" spans="2:6" x14ac:dyDescent="0.25">
      <c r="B222" s="107"/>
      <c r="C222" s="109"/>
      <c r="D222" s="110"/>
      <c r="E222" s="110"/>
      <c r="F222" s="109"/>
    </row>
    <row r="223" spans="2:6" x14ac:dyDescent="0.25">
      <c r="B223" s="107"/>
      <c r="C223" s="109"/>
      <c r="D223" s="110"/>
      <c r="E223" s="110"/>
      <c r="F223" s="109"/>
    </row>
    <row r="224" spans="2:6" x14ac:dyDescent="0.25">
      <c r="B224" s="107"/>
      <c r="C224" s="109"/>
      <c r="D224" s="110"/>
      <c r="E224" s="110"/>
      <c r="F224" s="109"/>
    </row>
    <row r="225" spans="2:6" x14ac:dyDescent="0.25">
      <c r="B225" s="107"/>
      <c r="C225" s="109"/>
      <c r="D225" s="110"/>
      <c r="E225" s="110"/>
      <c r="F225" s="109"/>
    </row>
    <row r="226" spans="2:6" x14ac:dyDescent="0.25">
      <c r="B226" s="107"/>
      <c r="C226" s="109"/>
      <c r="D226" s="110"/>
      <c r="E226" s="110"/>
      <c r="F226" s="109"/>
    </row>
    <row r="227" spans="2:6" x14ac:dyDescent="0.25">
      <c r="B227" s="107"/>
      <c r="C227" s="109"/>
      <c r="D227" s="110"/>
      <c r="E227" s="110"/>
      <c r="F227" s="109"/>
    </row>
    <row r="228" spans="2:6" x14ac:dyDescent="0.25">
      <c r="B228" s="107"/>
      <c r="C228" s="109"/>
      <c r="D228" s="110"/>
      <c r="E228" s="110"/>
      <c r="F228" s="109"/>
    </row>
    <row r="229" spans="2:6" x14ac:dyDescent="0.25">
      <c r="B229" s="107"/>
      <c r="C229" s="109"/>
      <c r="D229" s="110"/>
      <c r="E229" s="110"/>
      <c r="F229" s="109"/>
    </row>
    <row r="230" spans="2:6" x14ac:dyDescent="0.25">
      <c r="B230" s="107"/>
      <c r="C230" s="109"/>
      <c r="D230" s="110"/>
      <c r="E230" s="110"/>
      <c r="F230" s="109"/>
    </row>
    <row r="231" spans="2:6" x14ac:dyDescent="0.25">
      <c r="B231" s="107"/>
      <c r="C231" s="109"/>
      <c r="D231" s="110"/>
      <c r="E231" s="110"/>
      <c r="F231" s="109"/>
    </row>
    <row r="232" spans="2:6" x14ac:dyDescent="0.25">
      <c r="B232" s="107"/>
      <c r="C232" s="109"/>
      <c r="D232" s="110"/>
      <c r="E232" s="110"/>
      <c r="F232" s="109"/>
    </row>
    <row r="233" spans="2:6" x14ac:dyDescent="0.25">
      <c r="B233" s="107"/>
      <c r="C233" s="109"/>
      <c r="D233" s="110"/>
      <c r="E233" s="110"/>
      <c r="F233" s="109"/>
    </row>
    <row r="234" spans="2:6" x14ac:dyDescent="0.25">
      <c r="B234" s="107"/>
      <c r="C234" s="109"/>
      <c r="D234" s="110"/>
      <c r="E234" s="110"/>
      <c r="F234" s="109"/>
    </row>
    <row r="235" spans="2:6" x14ac:dyDescent="0.25">
      <c r="B235" s="107"/>
      <c r="C235" s="109"/>
      <c r="D235" s="110"/>
      <c r="E235" s="110"/>
      <c r="F235" s="109"/>
    </row>
    <row r="236" spans="2:6" x14ac:dyDescent="0.25">
      <c r="B236" s="107"/>
      <c r="C236" s="109"/>
      <c r="D236" s="110"/>
      <c r="E236" s="110"/>
      <c r="F236" s="109"/>
    </row>
    <row r="237" spans="2:6" x14ac:dyDescent="0.25">
      <c r="B237" s="107"/>
      <c r="C237" s="109"/>
      <c r="D237" s="110"/>
      <c r="E237" s="110"/>
      <c r="F237" s="109"/>
    </row>
    <row r="238" spans="2:6" x14ac:dyDescent="0.25">
      <c r="B238" s="107"/>
      <c r="C238" s="109"/>
      <c r="D238" s="110"/>
      <c r="E238" s="110"/>
      <c r="F238" s="109"/>
    </row>
    <row r="239" spans="2:6" x14ac:dyDescent="0.25">
      <c r="B239" s="107"/>
      <c r="C239" s="109"/>
      <c r="D239" s="110"/>
      <c r="E239" s="110"/>
      <c r="F239" s="109"/>
    </row>
    <row r="240" spans="2:6" x14ac:dyDescent="0.25">
      <c r="B240" s="107"/>
      <c r="C240" s="109"/>
      <c r="D240" s="110"/>
      <c r="E240" s="110"/>
      <c r="F240" s="109"/>
    </row>
    <row r="241" spans="2:6" x14ac:dyDescent="0.25">
      <c r="B241" s="107"/>
      <c r="C241" s="109"/>
      <c r="D241" s="110"/>
      <c r="E241" s="110"/>
      <c r="F241" s="109"/>
    </row>
    <row r="242" spans="2:6" x14ac:dyDescent="0.25">
      <c r="B242" s="107"/>
      <c r="C242" s="109"/>
      <c r="D242" s="110"/>
      <c r="E242" s="110"/>
      <c r="F242" s="109"/>
    </row>
    <row r="243" spans="2:6" x14ac:dyDescent="0.25">
      <c r="B243" s="107"/>
      <c r="C243" s="109"/>
      <c r="D243" s="110"/>
      <c r="E243" s="110"/>
      <c r="F243" s="109"/>
    </row>
    <row r="244" spans="2:6" x14ac:dyDescent="0.25">
      <c r="B244" s="107"/>
      <c r="C244" s="109"/>
      <c r="D244" s="110"/>
      <c r="E244" s="110"/>
      <c r="F244" s="109"/>
    </row>
    <row r="245" spans="2:6" x14ac:dyDescent="0.25">
      <c r="B245" s="107"/>
      <c r="C245" s="109"/>
      <c r="D245" s="110"/>
      <c r="E245" s="110"/>
      <c r="F245" s="109"/>
    </row>
    <row r="246" spans="2:6" x14ac:dyDescent="0.25">
      <c r="B246" s="107"/>
      <c r="C246" s="109"/>
      <c r="D246" s="110"/>
      <c r="E246" s="110"/>
      <c r="F246" s="109"/>
    </row>
    <row r="247" spans="2:6" x14ac:dyDescent="0.25">
      <c r="B247" s="107"/>
      <c r="C247" s="109"/>
      <c r="D247" s="110"/>
      <c r="E247" s="110"/>
      <c r="F247" s="109"/>
    </row>
    <row r="248" spans="2:6" x14ac:dyDescent="0.25">
      <c r="B248" s="107"/>
      <c r="C248" s="109"/>
      <c r="D248" s="110"/>
      <c r="E248" s="110"/>
      <c r="F248" s="109"/>
    </row>
    <row r="249" spans="2:6" x14ac:dyDescent="0.25">
      <c r="B249" s="107"/>
      <c r="C249" s="109"/>
      <c r="D249" s="110"/>
      <c r="E249" s="110"/>
      <c r="F249" s="109"/>
    </row>
    <row r="250" spans="2:6" x14ac:dyDescent="0.25">
      <c r="B250" s="107"/>
      <c r="C250" s="109"/>
      <c r="D250" s="110"/>
      <c r="E250" s="110"/>
      <c r="F250" s="109"/>
    </row>
    <row r="251" spans="2:6" x14ac:dyDescent="0.25">
      <c r="B251" s="107"/>
      <c r="C251" s="109"/>
      <c r="D251" s="110"/>
      <c r="E251" s="110"/>
      <c r="F251" s="109"/>
    </row>
    <row r="252" spans="2:6" x14ac:dyDescent="0.25">
      <c r="B252" s="107"/>
      <c r="C252" s="109"/>
      <c r="D252" s="110"/>
      <c r="E252" s="110"/>
      <c r="F252" s="109"/>
    </row>
    <row r="253" spans="2:6" x14ac:dyDescent="0.25">
      <c r="B253" s="107"/>
      <c r="C253" s="109"/>
      <c r="D253" s="110"/>
      <c r="E253" s="110"/>
      <c r="F253" s="109"/>
    </row>
    <row r="254" spans="2:6" x14ac:dyDescent="0.25">
      <c r="B254" s="107"/>
      <c r="C254" s="109"/>
      <c r="D254" s="110"/>
      <c r="E254" s="110"/>
      <c r="F254" s="109"/>
    </row>
    <row r="255" spans="2:6" x14ac:dyDescent="0.25">
      <c r="B255" s="107"/>
      <c r="C255" s="109"/>
      <c r="D255" s="110"/>
      <c r="E255" s="110"/>
      <c r="F255" s="109"/>
    </row>
    <row r="256" spans="2:6" x14ac:dyDescent="0.25">
      <c r="B256" s="107"/>
      <c r="C256" s="109"/>
      <c r="D256" s="110"/>
      <c r="E256" s="110"/>
      <c r="F256" s="109"/>
    </row>
    <row r="257" spans="2:6" x14ac:dyDescent="0.25">
      <c r="B257" s="107"/>
      <c r="C257" s="109"/>
      <c r="D257" s="110"/>
      <c r="E257" s="110"/>
      <c r="F257" s="109"/>
    </row>
    <row r="258" spans="2:6" x14ac:dyDescent="0.25">
      <c r="B258" s="107"/>
      <c r="C258" s="109"/>
      <c r="D258" s="110"/>
      <c r="E258" s="110"/>
      <c r="F258" s="109"/>
    </row>
    <row r="259" spans="2:6" x14ac:dyDescent="0.25">
      <c r="B259" s="107"/>
      <c r="C259" s="109"/>
      <c r="D259" s="110"/>
      <c r="E259" s="110"/>
      <c r="F259" s="109"/>
    </row>
    <row r="260" spans="2:6" x14ac:dyDescent="0.25">
      <c r="B260" s="107"/>
      <c r="C260" s="109"/>
      <c r="D260" s="110"/>
      <c r="E260" s="110"/>
      <c r="F260" s="109"/>
    </row>
    <row r="261" spans="2:6" x14ac:dyDescent="0.25">
      <c r="B261" s="107"/>
      <c r="C261" s="109"/>
      <c r="D261" s="110"/>
      <c r="E261" s="110"/>
      <c r="F261" s="109"/>
    </row>
    <row r="262" spans="2:6" x14ac:dyDescent="0.25">
      <c r="B262" s="107"/>
      <c r="C262" s="109"/>
      <c r="D262" s="110"/>
      <c r="E262" s="110"/>
      <c r="F262" s="109"/>
    </row>
    <row r="263" spans="2:6" x14ac:dyDescent="0.25">
      <c r="B263" s="107"/>
      <c r="C263" s="109"/>
      <c r="D263" s="110"/>
      <c r="E263" s="110"/>
      <c r="F263" s="109"/>
    </row>
    <row r="264" spans="2:6" x14ac:dyDescent="0.25">
      <c r="B264" s="107"/>
      <c r="C264" s="109"/>
      <c r="D264" s="110"/>
      <c r="E264" s="110"/>
      <c r="F264" s="109"/>
    </row>
    <row r="265" spans="2:6" x14ac:dyDescent="0.25">
      <c r="B265" s="107"/>
      <c r="C265" s="109"/>
      <c r="D265" s="110"/>
      <c r="E265" s="110"/>
      <c r="F265" s="109"/>
    </row>
    <row r="266" spans="2:6" x14ac:dyDescent="0.25">
      <c r="B266" s="107"/>
      <c r="C266" s="109"/>
      <c r="D266" s="110"/>
      <c r="E266" s="110"/>
      <c r="F266" s="109"/>
    </row>
    <row r="267" spans="2:6" x14ac:dyDescent="0.25">
      <c r="B267" s="107"/>
      <c r="C267" s="109"/>
      <c r="D267" s="110"/>
      <c r="E267" s="110"/>
      <c r="F267" s="109"/>
    </row>
    <row r="268" spans="2:6" x14ac:dyDescent="0.25">
      <c r="B268" s="107"/>
      <c r="C268" s="109"/>
      <c r="D268" s="110"/>
      <c r="E268" s="110"/>
      <c r="F268" s="109"/>
    </row>
    <row r="269" spans="2:6" x14ac:dyDescent="0.25">
      <c r="B269" s="107"/>
      <c r="C269" s="109"/>
      <c r="D269" s="110"/>
      <c r="E269" s="110"/>
      <c r="F269" s="109"/>
    </row>
    <row r="270" spans="2:6" x14ac:dyDescent="0.25">
      <c r="B270" s="107"/>
      <c r="C270" s="109"/>
      <c r="D270" s="110"/>
      <c r="E270" s="110"/>
      <c r="F270" s="109"/>
    </row>
    <row r="271" spans="2:6" x14ac:dyDescent="0.25">
      <c r="B271" s="107"/>
      <c r="C271" s="109"/>
      <c r="D271" s="110"/>
      <c r="E271" s="110"/>
      <c r="F271" s="109"/>
    </row>
    <row r="272" spans="2:6" x14ac:dyDescent="0.25">
      <c r="B272" s="107"/>
      <c r="C272" s="109"/>
      <c r="D272" s="110"/>
      <c r="E272" s="110"/>
      <c r="F272" s="109"/>
    </row>
    <row r="273" spans="2:6" x14ac:dyDescent="0.25">
      <c r="B273" s="107"/>
      <c r="C273" s="109"/>
      <c r="D273" s="110"/>
      <c r="E273" s="110"/>
      <c r="F273" s="109"/>
    </row>
    <row r="274" spans="2:6" x14ac:dyDescent="0.25">
      <c r="B274" s="107"/>
      <c r="C274" s="109"/>
      <c r="D274" s="110"/>
      <c r="E274" s="110"/>
      <c r="F274" s="109"/>
    </row>
    <row r="275" spans="2:6" x14ac:dyDescent="0.25">
      <c r="B275" s="107"/>
      <c r="C275" s="109"/>
      <c r="D275" s="110"/>
      <c r="E275" s="110"/>
      <c r="F275" s="109"/>
    </row>
    <row r="276" spans="2:6" x14ac:dyDescent="0.25">
      <c r="B276" s="107"/>
      <c r="C276" s="109"/>
      <c r="D276" s="110"/>
      <c r="E276" s="110"/>
      <c r="F276" s="109"/>
    </row>
    <row r="277" spans="2:6" x14ac:dyDescent="0.25">
      <c r="B277" s="107"/>
      <c r="C277" s="109"/>
      <c r="D277" s="110"/>
      <c r="E277" s="110"/>
      <c r="F277" s="109"/>
    </row>
    <row r="278" spans="2:6" x14ac:dyDescent="0.25">
      <c r="B278" s="107"/>
      <c r="C278" s="109"/>
      <c r="D278" s="110"/>
      <c r="E278" s="110"/>
      <c r="F278" s="109"/>
    </row>
    <row r="279" spans="2:6" x14ac:dyDescent="0.25">
      <c r="B279" s="107"/>
      <c r="C279" s="109"/>
      <c r="D279" s="110"/>
      <c r="E279" s="110"/>
      <c r="F279" s="109"/>
    </row>
    <row r="280" spans="2:6" x14ac:dyDescent="0.25">
      <c r="B280" s="107"/>
      <c r="C280" s="109"/>
      <c r="D280" s="110"/>
      <c r="E280" s="110"/>
      <c r="F280" s="109"/>
    </row>
    <row r="281" spans="2:6" x14ac:dyDescent="0.25">
      <c r="B281" s="107"/>
      <c r="C281" s="109"/>
      <c r="D281" s="110"/>
      <c r="E281" s="110"/>
      <c r="F281" s="109"/>
    </row>
    <row r="282" spans="2:6" x14ac:dyDescent="0.25">
      <c r="B282" s="107"/>
      <c r="C282" s="109"/>
      <c r="D282" s="110"/>
      <c r="E282" s="110"/>
      <c r="F282" s="109"/>
    </row>
    <row r="283" spans="2:6" x14ac:dyDescent="0.25">
      <c r="B283" s="107"/>
      <c r="C283" s="109"/>
      <c r="D283" s="110"/>
      <c r="E283" s="110"/>
      <c r="F283" s="109"/>
    </row>
    <row r="284" spans="2:6" x14ac:dyDescent="0.25">
      <c r="B284" s="107"/>
      <c r="C284" s="109"/>
      <c r="D284" s="110"/>
      <c r="E284" s="110"/>
      <c r="F284" s="109"/>
    </row>
    <row r="285" spans="2:6" x14ac:dyDescent="0.25">
      <c r="B285" s="107"/>
      <c r="C285" s="109"/>
      <c r="D285" s="110"/>
      <c r="E285" s="110"/>
      <c r="F285" s="109"/>
    </row>
    <row r="286" spans="2:6" x14ac:dyDescent="0.25">
      <c r="B286" s="107"/>
      <c r="C286" s="109"/>
      <c r="D286" s="110"/>
      <c r="E286" s="110"/>
      <c r="F286" s="109"/>
    </row>
    <row r="287" spans="2:6" x14ac:dyDescent="0.25">
      <c r="B287" s="107"/>
      <c r="C287" s="109"/>
      <c r="D287" s="110"/>
      <c r="E287" s="110"/>
      <c r="F287" s="109"/>
    </row>
    <row r="288" spans="2:6" x14ac:dyDescent="0.25">
      <c r="B288" s="107"/>
      <c r="C288" s="109"/>
      <c r="D288" s="110"/>
      <c r="E288" s="110"/>
      <c r="F288" s="109"/>
    </row>
    <row r="289" spans="2:6" x14ac:dyDescent="0.25">
      <c r="B289" s="107"/>
      <c r="C289" s="109"/>
      <c r="D289" s="110"/>
      <c r="E289" s="110"/>
      <c r="F289" s="109"/>
    </row>
    <row r="290" spans="2:6" x14ac:dyDescent="0.25">
      <c r="B290" s="107"/>
      <c r="C290" s="109"/>
      <c r="D290" s="110"/>
      <c r="E290" s="110"/>
      <c r="F290" s="109"/>
    </row>
    <row r="291" spans="2:6" x14ac:dyDescent="0.25">
      <c r="B291" s="107"/>
      <c r="C291" s="109"/>
      <c r="D291" s="110"/>
      <c r="E291" s="110"/>
      <c r="F291" s="109"/>
    </row>
    <row r="292" spans="2:6" x14ac:dyDescent="0.25">
      <c r="B292" s="107"/>
      <c r="C292" s="109"/>
      <c r="D292" s="110"/>
      <c r="E292" s="110"/>
      <c r="F292" s="109"/>
    </row>
    <row r="293" spans="2:6" x14ac:dyDescent="0.25">
      <c r="B293" s="107"/>
      <c r="C293" s="109"/>
      <c r="D293" s="110"/>
      <c r="E293" s="110"/>
      <c r="F293" s="109"/>
    </row>
    <row r="294" spans="2:6" x14ac:dyDescent="0.25">
      <c r="B294" s="107"/>
      <c r="C294" s="109"/>
      <c r="D294" s="110"/>
      <c r="E294" s="110"/>
      <c r="F294" s="109"/>
    </row>
    <row r="295" spans="2:6" x14ac:dyDescent="0.25">
      <c r="B295" s="107"/>
      <c r="C295" s="109"/>
      <c r="D295" s="110"/>
      <c r="E295" s="110"/>
      <c r="F295" s="109"/>
    </row>
    <row r="296" spans="2:6" x14ac:dyDescent="0.25">
      <c r="B296" s="107"/>
      <c r="C296" s="109"/>
      <c r="D296" s="110"/>
      <c r="E296" s="110"/>
      <c r="F296" s="109"/>
    </row>
    <row r="297" spans="2:6" x14ac:dyDescent="0.25">
      <c r="B297" s="107"/>
      <c r="C297" s="109"/>
      <c r="D297" s="110"/>
      <c r="E297" s="110"/>
      <c r="F297" s="109"/>
    </row>
    <row r="298" spans="2:6" x14ac:dyDescent="0.25">
      <c r="B298" s="107"/>
      <c r="C298" s="109"/>
      <c r="D298" s="110"/>
      <c r="E298" s="110"/>
      <c r="F298" s="109"/>
    </row>
    <row r="299" spans="2:6" x14ac:dyDescent="0.25">
      <c r="B299" s="107"/>
      <c r="C299" s="109"/>
      <c r="D299" s="110"/>
      <c r="E299" s="110"/>
      <c r="F299" s="109"/>
    </row>
    <row r="300" spans="2:6" x14ac:dyDescent="0.25">
      <c r="B300" s="107"/>
      <c r="C300" s="109"/>
      <c r="D300" s="110"/>
      <c r="E300" s="110"/>
      <c r="F300" s="109"/>
    </row>
    <row r="301" spans="2:6" x14ac:dyDescent="0.25">
      <c r="B301" s="107"/>
      <c r="C301" s="109"/>
      <c r="D301" s="110"/>
      <c r="E301" s="110"/>
      <c r="F301" s="109"/>
    </row>
    <row r="302" spans="2:6" x14ac:dyDescent="0.25">
      <c r="B302" s="107"/>
      <c r="C302" s="109"/>
      <c r="D302" s="110"/>
      <c r="E302" s="110"/>
      <c r="F302" s="109"/>
    </row>
    <row r="303" spans="2:6" x14ac:dyDescent="0.25">
      <c r="B303" s="107"/>
      <c r="C303" s="109"/>
      <c r="D303" s="110"/>
      <c r="E303" s="110"/>
      <c r="F303" s="109"/>
    </row>
    <row r="304" spans="2:6" x14ac:dyDescent="0.25">
      <c r="B304" s="107"/>
      <c r="C304" s="109"/>
      <c r="D304" s="110"/>
      <c r="E304" s="110"/>
      <c r="F304" s="109"/>
    </row>
    <row r="305" spans="2:6" x14ac:dyDescent="0.25">
      <c r="B305" s="107"/>
      <c r="C305" s="109"/>
      <c r="D305" s="110"/>
      <c r="E305" s="110"/>
      <c r="F305" s="109"/>
    </row>
    <row r="306" spans="2:6" x14ac:dyDescent="0.25">
      <c r="B306" s="107"/>
      <c r="C306" s="109"/>
      <c r="D306" s="110"/>
      <c r="E306" s="110"/>
      <c r="F306" s="109"/>
    </row>
    <row r="307" spans="2:6" x14ac:dyDescent="0.25">
      <c r="B307" s="107"/>
      <c r="C307" s="109"/>
      <c r="D307" s="110"/>
      <c r="E307" s="110"/>
      <c r="F307" s="109"/>
    </row>
    <row r="308" spans="2:6" x14ac:dyDescent="0.25">
      <c r="B308" s="107"/>
      <c r="C308" s="109"/>
      <c r="D308" s="110"/>
      <c r="E308" s="110"/>
      <c r="F308" s="109"/>
    </row>
    <row r="309" spans="2:6" x14ac:dyDescent="0.25">
      <c r="B309" s="107"/>
      <c r="C309" s="109"/>
      <c r="D309" s="110"/>
      <c r="E309" s="110"/>
      <c r="F309" s="109"/>
    </row>
    <row r="310" spans="2:6" x14ac:dyDescent="0.25">
      <c r="B310" s="107"/>
      <c r="C310" s="109"/>
      <c r="D310" s="110"/>
      <c r="E310" s="110"/>
      <c r="F310" s="109"/>
    </row>
    <row r="311" spans="2:6" x14ac:dyDescent="0.25">
      <c r="B311" s="107"/>
      <c r="C311" s="109"/>
      <c r="D311" s="110"/>
      <c r="E311" s="110"/>
      <c r="F311" s="109"/>
    </row>
    <row r="312" spans="2:6" x14ac:dyDescent="0.25">
      <c r="B312" s="107"/>
      <c r="C312" s="109"/>
      <c r="D312" s="110"/>
      <c r="E312" s="110"/>
      <c r="F312" s="109"/>
    </row>
    <row r="313" spans="2:6" x14ac:dyDescent="0.25">
      <c r="B313" s="107"/>
      <c r="C313" s="109"/>
      <c r="D313" s="110"/>
      <c r="E313" s="110"/>
      <c r="F313" s="109"/>
    </row>
    <row r="314" spans="2:6" x14ac:dyDescent="0.25">
      <c r="B314" s="107"/>
      <c r="C314" s="109"/>
      <c r="D314" s="110"/>
      <c r="E314" s="110"/>
      <c r="F314" s="109"/>
    </row>
    <row r="315" spans="2:6" x14ac:dyDescent="0.25">
      <c r="B315" s="107"/>
      <c r="C315" s="109"/>
      <c r="D315" s="110"/>
      <c r="E315" s="110"/>
      <c r="F315" s="109"/>
    </row>
    <row r="316" spans="2:6" x14ac:dyDescent="0.25">
      <c r="B316" s="107"/>
      <c r="C316" s="109"/>
      <c r="D316" s="110"/>
      <c r="E316" s="110"/>
      <c r="F316" s="109"/>
    </row>
    <row r="317" spans="2:6" x14ac:dyDescent="0.25">
      <c r="B317" s="107"/>
      <c r="C317" s="109"/>
      <c r="D317" s="110"/>
      <c r="E317" s="110"/>
      <c r="F317" s="109"/>
    </row>
    <row r="318" spans="2:6" x14ac:dyDescent="0.25">
      <c r="B318" s="107"/>
      <c r="C318" s="109"/>
      <c r="D318" s="110"/>
      <c r="E318" s="110"/>
      <c r="F318" s="109"/>
    </row>
    <row r="319" spans="2:6" x14ac:dyDescent="0.25">
      <c r="B319" s="107"/>
      <c r="C319" s="109"/>
      <c r="D319" s="110"/>
      <c r="E319" s="110"/>
      <c r="F319" s="109"/>
    </row>
    <row r="320" spans="2:6" x14ac:dyDescent="0.25">
      <c r="B320" s="107"/>
      <c r="C320" s="109"/>
      <c r="D320" s="110"/>
      <c r="E320" s="110"/>
      <c r="F320" s="109"/>
    </row>
    <row r="321" spans="2:6" x14ac:dyDescent="0.25">
      <c r="B321" s="107"/>
      <c r="C321" s="109"/>
      <c r="D321" s="110"/>
      <c r="E321" s="110"/>
      <c r="F321" s="109"/>
    </row>
    <row r="322" spans="2:6" x14ac:dyDescent="0.25">
      <c r="B322" s="107"/>
      <c r="C322" s="109"/>
      <c r="D322" s="110"/>
      <c r="E322" s="110"/>
      <c r="F322" s="109"/>
    </row>
    <row r="323" spans="2:6" x14ac:dyDescent="0.25">
      <c r="B323" s="107"/>
      <c r="C323" s="109"/>
      <c r="D323" s="110"/>
      <c r="E323" s="110"/>
      <c r="F323" s="109"/>
    </row>
    <row r="324" spans="2:6" x14ac:dyDescent="0.25">
      <c r="B324" s="107"/>
      <c r="C324" s="109"/>
      <c r="D324" s="110"/>
      <c r="E324" s="110"/>
      <c r="F324" s="109"/>
    </row>
    <row r="325" spans="2:6" x14ac:dyDescent="0.25">
      <c r="B325" s="107"/>
      <c r="C325" s="109"/>
      <c r="D325" s="110"/>
      <c r="E325" s="110"/>
      <c r="F325" s="109"/>
    </row>
    <row r="326" spans="2:6" x14ac:dyDescent="0.25">
      <c r="B326" s="107"/>
      <c r="C326" s="109"/>
      <c r="D326" s="110"/>
      <c r="E326" s="110"/>
      <c r="F326" s="109"/>
    </row>
    <row r="327" spans="2:6" x14ac:dyDescent="0.25">
      <c r="B327" s="107"/>
      <c r="C327" s="109"/>
      <c r="D327" s="110"/>
      <c r="E327" s="110"/>
      <c r="F327" s="109"/>
    </row>
    <row r="328" spans="2:6" x14ac:dyDescent="0.25">
      <c r="B328" s="107"/>
      <c r="C328" s="109"/>
      <c r="D328" s="110"/>
      <c r="E328" s="110"/>
      <c r="F328" s="109"/>
    </row>
    <row r="329" spans="2:6" x14ac:dyDescent="0.25">
      <c r="B329" s="107"/>
      <c r="C329" s="109"/>
      <c r="D329" s="110"/>
      <c r="E329" s="110"/>
      <c r="F329" s="109"/>
    </row>
    <row r="330" spans="2:6" x14ac:dyDescent="0.25">
      <c r="B330" s="107"/>
      <c r="C330" s="109"/>
      <c r="D330" s="110"/>
      <c r="E330" s="110"/>
      <c r="F330" s="109"/>
    </row>
    <row r="331" spans="2:6" x14ac:dyDescent="0.25">
      <c r="B331" s="107"/>
      <c r="C331" s="109"/>
      <c r="D331" s="110"/>
      <c r="E331" s="110"/>
      <c r="F331" s="109"/>
    </row>
    <row r="332" spans="2:6" x14ac:dyDescent="0.25">
      <c r="B332" s="107"/>
      <c r="C332" s="109"/>
      <c r="D332" s="110"/>
      <c r="E332" s="110"/>
      <c r="F332" s="109"/>
    </row>
    <row r="333" spans="2:6" x14ac:dyDescent="0.25">
      <c r="B333" s="107"/>
      <c r="C333" s="109"/>
      <c r="D333" s="110"/>
      <c r="E333" s="110"/>
      <c r="F333" s="109"/>
    </row>
    <row r="334" spans="2:6" x14ac:dyDescent="0.25">
      <c r="B334" s="107"/>
      <c r="C334" s="109"/>
      <c r="D334" s="110"/>
      <c r="E334" s="110"/>
      <c r="F334" s="109"/>
    </row>
    <row r="335" spans="2:6" x14ac:dyDescent="0.25">
      <c r="B335" s="107"/>
      <c r="C335" s="109"/>
      <c r="D335" s="110"/>
      <c r="E335" s="110"/>
      <c r="F335" s="109"/>
    </row>
    <row r="336" spans="2:6" x14ac:dyDescent="0.25">
      <c r="B336" s="107"/>
      <c r="C336" s="109"/>
      <c r="D336" s="110"/>
      <c r="E336" s="110"/>
      <c r="F336" s="109"/>
    </row>
    <row r="337" spans="2:6" x14ac:dyDescent="0.25">
      <c r="B337" s="107"/>
      <c r="C337" s="109"/>
      <c r="D337" s="110"/>
      <c r="E337" s="110"/>
      <c r="F337" s="109"/>
    </row>
    <row r="338" spans="2:6" x14ac:dyDescent="0.25">
      <c r="B338" s="107"/>
      <c r="C338" s="109"/>
      <c r="D338" s="110"/>
      <c r="E338" s="110"/>
      <c r="F338" s="109"/>
    </row>
    <row r="339" spans="2:6" x14ac:dyDescent="0.25">
      <c r="B339" s="107"/>
      <c r="C339" s="109"/>
      <c r="D339" s="110"/>
      <c r="E339" s="110"/>
      <c r="F339" s="109"/>
    </row>
    <row r="340" spans="2:6" x14ac:dyDescent="0.25">
      <c r="B340" s="107"/>
      <c r="C340" s="109"/>
      <c r="D340" s="110"/>
      <c r="E340" s="110"/>
      <c r="F340" s="109"/>
    </row>
    <row r="341" spans="2:6" x14ac:dyDescent="0.25">
      <c r="B341" s="107"/>
      <c r="C341" s="109"/>
      <c r="D341" s="110"/>
      <c r="E341" s="110"/>
      <c r="F341" s="109"/>
    </row>
    <row r="342" spans="2:6" x14ac:dyDescent="0.25">
      <c r="B342" s="107"/>
      <c r="C342" s="109"/>
      <c r="D342" s="110"/>
      <c r="E342" s="110"/>
      <c r="F342" s="109"/>
    </row>
    <row r="343" spans="2:6" x14ac:dyDescent="0.25">
      <c r="B343" s="107"/>
      <c r="C343" s="109"/>
      <c r="D343" s="110"/>
      <c r="E343" s="110"/>
      <c r="F343" s="109"/>
    </row>
    <row r="344" spans="2:6" x14ac:dyDescent="0.25">
      <c r="B344" s="107"/>
      <c r="C344" s="109"/>
      <c r="D344" s="110"/>
      <c r="E344" s="110"/>
      <c r="F344" s="109"/>
    </row>
    <row r="345" spans="2:6" x14ac:dyDescent="0.25">
      <c r="B345" s="107"/>
      <c r="C345" s="109"/>
      <c r="D345" s="110"/>
      <c r="E345" s="110"/>
      <c r="F345" s="109"/>
    </row>
    <row r="346" spans="2:6" x14ac:dyDescent="0.25">
      <c r="B346" s="107"/>
      <c r="C346" s="109"/>
      <c r="D346" s="110"/>
      <c r="E346" s="110"/>
      <c r="F346" s="109"/>
    </row>
    <row r="347" spans="2:6" x14ac:dyDescent="0.25">
      <c r="B347" s="107"/>
      <c r="C347" s="109"/>
      <c r="D347" s="110"/>
      <c r="E347" s="110"/>
      <c r="F347" s="109"/>
    </row>
    <row r="348" spans="2:6" x14ac:dyDescent="0.25">
      <c r="B348" s="107"/>
      <c r="C348" s="109"/>
      <c r="D348" s="110"/>
      <c r="E348" s="110"/>
      <c r="F348" s="109"/>
    </row>
    <row r="349" spans="2:6" x14ac:dyDescent="0.25">
      <c r="B349" s="107"/>
      <c r="C349" s="109"/>
      <c r="D349" s="110"/>
      <c r="E349" s="110"/>
      <c r="F349" s="109"/>
    </row>
    <row r="350" spans="2:6" x14ac:dyDescent="0.25">
      <c r="B350" s="107"/>
      <c r="C350" s="109"/>
      <c r="D350" s="110"/>
      <c r="E350" s="110"/>
      <c r="F350" s="109"/>
    </row>
    <row r="351" spans="2:6" x14ac:dyDescent="0.25">
      <c r="B351" s="107"/>
      <c r="C351" s="109"/>
      <c r="D351" s="110"/>
      <c r="E351" s="110"/>
      <c r="F351" s="109"/>
    </row>
    <row r="352" spans="2:6" x14ac:dyDescent="0.25">
      <c r="B352" s="107"/>
      <c r="C352" s="109"/>
      <c r="D352" s="110"/>
      <c r="E352" s="110"/>
      <c r="F352" s="109"/>
    </row>
    <row r="353" spans="2:6" x14ac:dyDescent="0.25">
      <c r="B353" s="107"/>
      <c r="C353" s="109"/>
      <c r="D353" s="110"/>
      <c r="E353" s="110"/>
      <c r="F353" s="109"/>
    </row>
    <row r="354" spans="2:6" x14ac:dyDescent="0.25">
      <c r="B354" s="107"/>
      <c r="C354" s="109"/>
      <c r="D354" s="110"/>
      <c r="E354" s="110"/>
      <c r="F354" s="109"/>
    </row>
    <row r="355" spans="2:6" x14ac:dyDescent="0.25">
      <c r="B355" s="107"/>
      <c r="C355" s="109"/>
      <c r="D355" s="110"/>
      <c r="E355" s="110"/>
      <c r="F355" s="109"/>
    </row>
    <row r="356" spans="2:6" x14ac:dyDescent="0.25">
      <c r="B356" s="107"/>
      <c r="C356" s="109"/>
      <c r="D356" s="110"/>
      <c r="E356" s="110"/>
      <c r="F356" s="109"/>
    </row>
    <row r="357" spans="2:6" x14ac:dyDescent="0.25">
      <c r="B357" s="107"/>
      <c r="C357" s="109"/>
      <c r="D357" s="110"/>
      <c r="E357" s="110"/>
      <c r="F357" s="109"/>
    </row>
    <row r="358" spans="2:6" x14ac:dyDescent="0.25">
      <c r="B358" s="107"/>
      <c r="C358" s="109"/>
      <c r="D358" s="110"/>
      <c r="E358" s="110"/>
      <c r="F358" s="109"/>
    </row>
    <row r="359" spans="2:6" x14ac:dyDescent="0.25">
      <c r="B359" s="107"/>
      <c r="C359" s="109"/>
      <c r="D359" s="110"/>
      <c r="E359" s="110"/>
      <c r="F359" s="109"/>
    </row>
    <row r="360" spans="2:6" x14ac:dyDescent="0.25">
      <c r="B360" s="107"/>
      <c r="C360" s="109"/>
      <c r="D360" s="110"/>
      <c r="E360" s="110"/>
      <c r="F360" s="109"/>
    </row>
    <row r="361" spans="2:6" x14ac:dyDescent="0.25">
      <c r="B361" s="107"/>
      <c r="C361" s="109"/>
      <c r="D361" s="110"/>
      <c r="E361" s="110"/>
      <c r="F361" s="109"/>
    </row>
    <row r="362" spans="2:6" x14ac:dyDescent="0.25">
      <c r="B362" s="107"/>
      <c r="C362" s="109"/>
      <c r="D362" s="110"/>
      <c r="E362" s="110"/>
      <c r="F362" s="109"/>
    </row>
    <row r="363" spans="2:6" x14ac:dyDescent="0.25">
      <c r="B363" s="107"/>
      <c r="C363" s="109"/>
      <c r="D363" s="110"/>
      <c r="E363" s="110"/>
      <c r="F363" s="109"/>
    </row>
    <row r="364" spans="2:6" x14ac:dyDescent="0.25">
      <c r="B364" s="107"/>
      <c r="C364" s="109"/>
      <c r="D364" s="110"/>
      <c r="E364" s="110"/>
      <c r="F364" s="109"/>
    </row>
    <row r="365" spans="2:6" x14ac:dyDescent="0.25">
      <c r="B365" s="107"/>
      <c r="C365" s="109"/>
      <c r="D365" s="110"/>
      <c r="E365" s="110"/>
      <c r="F365" s="109"/>
    </row>
    <row r="366" spans="2:6" x14ac:dyDescent="0.25">
      <c r="B366" s="107"/>
      <c r="C366" s="109"/>
      <c r="D366" s="110"/>
      <c r="E366" s="110"/>
      <c r="F366" s="109"/>
    </row>
    <row r="367" spans="2:6" x14ac:dyDescent="0.25">
      <c r="B367" s="107"/>
      <c r="C367" s="109"/>
      <c r="D367" s="110"/>
      <c r="E367" s="110"/>
      <c r="F367" s="109"/>
    </row>
    <row r="368" spans="2:6" x14ac:dyDescent="0.25">
      <c r="B368" s="107"/>
      <c r="C368" s="109"/>
      <c r="D368" s="110"/>
      <c r="E368" s="110"/>
      <c r="F368" s="109"/>
    </row>
    <row r="369" spans="2:6" x14ac:dyDescent="0.25">
      <c r="B369" s="107"/>
      <c r="C369" s="109"/>
      <c r="D369" s="110"/>
      <c r="E369" s="110"/>
      <c r="F369" s="109"/>
    </row>
    <row r="370" spans="2:6" x14ac:dyDescent="0.25">
      <c r="B370" s="107"/>
      <c r="C370" s="109"/>
      <c r="D370" s="110"/>
      <c r="E370" s="110"/>
      <c r="F370" s="109"/>
    </row>
    <row r="371" spans="2:6" x14ac:dyDescent="0.25">
      <c r="B371" s="107"/>
      <c r="C371" s="109"/>
      <c r="D371" s="110"/>
      <c r="E371" s="110"/>
      <c r="F371" s="109"/>
    </row>
    <row r="372" spans="2:6" x14ac:dyDescent="0.25">
      <c r="B372" s="107"/>
      <c r="C372" s="109"/>
      <c r="D372" s="110"/>
      <c r="E372" s="110"/>
      <c r="F372" s="109"/>
    </row>
    <row r="373" spans="2:6" x14ac:dyDescent="0.25">
      <c r="B373" s="107"/>
      <c r="C373" s="109"/>
      <c r="D373" s="110"/>
      <c r="E373" s="110"/>
      <c r="F373" s="109"/>
    </row>
    <row r="374" spans="2:6" x14ac:dyDescent="0.25">
      <c r="B374" s="107"/>
      <c r="C374" s="109"/>
      <c r="D374" s="110"/>
      <c r="E374" s="110"/>
      <c r="F374" s="109"/>
    </row>
    <row r="375" spans="2:6" x14ac:dyDescent="0.25">
      <c r="B375" s="107"/>
      <c r="C375" s="109"/>
      <c r="D375" s="110"/>
      <c r="E375" s="110"/>
      <c r="F375" s="109"/>
    </row>
    <row r="376" spans="2:6" x14ac:dyDescent="0.25">
      <c r="B376" s="107"/>
      <c r="C376" s="109"/>
      <c r="D376" s="110"/>
      <c r="E376" s="110"/>
      <c r="F376" s="109"/>
    </row>
    <row r="377" spans="2:6" x14ac:dyDescent="0.25">
      <c r="B377" s="107"/>
      <c r="C377" s="109"/>
      <c r="D377" s="110"/>
      <c r="E377" s="110"/>
      <c r="F377" s="109"/>
    </row>
    <row r="378" spans="2:6" x14ac:dyDescent="0.25">
      <c r="B378" s="107"/>
      <c r="C378" s="109"/>
      <c r="D378" s="110"/>
      <c r="E378" s="110"/>
      <c r="F378" s="109"/>
    </row>
    <row r="379" spans="2:6" x14ac:dyDescent="0.25">
      <c r="B379" s="107"/>
      <c r="C379" s="109"/>
      <c r="D379" s="110"/>
      <c r="E379" s="110"/>
      <c r="F379" s="109"/>
    </row>
    <row r="380" spans="2:6" x14ac:dyDescent="0.25">
      <c r="B380" s="107"/>
      <c r="C380" s="109"/>
      <c r="D380" s="110"/>
      <c r="E380" s="110"/>
      <c r="F380" s="109"/>
    </row>
    <row r="381" spans="2:6" x14ac:dyDescent="0.25">
      <c r="B381" s="107"/>
      <c r="C381" s="109"/>
      <c r="D381" s="110"/>
      <c r="E381" s="110"/>
      <c r="F381" s="109"/>
    </row>
    <row r="382" spans="2:6" x14ac:dyDescent="0.25">
      <c r="B382" s="107"/>
      <c r="C382" s="109"/>
      <c r="D382" s="110"/>
      <c r="E382" s="110"/>
      <c r="F382" s="109"/>
    </row>
    <row r="383" spans="2:6" x14ac:dyDescent="0.25">
      <c r="B383" s="107"/>
      <c r="C383" s="109"/>
      <c r="D383" s="110"/>
      <c r="E383" s="110"/>
      <c r="F383" s="109"/>
    </row>
    <row r="384" spans="2:6" x14ac:dyDescent="0.25">
      <c r="B384" s="107"/>
      <c r="C384" s="109"/>
      <c r="D384" s="110"/>
      <c r="E384" s="110"/>
      <c r="F384" s="109"/>
    </row>
    <row r="385" spans="2:6" x14ac:dyDescent="0.25">
      <c r="B385" s="107"/>
      <c r="C385" s="109"/>
      <c r="D385" s="110"/>
      <c r="E385" s="110"/>
      <c r="F385" s="109"/>
    </row>
    <row r="386" spans="2:6" x14ac:dyDescent="0.25">
      <c r="B386" s="107"/>
      <c r="C386" s="109"/>
      <c r="D386" s="110"/>
      <c r="E386" s="110"/>
      <c r="F386" s="109"/>
    </row>
    <row r="387" spans="2:6" x14ac:dyDescent="0.25">
      <c r="B387" s="107"/>
      <c r="C387" s="109"/>
      <c r="D387" s="110"/>
      <c r="E387" s="110"/>
      <c r="F387" s="109"/>
    </row>
    <row r="388" spans="2:6" x14ac:dyDescent="0.25">
      <c r="B388" s="107"/>
      <c r="C388" s="109"/>
      <c r="D388" s="110"/>
      <c r="E388" s="110"/>
      <c r="F388" s="109"/>
    </row>
    <row r="389" spans="2:6" x14ac:dyDescent="0.25">
      <c r="B389" s="107"/>
      <c r="C389" s="109"/>
      <c r="D389" s="110"/>
      <c r="E389" s="110"/>
      <c r="F389" s="109"/>
    </row>
    <row r="390" spans="2:6" x14ac:dyDescent="0.25">
      <c r="B390" s="107"/>
      <c r="C390" s="109"/>
      <c r="D390" s="110"/>
      <c r="E390" s="110"/>
      <c r="F390" s="109"/>
    </row>
    <row r="391" spans="2:6" x14ac:dyDescent="0.25">
      <c r="B391" s="107"/>
      <c r="C391" s="109"/>
      <c r="D391" s="110"/>
      <c r="E391" s="110"/>
      <c r="F391" s="109"/>
    </row>
    <row r="392" spans="2:6" x14ac:dyDescent="0.25">
      <c r="B392" s="107"/>
      <c r="C392" s="109"/>
      <c r="D392" s="110"/>
      <c r="E392" s="110"/>
      <c r="F392" s="109"/>
    </row>
    <row r="393" spans="2:6" x14ac:dyDescent="0.25">
      <c r="B393" s="107"/>
      <c r="C393" s="109"/>
      <c r="D393" s="110"/>
      <c r="E393" s="110"/>
      <c r="F393" s="109"/>
    </row>
    <row r="394" spans="2:6" x14ac:dyDescent="0.25">
      <c r="B394" s="107"/>
      <c r="C394" s="109"/>
      <c r="D394" s="110"/>
      <c r="E394" s="110"/>
      <c r="F394" s="109"/>
    </row>
    <row r="395" spans="2:6" x14ac:dyDescent="0.25">
      <c r="B395" s="107"/>
      <c r="C395" s="109"/>
      <c r="D395" s="110"/>
      <c r="E395" s="110"/>
      <c r="F395" s="109"/>
    </row>
    <row r="396" spans="2:6" x14ac:dyDescent="0.25">
      <c r="B396" s="107"/>
      <c r="C396" s="109"/>
      <c r="D396" s="110"/>
      <c r="E396" s="110"/>
      <c r="F396" s="109"/>
    </row>
    <row r="397" spans="2:6" x14ac:dyDescent="0.25">
      <c r="B397" s="107"/>
      <c r="C397" s="109"/>
      <c r="D397" s="110"/>
      <c r="E397" s="110"/>
      <c r="F397" s="109"/>
    </row>
    <row r="398" spans="2:6" x14ac:dyDescent="0.25">
      <c r="B398" s="107"/>
      <c r="C398" s="109"/>
      <c r="D398" s="110"/>
      <c r="E398" s="110"/>
      <c r="F398" s="109"/>
    </row>
    <row r="399" spans="2:6" x14ac:dyDescent="0.25">
      <c r="B399" s="107"/>
      <c r="C399" s="109"/>
      <c r="D399" s="110"/>
      <c r="E399" s="110"/>
      <c r="F399" s="109"/>
    </row>
    <row r="400" spans="2:6" x14ac:dyDescent="0.25">
      <c r="B400" s="107"/>
      <c r="C400" s="109"/>
      <c r="D400" s="110"/>
      <c r="E400" s="110"/>
      <c r="F400" s="109"/>
    </row>
    <row r="401" spans="2:6" x14ac:dyDescent="0.25">
      <c r="B401" s="107"/>
      <c r="C401" s="109"/>
      <c r="D401" s="110"/>
      <c r="E401" s="110"/>
      <c r="F401" s="109"/>
    </row>
    <row r="402" spans="2:6" x14ac:dyDescent="0.25">
      <c r="B402" s="107"/>
      <c r="C402" s="109"/>
      <c r="D402" s="110"/>
      <c r="E402" s="110"/>
      <c r="F402" s="109"/>
    </row>
    <row r="403" spans="2:6" x14ac:dyDescent="0.25">
      <c r="B403" s="107"/>
      <c r="C403" s="109"/>
      <c r="D403" s="110"/>
      <c r="E403" s="110"/>
      <c r="F403" s="109"/>
    </row>
    <row r="404" spans="2:6" x14ac:dyDescent="0.25">
      <c r="B404" s="107"/>
      <c r="C404" s="109"/>
      <c r="D404" s="110"/>
      <c r="E404" s="110"/>
      <c r="F404" s="109"/>
    </row>
    <row r="405" spans="2:6" x14ac:dyDescent="0.25">
      <c r="B405" s="107"/>
      <c r="C405" s="109"/>
      <c r="D405" s="110"/>
      <c r="E405" s="110"/>
      <c r="F405" s="109"/>
    </row>
    <row r="406" spans="2:6" x14ac:dyDescent="0.25">
      <c r="B406" s="107"/>
      <c r="C406" s="109"/>
      <c r="D406" s="110"/>
      <c r="E406" s="110"/>
      <c r="F406" s="109"/>
    </row>
    <row r="407" spans="2:6" x14ac:dyDescent="0.25">
      <c r="B407" s="107"/>
      <c r="C407" s="109"/>
      <c r="D407" s="110"/>
      <c r="E407" s="110"/>
      <c r="F407" s="109"/>
    </row>
    <row r="408" spans="2:6" x14ac:dyDescent="0.25">
      <c r="B408" s="107"/>
      <c r="C408" s="109"/>
      <c r="D408" s="110"/>
      <c r="E408" s="110"/>
      <c r="F408" s="109"/>
    </row>
    <row r="409" spans="2:6" x14ac:dyDescent="0.25">
      <c r="B409" s="107"/>
      <c r="C409" s="109"/>
      <c r="D409" s="110"/>
      <c r="E409" s="110"/>
      <c r="F409" s="109"/>
    </row>
    <row r="410" spans="2:6" x14ac:dyDescent="0.25">
      <c r="B410" s="107"/>
      <c r="C410" s="109"/>
      <c r="D410" s="110"/>
      <c r="E410" s="110"/>
      <c r="F410" s="109"/>
    </row>
    <row r="411" spans="2:6" x14ac:dyDescent="0.25">
      <c r="B411" s="107"/>
      <c r="C411" s="109"/>
      <c r="D411" s="110"/>
      <c r="E411" s="110"/>
      <c r="F411" s="109"/>
    </row>
    <row r="412" spans="2:6" x14ac:dyDescent="0.25">
      <c r="B412" s="107"/>
      <c r="C412" s="109"/>
      <c r="D412" s="110"/>
      <c r="E412" s="110"/>
      <c r="F412" s="109"/>
    </row>
    <row r="413" spans="2:6" x14ac:dyDescent="0.25">
      <c r="B413" s="107"/>
      <c r="C413" s="109"/>
      <c r="D413" s="110"/>
      <c r="E413" s="110"/>
      <c r="F413" s="109"/>
    </row>
    <row r="414" spans="2:6" x14ac:dyDescent="0.25">
      <c r="B414" s="107"/>
      <c r="C414" s="109"/>
      <c r="D414" s="110"/>
      <c r="E414" s="110"/>
      <c r="F414" s="109"/>
    </row>
    <row r="415" spans="2:6" x14ac:dyDescent="0.25">
      <c r="B415" s="107"/>
      <c r="C415" s="109"/>
      <c r="D415" s="110"/>
      <c r="E415" s="110"/>
      <c r="F415" s="109"/>
    </row>
    <row r="416" spans="2:6" x14ac:dyDescent="0.25">
      <c r="B416" s="107"/>
      <c r="C416" s="109"/>
      <c r="D416" s="110"/>
      <c r="E416" s="110"/>
      <c r="F416" s="109"/>
    </row>
    <row r="417" spans="2:6" x14ac:dyDescent="0.25">
      <c r="B417" s="107"/>
      <c r="C417" s="109"/>
      <c r="D417" s="110"/>
      <c r="E417" s="110"/>
      <c r="F417" s="109"/>
    </row>
    <row r="418" spans="2:6" x14ac:dyDescent="0.25">
      <c r="B418" s="107"/>
      <c r="C418" s="109"/>
      <c r="D418" s="110"/>
      <c r="E418" s="110"/>
      <c r="F418" s="109"/>
    </row>
    <row r="419" spans="2:6" x14ac:dyDescent="0.25">
      <c r="B419" s="107"/>
      <c r="C419" s="109"/>
      <c r="D419" s="110"/>
      <c r="E419" s="110"/>
      <c r="F419" s="109"/>
    </row>
    <row r="420" spans="2:6" x14ac:dyDescent="0.25">
      <c r="B420" s="107"/>
      <c r="C420" s="109"/>
      <c r="D420" s="110"/>
      <c r="E420" s="110"/>
      <c r="F420" s="109"/>
    </row>
    <row r="421" spans="2:6" x14ac:dyDescent="0.25">
      <c r="B421" s="107"/>
      <c r="C421" s="109"/>
      <c r="D421" s="110"/>
      <c r="E421" s="110"/>
      <c r="F421" s="109"/>
    </row>
    <row r="422" spans="2:6" x14ac:dyDescent="0.25">
      <c r="B422" s="107"/>
      <c r="C422" s="109"/>
      <c r="D422" s="110"/>
      <c r="E422" s="110"/>
      <c r="F422" s="109"/>
    </row>
    <row r="423" spans="2:6" x14ac:dyDescent="0.25">
      <c r="B423" s="107"/>
      <c r="C423" s="109"/>
      <c r="D423" s="110"/>
      <c r="E423" s="110"/>
      <c r="F423" s="109"/>
    </row>
    <row r="424" spans="2:6" x14ac:dyDescent="0.25">
      <c r="B424" s="107"/>
      <c r="C424" s="109"/>
      <c r="D424" s="110"/>
      <c r="E424" s="110"/>
      <c r="F424" s="109"/>
    </row>
    <row r="425" spans="2:6" x14ac:dyDescent="0.25">
      <c r="B425" s="107"/>
      <c r="C425" s="109"/>
      <c r="D425" s="110"/>
      <c r="E425" s="110"/>
      <c r="F425" s="109"/>
    </row>
    <row r="426" spans="2:6" x14ac:dyDescent="0.25">
      <c r="B426" s="107"/>
      <c r="C426" s="109"/>
      <c r="D426" s="110"/>
      <c r="E426" s="110"/>
      <c r="F426" s="109"/>
    </row>
    <row r="427" spans="2:6" x14ac:dyDescent="0.25">
      <c r="B427" s="107"/>
      <c r="C427" s="109"/>
      <c r="D427" s="110"/>
      <c r="E427" s="110"/>
      <c r="F427" s="109"/>
    </row>
    <row r="428" spans="2:6" x14ac:dyDescent="0.25">
      <c r="B428" s="107"/>
      <c r="C428" s="109"/>
      <c r="D428" s="110"/>
      <c r="E428" s="110"/>
      <c r="F428" s="109"/>
    </row>
    <row r="429" spans="2:6" x14ac:dyDescent="0.25">
      <c r="B429" s="107"/>
      <c r="C429" s="109"/>
      <c r="D429" s="110"/>
      <c r="E429" s="110"/>
      <c r="F429" s="109"/>
    </row>
    <row r="430" spans="2:6" x14ac:dyDescent="0.25">
      <c r="B430" s="107"/>
      <c r="C430" s="109"/>
      <c r="D430" s="110"/>
      <c r="E430" s="110"/>
      <c r="F430" s="109"/>
    </row>
    <row r="431" spans="2:6" x14ac:dyDescent="0.25">
      <c r="B431" s="107"/>
      <c r="C431" s="109"/>
      <c r="D431" s="110"/>
      <c r="E431" s="110"/>
      <c r="F431" s="109"/>
    </row>
    <row r="432" spans="2:6" x14ac:dyDescent="0.25">
      <c r="B432" s="107"/>
      <c r="C432" s="109"/>
      <c r="D432" s="110"/>
      <c r="E432" s="110"/>
      <c r="F432" s="109"/>
    </row>
    <row r="433" spans="2:6" x14ac:dyDescent="0.25">
      <c r="B433" s="107"/>
      <c r="C433" s="109"/>
      <c r="D433" s="110"/>
      <c r="E433" s="110"/>
      <c r="F433" s="109"/>
    </row>
    <row r="434" spans="2:6" x14ac:dyDescent="0.25">
      <c r="B434" s="107"/>
      <c r="C434" s="109"/>
      <c r="D434" s="110"/>
      <c r="E434" s="110"/>
      <c r="F434" s="109"/>
    </row>
    <row r="435" spans="2:6" x14ac:dyDescent="0.25">
      <c r="B435" s="107"/>
      <c r="C435" s="109"/>
      <c r="D435" s="110"/>
      <c r="E435" s="110"/>
      <c r="F435" s="109"/>
    </row>
    <row r="436" spans="2:6" x14ac:dyDescent="0.25">
      <c r="B436" s="107"/>
      <c r="C436" s="109"/>
      <c r="D436" s="110"/>
      <c r="E436" s="110"/>
      <c r="F436" s="109"/>
    </row>
    <row r="437" spans="2:6" x14ac:dyDescent="0.25">
      <c r="B437" s="107"/>
      <c r="C437" s="109"/>
      <c r="D437" s="110"/>
      <c r="E437" s="110"/>
      <c r="F437" s="109"/>
    </row>
    <row r="438" spans="2:6" x14ac:dyDescent="0.25">
      <c r="B438" s="107"/>
      <c r="C438" s="109"/>
      <c r="D438" s="110"/>
      <c r="E438" s="110"/>
      <c r="F438" s="109"/>
    </row>
    <row r="439" spans="2:6" x14ac:dyDescent="0.25">
      <c r="B439" s="107"/>
      <c r="C439" s="109"/>
      <c r="D439" s="110"/>
      <c r="E439" s="110"/>
      <c r="F439" s="109"/>
    </row>
    <row r="440" spans="2:6" x14ac:dyDescent="0.25">
      <c r="B440" s="107"/>
      <c r="C440" s="109"/>
      <c r="D440" s="110"/>
      <c r="E440" s="110"/>
      <c r="F440" s="109"/>
    </row>
    <row r="441" spans="2:6" x14ac:dyDescent="0.25">
      <c r="B441" s="107"/>
      <c r="C441" s="109"/>
      <c r="D441" s="110"/>
      <c r="E441" s="110"/>
      <c r="F441" s="109"/>
    </row>
    <row r="442" spans="2:6" x14ac:dyDescent="0.25">
      <c r="B442" s="107"/>
      <c r="C442" s="109"/>
      <c r="D442" s="110"/>
      <c r="E442" s="110"/>
      <c r="F442" s="109"/>
    </row>
    <row r="443" spans="2:6" x14ac:dyDescent="0.25">
      <c r="B443" s="107"/>
      <c r="C443" s="109"/>
      <c r="D443" s="110"/>
      <c r="E443" s="110"/>
      <c r="F443" s="109"/>
    </row>
    <row r="444" spans="2:6" x14ac:dyDescent="0.25">
      <c r="B444" s="107"/>
      <c r="C444" s="109"/>
      <c r="D444" s="110"/>
      <c r="E444" s="110"/>
      <c r="F444" s="109"/>
    </row>
    <row r="445" spans="2:6" x14ac:dyDescent="0.25">
      <c r="B445" s="107"/>
      <c r="C445" s="109"/>
      <c r="D445" s="110"/>
      <c r="E445" s="110"/>
      <c r="F445" s="109"/>
    </row>
    <row r="446" spans="2:6" x14ac:dyDescent="0.25">
      <c r="B446" s="107"/>
      <c r="C446" s="109"/>
      <c r="D446" s="110"/>
      <c r="E446" s="110"/>
      <c r="F446" s="109"/>
    </row>
    <row r="447" spans="2:6" x14ac:dyDescent="0.25">
      <c r="B447" s="107"/>
      <c r="C447" s="109"/>
      <c r="D447" s="110"/>
      <c r="E447" s="110"/>
      <c r="F447" s="109"/>
    </row>
    <row r="448" spans="2:6" x14ac:dyDescent="0.25">
      <c r="B448" s="107"/>
      <c r="C448" s="109"/>
      <c r="D448" s="110"/>
      <c r="E448" s="110"/>
      <c r="F448" s="109"/>
    </row>
    <row r="449" spans="2:6" x14ac:dyDescent="0.25">
      <c r="B449" s="107"/>
      <c r="C449" s="109"/>
      <c r="D449" s="110"/>
      <c r="E449" s="110"/>
      <c r="F449" s="109"/>
    </row>
    <row r="450" spans="2:6" x14ac:dyDescent="0.25">
      <c r="B450" s="107"/>
      <c r="C450" s="109"/>
      <c r="D450" s="110"/>
      <c r="E450" s="110"/>
      <c r="F450" s="109"/>
    </row>
    <row r="451" spans="2:6" x14ac:dyDescent="0.25">
      <c r="B451" s="107"/>
      <c r="C451" s="109"/>
      <c r="D451" s="110"/>
      <c r="E451" s="110"/>
      <c r="F451" s="109"/>
    </row>
    <row r="452" spans="2:6" x14ac:dyDescent="0.25">
      <c r="B452" s="107"/>
      <c r="C452" s="109"/>
      <c r="D452" s="110"/>
      <c r="E452" s="110"/>
      <c r="F452" s="109"/>
    </row>
    <row r="453" spans="2:6" x14ac:dyDescent="0.25">
      <c r="B453" s="107"/>
      <c r="C453" s="109"/>
      <c r="D453" s="110"/>
      <c r="E453" s="110"/>
      <c r="F453" s="109"/>
    </row>
    <row r="454" spans="2:6" x14ac:dyDescent="0.25">
      <c r="B454" s="107"/>
      <c r="C454" s="109"/>
      <c r="D454" s="110"/>
      <c r="E454" s="110"/>
      <c r="F454" s="109"/>
    </row>
    <row r="455" spans="2:6" x14ac:dyDescent="0.25">
      <c r="B455" s="107"/>
      <c r="C455" s="109"/>
      <c r="D455" s="110"/>
      <c r="E455" s="110"/>
      <c r="F455" s="109"/>
    </row>
    <row r="456" spans="2:6" x14ac:dyDescent="0.25">
      <c r="B456" s="107"/>
      <c r="C456" s="109"/>
      <c r="D456" s="110"/>
      <c r="E456" s="110"/>
      <c r="F456" s="109"/>
    </row>
    <row r="457" spans="2:6" x14ac:dyDescent="0.25">
      <c r="B457" s="107"/>
      <c r="C457" s="109"/>
      <c r="D457" s="110"/>
      <c r="E457" s="110"/>
      <c r="F457" s="109"/>
    </row>
    <row r="458" spans="2:6" x14ac:dyDescent="0.25">
      <c r="B458" s="107"/>
      <c r="C458" s="109"/>
      <c r="D458" s="110"/>
      <c r="E458" s="110"/>
      <c r="F458" s="109"/>
    </row>
    <row r="459" spans="2:6" x14ac:dyDescent="0.25">
      <c r="B459" s="107"/>
      <c r="C459" s="109"/>
      <c r="D459" s="110"/>
      <c r="E459" s="110"/>
      <c r="F459" s="109"/>
    </row>
    <row r="460" spans="2:6" x14ac:dyDescent="0.25">
      <c r="B460" s="107"/>
      <c r="C460" s="109"/>
      <c r="D460" s="110"/>
      <c r="E460" s="110"/>
      <c r="F460" s="109"/>
    </row>
    <row r="461" spans="2:6" x14ac:dyDescent="0.25">
      <c r="B461" s="107"/>
      <c r="C461" s="109"/>
      <c r="D461" s="110"/>
      <c r="E461" s="110"/>
      <c r="F461" s="109"/>
    </row>
    <row r="462" spans="2:6" x14ac:dyDescent="0.25">
      <c r="B462" s="107"/>
      <c r="C462" s="109"/>
      <c r="D462" s="110"/>
      <c r="E462" s="110"/>
      <c r="F462" s="109"/>
    </row>
    <row r="463" spans="2:6" x14ac:dyDescent="0.25">
      <c r="B463" s="107"/>
      <c r="C463" s="109"/>
      <c r="D463" s="110"/>
      <c r="E463" s="110"/>
      <c r="F463" s="109"/>
    </row>
    <row r="464" spans="2:6" x14ac:dyDescent="0.25">
      <c r="B464" s="107"/>
      <c r="C464" s="109"/>
      <c r="D464" s="110"/>
      <c r="E464" s="110"/>
      <c r="F464" s="109"/>
    </row>
    <row r="465" spans="2:6" x14ac:dyDescent="0.25">
      <c r="B465" s="107"/>
      <c r="C465" s="109"/>
      <c r="D465" s="110"/>
      <c r="E465" s="110"/>
      <c r="F465" s="109"/>
    </row>
    <row r="466" spans="2:6" x14ac:dyDescent="0.25">
      <c r="B466" s="107"/>
      <c r="C466" s="109"/>
      <c r="D466" s="110"/>
      <c r="E466" s="110"/>
      <c r="F466" s="109"/>
    </row>
    <row r="467" spans="2:6" x14ac:dyDescent="0.25">
      <c r="B467" s="107"/>
      <c r="C467" s="109"/>
      <c r="D467" s="110"/>
      <c r="E467" s="110"/>
      <c r="F467" s="109"/>
    </row>
    <row r="468" spans="2:6" x14ac:dyDescent="0.25">
      <c r="B468" s="107"/>
      <c r="C468" s="109"/>
      <c r="D468" s="110"/>
      <c r="E468" s="110"/>
      <c r="F468" s="109"/>
    </row>
    <row r="469" spans="2:6" x14ac:dyDescent="0.25">
      <c r="B469" s="107"/>
      <c r="C469" s="109"/>
      <c r="D469" s="110"/>
      <c r="E469" s="110"/>
      <c r="F469" s="109"/>
    </row>
    <row r="470" spans="2:6" x14ac:dyDescent="0.25">
      <c r="B470" s="107"/>
      <c r="C470" s="109"/>
      <c r="D470" s="110"/>
      <c r="E470" s="110"/>
      <c r="F470" s="109"/>
    </row>
    <row r="471" spans="2:6" x14ac:dyDescent="0.25">
      <c r="B471" s="107"/>
      <c r="C471" s="109"/>
      <c r="D471" s="110"/>
      <c r="E471" s="110"/>
      <c r="F471" s="109"/>
    </row>
    <row r="472" spans="2:6" x14ac:dyDescent="0.25">
      <c r="B472" s="107"/>
      <c r="C472" s="109"/>
      <c r="D472" s="110"/>
      <c r="E472" s="110"/>
      <c r="F472" s="109"/>
    </row>
    <row r="473" spans="2:6" x14ac:dyDescent="0.25">
      <c r="B473" s="107"/>
      <c r="C473" s="109"/>
      <c r="D473" s="110"/>
      <c r="E473" s="110"/>
      <c r="F473" s="109"/>
    </row>
    <row r="474" spans="2:6" x14ac:dyDescent="0.25">
      <c r="B474" s="107"/>
      <c r="C474" s="109"/>
      <c r="D474" s="110"/>
      <c r="E474" s="110"/>
      <c r="F474" s="109"/>
    </row>
    <row r="475" spans="2:6" x14ac:dyDescent="0.25">
      <c r="B475" s="107"/>
      <c r="C475" s="109"/>
      <c r="D475" s="110"/>
      <c r="E475" s="110"/>
      <c r="F475" s="109"/>
    </row>
    <row r="476" spans="2:6" x14ac:dyDescent="0.25">
      <c r="B476" s="107"/>
      <c r="C476" s="109"/>
      <c r="D476" s="110"/>
      <c r="E476" s="110"/>
      <c r="F476" s="109"/>
    </row>
    <row r="477" spans="2:6" x14ac:dyDescent="0.25">
      <c r="B477" s="107"/>
      <c r="C477" s="109"/>
      <c r="D477" s="110"/>
      <c r="E477" s="110"/>
      <c r="F477" s="109"/>
    </row>
    <row r="478" spans="2:6" x14ac:dyDescent="0.25">
      <c r="B478" s="107"/>
      <c r="C478" s="109"/>
      <c r="D478" s="110"/>
      <c r="E478" s="110"/>
      <c r="F478" s="109"/>
    </row>
    <row r="479" spans="2:6" x14ac:dyDescent="0.25">
      <c r="B479" s="107"/>
      <c r="C479" s="109"/>
      <c r="D479" s="110"/>
      <c r="E479" s="110"/>
      <c r="F479" s="109"/>
    </row>
    <row r="480" spans="2:6" x14ac:dyDescent="0.25">
      <c r="B480" s="107"/>
      <c r="C480" s="109"/>
      <c r="D480" s="110"/>
      <c r="E480" s="110"/>
      <c r="F480" s="109"/>
    </row>
    <row r="481" spans="2:6" x14ac:dyDescent="0.25">
      <c r="B481" s="107"/>
      <c r="C481" s="109"/>
      <c r="D481" s="110"/>
      <c r="E481" s="110"/>
      <c r="F481" s="109"/>
    </row>
    <row r="482" spans="2:6" x14ac:dyDescent="0.25">
      <c r="B482" s="107"/>
      <c r="C482" s="109"/>
      <c r="D482" s="110"/>
      <c r="E482" s="110"/>
      <c r="F482" s="109"/>
    </row>
    <row r="483" spans="2:6" x14ac:dyDescent="0.25">
      <c r="B483" s="107"/>
      <c r="C483" s="109"/>
      <c r="D483" s="110"/>
      <c r="E483" s="110"/>
      <c r="F483" s="109"/>
    </row>
    <row r="484" spans="2:6" x14ac:dyDescent="0.25">
      <c r="B484" s="107"/>
      <c r="C484" s="109"/>
      <c r="D484" s="110"/>
      <c r="E484" s="110"/>
      <c r="F484" s="109"/>
    </row>
    <row r="485" spans="2:6" x14ac:dyDescent="0.25">
      <c r="B485" s="107"/>
      <c r="C485" s="109"/>
      <c r="D485" s="110"/>
      <c r="E485" s="110"/>
      <c r="F485" s="109"/>
    </row>
    <row r="486" spans="2:6" x14ac:dyDescent="0.25">
      <c r="B486" s="107"/>
      <c r="C486" s="109"/>
      <c r="D486" s="110"/>
      <c r="E486" s="110"/>
      <c r="F486" s="109"/>
    </row>
    <row r="487" spans="2:6" x14ac:dyDescent="0.25">
      <c r="B487" s="107"/>
      <c r="C487" s="109"/>
      <c r="D487" s="110"/>
      <c r="E487" s="110"/>
      <c r="F487" s="109"/>
    </row>
    <row r="488" spans="2:6" x14ac:dyDescent="0.25">
      <c r="B488" s="107"/>
      <c r="C488" s="109"/>
      <c r="D488" s="110"/>
      <c r="E488" s="110"/>
      <c r="F488" s="109"/>
    </row>
    <row r="489" spans="2:6" x14ac:dyDescent="0.25">
      <c r="B489" s="107"/>
      <c r="C489" s="109"/>
      <c r="D489" s="110"/>
      <c r="E489" s="110"/>
      <c r="F489" s="109"/>
    </row>
    <row r="490" spans="2:6" x14ac:dyDescent="0.25">
      <c r="B490" s="107"/>
      <c r="C490" s="109"/>
      <c r="D490" s="110"/>
      <c r="E490" s="110"/>
      <c r="F490" s="109"/>
    </row>
    <row r="491" spans="2:6" x14ac:dyDescent="0.25">
      <c r="B491" s="107"/>
      <c r="C491" s="109"/>
      <c r="D491" s="110"/>
      <c r="E491" s="110"/>
      <c r="F491" s="109"/>
    </row>
    <row r="492" spans="2:6" x14ac:dyDescent="0.25">
      <c r="B492" s="107"/>
      <c r="C492" s="109"/>
      <c r="D492" s="110"/>
      <c r="E492" s="110"/>
      <c r="F492" s="109"/>
    </row>
    <row r="493" spans="2:6" x14ac:dyDescent="0.25">
      <c r="B493" s="107"/>
      <c r="C493" s="109"/>
      <c r="D493" s="110"/>
      <c r="E493" s="110"/>
      <c r="F493" s="109"/>
    </row>
    <row r="494" spans="2:6" x14ac:dyDescent="0.25">
      <c r="B494" s="107"/>
      <c r="C494" s="109"/>
      <c r="D494" s="110"/>
      <c r="E494" s="110"/>
      <c r="F494" s="109"/>
    </row>
    <row r="495" spans="2:6" x14ac:dyDescent="0.25">
      <c r="B495" s="107"/>
      <c r="C495" s="109"/>
      <c r="D495" s="110"/>
      <c r="E495" s="110"/>
      <c r="F495" s="109"/>
    </row>
    <row r="496" spans="2:6" x14ac:dyDescent="0.25">
      <c r="B496" s="107"/>
      <c r="C496" s="109"/>
      <c r="D496" s="110"/>
      <c r="E496" s="110"/>
      <c r="F496" s="109"/>
    </row>
    <row r="497" spans="2:6" x14ac:dyDescent="0.25">
      <c r="B497" s="107"/>
      <c r="C497" s="109"/>
      <c r="D497" s="110"/>
      <c r="E497" s="110"/>
      <c r="F497" s="109"/>
    </row>
    <row r="498" spans="2:6" x14ac:dyDescent="0.25">
      <c r="B498" s="107"/>
      <c r="C498" s="109"/>
      <c r="D498" s="110"/>
      <c r="E498" s="110"/>
      <c r="F498" s="109"/>
    </row>
    <row r="499" spans="2:6" x14ac:dyDescent="0.25">
      <c r="B499" s="107"/>
      <c r="C499" s="109"/>
      <c r="D499" s="110"/>
      <c r="E499" s="110"/>
      <c r="F499" s="109"/>
    </row>
    <row r="500" spans="2:6" x14ac:dyDescent="0.25">
      <c r="B500" s="107"/>
      <c r="C500" s="109"/>
      <c r="D500" s="110"/>
      <c r="E500" s="110"/>
      <c r="F500" s="109"/>
    </row>
    <row r="501" spans="2:6" x14ac:dyDescent="0.25">
      <c r="B501" s="107"/>
      <c r="C501" s="109"/>
      <c r="D501" s="110"/>
      <c r="E501" s="110"/>
      <c r="F501" s="109"/>
    </row>
    <row r="502" spans="2:6" x14ac:dyDescent="0.25">
      <c r="B502" s="107"/>
      <c r="C502" s="109"/>
      <c r="D502" s="110"/>
      <c r="E502" s="110"/>
      <c r="F502" s="109"/>
    </row>
    <row r="503" spans="2:6" x14ac:dyDescent="0.25">
      <c r="B503" s="107"/>
      <c r="C503" s="109"/>
      <c r="D503" s="110"/>
      <c r="E503" s="110"/>
      <c r="F503" s="109"/>
    </row>
    <row r="504" spans="2:6" x14ac:dyDescent="0.25">
      <c r="B504" s="107"/>
      <c r="C504" s="109"/>
      <c r="D504" s="110"/>
      <c r="E504" s="110"/>
      <c r="F504" s="109"/>
    </row>
    <row r="505" spans="2:6" x14ac:dyDescent="0.25">
      <c r="B505" s="107"/>
      <c r="C505" s="109"/>
      <c r="D505" s="110"/>
      <c r="E505" s="110"/>
      <c r="F505" s="109"/>
    </row>
    <row r="506" spans="2:6" x14ac:dyDescent="0.25">
      <c r="B506" s="107"/>
      <c r="C506" s="109"/>
      <c r="D506" s="110"/>
      <c r="E506" s="110"/>
      <c r="F506" s="109"/>
    </row>
    <row r="507" spans="2:6" x14ac:dyDescent="0.25">
      <c r="B507" s="107"/>
      <c r="C507" s="109"/>
      <c r="D507" s="110"/>
      <c r="E507" s="110"/>
      <c r="F507" s="109"/>
    </row>
    <row r="508" spans="2:6" x14ac:dyDescent="0.25">
      <c r="B508" s="107"/>
      <c r="C508" s="109"/>
      <c r="D508" s="110"/>
      <c r="E508" s="110"/>
      <c r="F508" s="109"/>
    </row>
    <row r="509" spans="2:6" x14ac:dyDescent="0.25">
      <c r="B509" s="107"/>
      <c r="C509" s="109"/>
      <c r="D509" s="110"/>
      <c r="E509" s="110"/>
      <c r="F509" s="109"/>
    </row>
    <row r="510" spans="2:6" x14ac:dyDescent="0.25">
      <c r="B510" s="107"/>
      <c r="C510" s="109"/>
      <c r="D510" s="110"/>
      <c r="E510" s="110"/>
      <c r="F510" s="109"/>
    </row>
    <row r="511" spans="2:6" x14ac:dyDescent="0.25">
      <c r="B511" s="107"/>
      <c r="C511" s="109"/>
      <c r="D511" s="110"/>
      <c r="E511" s="110"/>
      <c r="F511" s="109"/>
    </row>
    <row r="512" spans="2:6" x14ac:dyDescent="0.25">
      <c r="B512" s="107"/>
      <c r="C512" s="109"/>
      <c r="D512" s="110"/>
      <c r="E512" s="110"/>
      <c r="F512" s="109"/>
    </row>
    <row r="513" spans="2:6" x14ac:dyDescent="0.25">
      <c r="B513" s="107"/>
      <c r="C513" s="109"/>
      <c r="D513" s="110"/>
      <c r="E513" s="110"/>
      <c r="F513" s="109"/>
    </row>
    <row r="514" spans="2:6" x14ac:dyDescent="0.25">
      <c r="B514" s="107"/>
      <c r="C514" s="109"/>
      <c r="D514" s="110"/>
      <c r="E514" s="110"/>
      <c r="F514" s="109"/>
    </row>
    <row r="515" spans="2:6" x14ac:dyDescent="0.25">
      <c r="B515" s="107"/>
      <c r="C515" s="109"/>
      <c r="D515" s="110"/>
      <c r="E515" s="110"/>
      <c r="F515" s="109"/>
    </row>
    <row r="516" spans="2:6" x14ac:dyDescent="0.25">
      <c r="B516" s="107"/>
      <c r="C516" s="109"/>
      <c r="D516" s="110"/>
      <c r="E516" s="110"/>
      <c r="F516" s="109"/>
    </row>
    <row r="517" spans="2:6" x14ac:dyDescent="0.25">
      <c r="B517" s="107"/>
      <c r="C517" s="109"/>
      <c r="D517" s="110"/>
      <c r="E517" s="110"/>
      <c r="F517" s="109"/>
    </row>
    <row r="518" spans="2:6" x14ac:dyDescent="0.25">
      <c r="B518" s="107"/>
      <c r="C518" s="109"/>
      <c r="D518" s="110"/>
      <c r="E518" s="110"/>
      <c r="F518" s="109"/>
    </row>
    <row r="519" spans="2:6" x14ac:dyDescent="0.25">
      <c r="B519" s="107"/>
      <c r="C519" s="109"/>
      <c r="D519" s="110"/>
      <c r="E519" s="110"/>
      <c r="F519" s="109"/>
    </row>
    <row r="520" spans="2:6" x14ac:dyDescent="0.25">
      <c r="B520" s="107"/>
      <c r="C520" s="109"/>
      <c r="D520" s="110"/>
      <c r="E520" s="110"/>
      <c r="F520" s="109"/>
    </row>
    <row r="521" spans="2:6" x14ac:dyDescent="0.25">
      <c r="B521" s="107"/>
      <c r="C521" s="109"/>
      <c r="D521" s="110"/>
      <c r="E521" s="110"/>
      <c r="F521" s="109"/>
    </row>
    <row r="522" spans="2:6" x14ac:dyDescent="0.25">
      <c r="B522" s="107"/>
      <c r="C522" s="109"/>
      <c r="D522" s="110"/>
      <c r="E522" s="110"/>
      <c r="F522" s="109"/>
    </row>
    <row r="523" spans="2:6" x14ac:dyDescent="0.25">
      <c r="B523" s="107"/>
      <c r="C523" s="109"/>
      <c r="D523" s="110"/>
      <c r="E523" s="110"/>
      <c r="F523" s="109"/>
    </row>
    <row r="524" spans="2:6" x14ac:dyDescent="0.25">
      <c r="B524" s="107"/>
      <c r="C524" s="109"/>
      <c r="D524" s="110"/>
      <c r="E524" s="110"/>
      <c r="F524" s="109"/>
    </row>
    <row r="525" spans="2:6" x14ac:dyDescent="0.25">
      <c r="B525" s="107"/>
      <c r="C525" s="109"/>
      <c r="D525" s="110"/>
      <c r="E525" s="110"/>
      <c r="F525" s="109"/>
    </row>
    <row r="526" spans="2:6" x14ac:dyDescent="0.25">
      <c r="B526" s="107"/>
      <c r="C526" s="109"/>
      <c r="D526" s="110"/>
      <c r="E526" s="110"/>
      <c r="F526" s="109"/>
    </row>
    <row r="527" spans="2:6" x14ac:dyDescent="0.25">
      <c r="B527" s="107"/>
      <c r="C527" s="109"/>
      <c r="D527" s="110"/>
      <c r="E527" s="110"/>
      <c r="F527" s="109"/>
    </row>
    <row r="528" spans="2:6" x14ac:dyDescent="0.25">
      <c r="B528" s="107"/>
      <c r="C528" s="109"/>
      <c r="D528" s="110"/>
      <c r="E528" s="110"/>
      <c r="F528" s="109"/>
    </row>
    <row r="529" spans="2:6" x14ac:dyDescent="0.25">
      <c r="B529" s="107"/>
      <c r="C529" s="109"/>
      <c r="D529" s="110"/>
      <c r="E529" s="110"/>
      <c r="F529" s="109"/>
    </row>
    <row r="530" spans="2:6" x14ac:dyDescent="0.25">
      <c r="B530" s="107"/>
      <c r="C530" s="109"/>
      <c r="D530" s="110"/>
      <c r="E530" s="110"/>
      <c r="F530" s="109"/>
    </row>
    <row r="531" spans="2:6" x14ac:dyDescent="0.25">
      <c r="B531" s="107"/>
      <c r="C531" s="109"/>
      <c r="D531" s="110"/>
      <c r="E531" s="110"/>
      <c r="F531" s="109"/>
    </row>
    <row r="532" spans="2:6" x14ac:dyDescent="0.25">
      <c r="B532" s="107"/>
      <c r="C532" s="109"/>
      <c r="D532" s="110"/>
      <c r="E532" s="110"/>
      <c r="F532" s="109"/>
    </row>
    <row r="533" spans="2:6" x14ac:dyDescent="0.25">
      <c r="B533" s="107"/>
      <c r="C533" s="109"/>
      <c r="D533" s="110"/>
      <c r="E533" s="110"/>
      <c r="F533" s="109"/>
    </row>
    <row r="534" spans="2:6" x14ac:dyDescent="0.25">
      <c r="B534" s="107"/>
      <c r="C534" s="109"/>
      <c r="D534" s="110"/>
      <c r="E534" s="110"/>
      <c r="F534" s="109"/>
    </row>
    <row r="535" spans="2:6" x14ac:dyDescent="0.25">
      <c r="B535" s="107"/>
      <c r="C535" s="109"/>
      <c r="D535" s="110"/>
      <c r="E535" s="110"/>
      <c r="F535" s="109"/>
    </row>
    <row r="536" spans="2:6" x14ac:dyDescent="0.25">
      <c r="B536" s="107"/>
      <c r="C536" s="109"/>
      <c r="D536" s="110"/>
      <c r="E536" s="110"/>
      <c r="F536" s="109"/>
    </row>
    <row r="537" spans="2:6" x14ac:dyDescent="0.25">
      <c r="B537" s="107"/>
      <c r="C537" s="109"/>
      <c r="D537" s="110"/>
      <c r="E537" s="110"/>
      <c r="F537" s="109"/>
    </row>
    <row r="538" spans="2:6" x14ac:dyDescent="0.25">
      <c r="B538" s="107"/>
      <c r="C538" s="109"/>
      <c r="D538" s="110"/>
      <c r="E538" s="110"/>
      <c r="F538" s="109"/>
    </row>
    <row r="539" spans="2:6" x14ac:dyDescent="0.25">
      <c r="B539" s="107"/>
      <c r="C539" s="109"/>
      <c r="D539" s="110"/>
      <c r="E539" s="110"/>
      <c r="F539" s="109"/>
    </row>
    <row r="540" spans="2:6" x14ac:dyDescent="0.25">
      <c r="B540" s="107"/>
      <c r="C540" s="109"/>
      <c r="D540" s="110"/>
      <c r="E540" s="110"/>
      <c r="F540" s="109"/>
    </row>
    <row r="541" spans="2:6" x14ac:dyDescent="0.25">
      <c r="B541" s="107"/>
      <c r="C541" s="109"/>
      <c r="D541" s="110"/>
      <c r="E541" s="110"/>
      <c r="F541" s="109"/>
    </row>
    <row r="542" spans="2:6" x14ac:dyDescent="0.25">
      <c r="B542" s="107"/>
      <c r="C542" s="109"/>
      <c r="D542" s="110"/>
      <c r="E542" s="110"/>
      <c r="F542" s="109"/>
    </row>
    <row r="543" spans="2:6" x14ac:dyDescent="0.25">
      <c r="B543" s="107"/>
      <c r="C543" s="109"/>
      <c r="D543" s="110"/>
      <c r="E543" s="110"/>
      <c r="F543" s="109"/>
    </row>
    <row r="544" spans="2:6" x14ac:dyDescent="0.25">
      <c r="B544" s="107"/>
      <c r="C544" s="109"/>
      <c r="D544" s="110"/>
      <c r="E544" s="110"/>
      <c r="F544" s="109"/>
    </row>
    <row r="545" spans="2:6" x14ac:dyDescent="0.25">
      <c r="B545" s="107"/>
      <c r="C545" s="109"/>
      <c r="D545" s="110"/>
      <c r="E545" s="110"/>
      <c r="F545" s="109"/>
    </row>
    <row r="546" spans="2:6" x14ac:dyDescent="0.25">
      <c r="B546" s="107"/>
      <c r="C546" s="109"/>
      <c r="D546" s="110"/>
      <c r="E546" s="110"/>
      <c r="F546" s="109"/>
    </row>
    <row r="547" spans="2:6" x14ac:dyDescent="0.25">
      <c r="B547" s="107"/>
      <c r="C547" s="109"/>
      <c r="D547" s="110"/>
      <c r="E547" s="110"/>
      <c r="F547" s="109"/>
    </row>
    <row r="548" spans="2:6" x14ac:dyDescent="0.25">
      <c r="B548" s="107"/>
      <c r="C548" s="109"/>
      <c r="D548" s="110"/>
      <c r="E548" s="110"/>
      <c r="F548" s="109"/>
    </row>
    <row r="549" spans="2:6" x14ac:dyDescent="0.25">
      <c r="B549" s="107"/>
      <c r="C549" s="109"/>
      <c r="D549" s="110"/>
      <c r="E549" s="110"/>
      <c r="F549" s="109"/>
    </row>
    <row r="550" spans="2:6" x14ac:dyDescent="0.25">
      <c r="B550" s="107"/>
      <c r="C550" s="109"/>
      <c r="D550" s="110"/>
      <c r="E550" s="110"/>
      <c r="F550" s="109"/>
    </row>
    <row r="551" spans="2:6" x14ac:dyDescent="0.25">
      <c r="B551" s="107"/>
      <c r="C551" s="109"/>
      <c r="D551" s="110"/>
      <c r="E551" s="110"/>
      <c r="F551" s="109"/>
    </row>
    <row r="552" spans="2:6" x14ac:dyDescent="0.25">
      <c r="B552" s="107"/>
      <c r="C552" s="109"/>
      <c r="D552" s="110"/>
      <c r="E552" s="110"/>
      <c r="F552" s="109"/>
    </row>
    <row r="553" spans="2:6" x14ac:dyDescent="0.25">
      <c r="B553" s="107"/>
      <c r="C553" s="109"/>
      <c r="D553" s="110"/>
      <c r="E553" s="110"/>
      <c r="F553" s="109"/>
    </row>
    <row r="554" spans="2:6" x14ac:dyDescent="0.25">
      <c r="B554" s="107"/>
      <c r="C554" s="109"/>
      <c r="D554" s="110"/>
      <c r="E554" s="110"/>
      <c r="F554" s="109"/>
    </row>
    <row r="555" spans="2:6" x14ac:dyDescent="0.25">
      <c r="B555" s="107"/>
      <c r="C555" s="109"/>
      <c r="D555" s="110"/>
      <c r="E555" s="110"/>
      <c r="F555" s="109"/>
    </row>
    <row r="556" spans="2:6" x14ac:dyDescent="0.25">
      <c r="B556" s="107"/>
      <c r="C556" s="109"/>
      <c r="D556" s="110"/>
      <c r="E556" s="110"/>
      <c r="F556" s="109"/>
    </row>
    <row r="557" spans="2:6" x14ac:dyDescent="0.25">
      <c r="B557" s="107"/>
      <c r="C557" s="109"/>
      <c r="D557" s="110"/>
      <c r="E557" s="110"/>
      <c r="F557" s="109"/>
    </row>
    <row r="558" spans="2:6" x14ac:dyDescent="0.25">
      <c r="B558" s="107"/>
      <c r="C558" s="109"/>
      <c r="D558" s="110"/>
      <c r="E558" s="110"/>
      <c r="F558" s="109"/>
    </row>
    <row r="559" spans="2:6" x14ac:dyDescent="0.25">
      <c r="B559" s="107"/>
      <c r="C559" s="109"/>
      <c r="D559" s="110"/>
      <c r="E559" s="110"/>
      <c r="F559" s="109"/>
    </row>
    <row r="560" spans="2:6" x14ac:dyDescent="0.25">
      <c r="B560" s="107"/>
      <c r="C560" s="109"/>
      <c r="D560" s="110"/>
      <c r="E560" s="110"/>
      <c r="F560" s="109"/>
    </row>
    <row r="561" spans="2:6" x14ac:dyDescent="0.25">
      <c r="B561" s="107"/>
      <c r="C561" s="109"/>
      <c r="D561" s="110"/>
      <c r="E561" s="110"/>
      <c r="F561" s="109"/>
    </row>
    <row r="562" spans="2:6" x14ac:dyDescent="0.25">
      <c r="B562" s="107"/>
      <c r="C562" s="109"/>
      <c r="D562" s="110"/>
      <c r="E562" s="110"/>
      <c r="F562" s="109"/>
    </row>
    <row r="563" spans="2:6" x14ac:dyDescent="0.25">
      <c r="B563" s="107"/>
      <c r="C563" s="109"/>
      <c r="D563" s="110"/>
      <c r="E563" s="110"/>
      <c r="F563" s="109"/>
    </row>
    <row r="564" spans="2:6" x14ac:dyDescent="0.25">
      <c r="B564" s="107"/>
      <c r="C564" s="109"/>
      <c r="D564" s="110"/>
      <c r="E564" s="110"/>
      <c r="F564" s="109"/>
    </row>
    <row r="565" spans="2:6" x14ac:dyDescent="0.25">
      <c r="B565" s="107"/>
      <c r="C565" s="109"/>
      <c r="D565" s="110"/>
      <c r="E565" s="110"/>
      <c r="F565" s="109"/>
    </row>
    <row r="566" spans="2:6" x14ac:dyDescent="0.25">
      <c r="B566" s="107"/>
      <c r="C566" s="109"/>
      <c r="D566" s="110"/>
      <c r="E566" s="110"/>
      <c r="F566" s="109"/>
    </row>
    <row r="567" spans="2:6" x14ac:dyDescent="0.25">
      <c r="B567" s="107"/>
      <c r="C567" s="109"/>
      <c r="D567" s="110"/>
      <c r="E567" s="110"/>
      <c r="F567" s="109"/>
    </row>
    <row r="568" spans="2:6" x14ac:dyDescent="0.25">
      <c r="B568" s="107"/>
      <c r="C568" s="109"/>
      <c r="D568" s="110"/>
      <c r="E568" s="110"/>
      <c r="F568" s="109"/>
    </row>
    <row r="569" spans="2:6" x14ac:dyDescent="0.25">
      <c r="B569" s="107"/>
      <c r="C569" s="109"/>
      <c r="D569" s="110"/>
      <c r="E569" s="110"/>
      <c r="F569" s="109"/>
    </row>
    <row r="570" spans="2:6" x14ac:dyDescent="0.25">
      <c r="B570" s="107"/>
      <c r="C570" s="109"/>
      <c r="D570" s="110"/>
      <c r="E570" s="110"/>
      <c r="F570" s="109"/>
    </row>
    <row r="571" spans="2:6" x14ac:dyDescent="0.25">
      <c r="B571" s="107"/>
      <c r="C571" s="109"/>
      <c r="D571" s="110"/>
      <c r="E571" s="110"/>
      <c r="F571" s="109"/>
    </row>
    <row r="572" spans="2:6" x14ac:dyDescent="0.25">
      <c r="B572" s="107"/>
      <c r="C572" s="109"/>
      <c r="D572" s="110"/>
      <c r="E572" s="110"/>
      <c r="F572" s="109"/>
    </row>
    <row r="573" spans="2:6" x14ac:dyDescent="0.25">
      <c r="B573" s="107"/>
      <c r="C573" s="109"/>
      <c r="D573" s="110"/>
      <c r="E573" s="110"/>
      <c r="F573" s="109"/>
    </row>
    <row r="574" spans="2:6" x14ac:dyDescent="0.25">
      <c r="B574" s="107"/>
      <c r="C574" s="109"/>
      <c r="D574" s="110"/>
      <c r="E574" s="110"/>
      <c r="F574" s="109"/>
    </row>
    <row r="575" spans="2:6" x14ac:dyDescent="0.25">
      <c r="B575" s="107"/>
      <c r="C575" s="109"/>
      <c r="D575" s="110"/>
      <c r="E575" s="110"/>
      <c r="F575" s="109"/>
    </row>
    <row r="576" spans="2:6" x14ac:dyDescent="0.25">
      <c r="B576" s="107"/>
      <c r="C576" s="109"/>
      <c r="D576" s="110"/>
      <c r="E576" s="110"/>
      <c r="F576" s="109"/>
    </row>
    <row r="577" spans="2:6" x14ac:dyDescent="0.25">
      <c r="B577" s="107"/>
      <c r="C577" s="109"/>
      <c r="D577" s="110"/>
      <c r="E577" s="110"/>
      <c r="F577" s="109"/>
    </row>
    <row r="578" spans="2:6" x14ac:dyDescent="0.25">
      <c r="B578" s="107"/>
      <c r="C578" s="109"/>
      <c r="D578" s="110"/>
      <c r="E578" s="110"/>
      <c r="F578" s="109"/>
    </row>
    <row r="579" spans="2:6" x14ac:dyDescent="0.25">
      <c r="B579" s="107"/>
      <c r="C579" s="109"/>
      <c r="D579" s="110"/>
      <c r="E579" s="110"/>
      <c r="F579" s="109"/>
    </row>
    <row r="580" spans="2:6" x14ac:dyDescent="0.25">
      <c r="B580" s="107"/>
      <c r="C580" s="109"/>
      <c r="D580" s="110"/>
      <c r="E580" s="110"/>
      <c r="F580" s="109"/>
    </row>
    <row r="581" spans="2:6" x14ac:dyDescent="0.25">
      <c r="B581" s="107"/>
      <c r="C581" s="109"/>
      <c r="D581" s="110"/>
      <c r="E581" s="110"/>
      <c r="F581" s="109"/>
    </row>
    <row r="582" spans="2:6" x14ac:dyDescent="0.25">
      <c r="B582" s="107"/>
      <c r="C582" s="109"/>
      <c r="D582" s="110"/>
      <c r="E582" s="110"/>
      <c r="F582" s="109"/>
    </row>
    <row r="583" spans="2:6" x14ac:dyDescent="0.25">
      <c r="B583" s="107"/>
      <c r="C583" s="109"/>
      <c r="D583" s="110"/>
      <c r="E583" s="110"/>
      <c r="F583" s="109"/>
    </row>
    <row r="584" spans="2:6" x14ac:dyDescent="0.25">
      <c r="B584" s="107"/>
      <c r="C584" s="109"/>
      <c r="D584" s="110"/>
      <c r="E584" s="110"/>
      <c r="F584" s="109"/>
    </row>
    <row r="585" spans="2:6" x14ac:dyDescent="0.25">
      <c r="B585" s="107"/>
      <c r="C585" s="109"/>
      <c r="D585" s="110"/>
      <c r="E585" s="110"/>
      <c r="F585" s="109"/>
    </row>
    <row r="586" spans="2:6" x14ac:dyDescent="0.25">
      <c r="B586" s="107"/>
      <c r="C586" s="109"/>
      <c r="D586" s="110"/>
      <c r="E586" s="110"/>
      <c r="F586" s="109"/>
    </row>
    <row r="587" spans="2:6" x14ac:dyDescent="0.25">
      <c r="B587" s="107"/>
      <c r="C587" s="109"/>
      <c r="D587" s="110"/>
      <c r="E587" s="110"/>
      <c r="F587" s="109"/>
    </row>
    <row r="588" spans="2:6" x14ac:dyDescent="0.25">
      <c r="B588" s="107"/>
      <c r="C588" s="109"/>
      <c r="D588" s="110"/>
      <c r="E588" s="110"/>
      <c r="F588" s="109"/>
    </row>
    <row r="589" spans="2:6" x14ac:dyDescent="0.25">
      <c r="B589" s="107"/>
      <c r="C589" s="109"/>
      <c r="D589" s="110"/>
      <c r="E589" s="110"/>
      <c r="F589" s="109"/>
    </row>
    <row r="590" spans="2:6" x14ac:dyDescent="0.25">
      <c r="B590" s="107"/>
      <c r="C590" s="109"/>
      <c r="D590" s="110"/>
      <c r="E590" s="110"/>
      <c r="F590" s="109"/>
    </row>
    <row r="591" spans="2:6" x14ac:dyDescent="0.25">
      <c r="B591" s="107"/>
      <c r="C591" s="109"/>
      <c r="D591" s="110"/>
      <c r="E591" s="110"/>
      <c r="F591" s="109"/>
    </row>
    <row r="592" spans="2:6" x14ac:dyDescent="0.25">
      <c r="B592" s="107"/>
      <c r="C592" s="109"/>
      <c r="D592" s="110"/>
      <c r="E592" s="110"/>
      <c r="F592" s="109"/>
    </row>
    <row r="593" spans="2:6" x14ac:dyDescent="0.25">
      <c r="B593" s="107"/>
      <c r="C593" s="109"/>
      <c r="D593" s="110"/>
      <c r="E593" s="110"/>
      <c r="F593" s="109"/>
    </row>
    <row r="594" spans="2:6" x14ac:dyDescent="0.25">
      <c r="B594" s="107"/>
      <c r="C594" s="109"/>
      <c r="D594" s="110"/>
      <c r="E594" s="110"/>
      <c r="F594" s="109"/>
    </row>
    <row r="595" spans="2:6" x14ac:dyDescent="0.25">
      <c r="B595" s="107"/>
      <c r="C595" s="109"/>
      <c r="D595" s="110"/>
      <c r="E595" s="110"/>
      <c r="F595" s="109"/>
    </row>
    <row r="596" spans="2:6" x14ac:dyDescent="0.25">
      <c r="B596" s="107"/>
      <c r="C596" s="109"/>
      <c r="D596" s="110"/>
      <c r="E596" s="110"/>
      <c r="F596" s="109"/>
    </row>
    <row r="597" spans="2:6" x14ac:dyDescent="0.25">
      <c r="B597" s="107"/>
      <c r="C597" s="109"/>
      <c r="D597" s="110"/>
      <c r="E597" s="110"/>
      <c r="F597" s="109"/>
    </row>
    <row r="598" spans="2:6" x14ac:dyDescent="0.25">
      <c r="B598" s="107"/>
      <c r="C598" s="109"/>
      <c r="D598" s="110"/>
      <c r="E598" s="110"/>
      <c r="F598" s="109"/>
    </row>
    <row r="599" spans="2:6" x14ac:dyDescent="0.25">
      <c r="B599" s="107"/>
      <c r="C599" s="109"/>
      <c r="D599" s="110"/>
      <c r="E599" s="110"/>
      <c r="F599" s="109"/>
    </row>
    <row r="600" spans="2:6" x14ac:dyDescent="0.25">
      <c r="B600" s="107"/>
      <c r="C600" s="109"/>
      <c r="D600" s="110"/>
      <c r="E600" s="110"/>
      <c r="F600" s="109"/>
    </row>
    <row r="601" spans="2:6" x14ac:dyDescent="0.25">
      <c r="B601" s="107"/>
      <c r="C601" s="109"/>
      <c r="D601" s="110"/>
      <c r="E601" s="110"/>
      <c r="F601" s="109"/>
    </row>
    <row r="602" spans="2:6" x14ac:dyDescent="0.25">
      <c r="B602" s="107"/>
      <c r="C602" s="109"/>
      <c r="D602" s="110"/>
      <c r="E602" s="110"/>
      <c r="F602" s="109"/>
    </row>
    <row r="603" spans="2:6" x14ac:dyDescent="0.25">
      <c r="B603" s="107"/>
      <c r="C603" s="109"/>
      <c r="D603" s="110"/>
      <c r="E603" s="110"/>
      <c r="F603" s="109"/>
    </row>
    <row r="604" spans="2:6" x14ac:dyDescent="0.25">
      <c r="B604" s="107"/>
      <c r="C604" s="109"/>
      <c r="D604" s="110"/>
      <c r="E604" s="110"/>
      <c r="F604" s="109"/>
    </row>
    <row r="605" spans="2:6" x14ac:dyDescent="0.25">
      <c r="B605" s="107"/>
      <c r="C605" s="109"/>
      <c r="D605" s="110"/>
      <c r="E605" s="110"/>
      <c r="F605" s="109"/>
    </row>
    <row r="606" spans="2:6" x14ac:dyDescent="0.25">
      <c r="B606" s="107"/>
      <c r="C606" s="109"/>
      <c r="D606" s="110"/>
      <c r="E606" s="110"/>
      <c r="F606" s="109"/>
    </row>
    <row r="607" spans="2:6" x14ac:dyDescent="0.25">
      <c r="B607" s="107"/>
      <c r="C607" s="109"/>
      <c r="D607" s="110"/>
      <c r="E607" s="110"/>
      <c r="F607" s="109"/>
    </row>
    <row r="608" spans="2:6" x14ac:dyDescent="0.25">
      <c r="B608" s="107"/>
      <c r="C608" s="109"/>
      <c r="D608" s="110"/>
      <c r="E608" s="110"/>
      <c r="F608" s="109"/>
    </row>
    <row r="609" spans="2:6" x14ac:dyDescent="0.25">
      <c r="B609" s="107"/>
      <c r="C609" s="109"/>
      <c r="D609" s="110"/>
      <c r="E609" s="110"/>
      <c r="F609" s="109"/>
    </row>
    <row r="610" spans="2:6" x14ac:dyDescent="0.25">
      <c r="B610" s="107"/>
      <c r="C610" s="109"/>
      <c r="D610" s="110"/>
      <c r="E610" s="110"/>
      <c r="F610" s="109"/>
    </row>
    <row r="611" spans="2:6" x14ac:dyDescent="0.25">
      <c r="B611" s="107"/>
      <c r="C611" s="109"/>
      <c r="D611" s="110"/>
      <c r="E611" s="110"/>
      <c r="F611" s="109"/>
    </row>
    <row r="612" spans="2:6" x14ac:dyDescent="0.25">
      <c r="B612" s="107"/>
      <c r="C612" s="109"/>
      <c r="D612" s="110"/>
      <c r="E612" s="110"/>
      <c r="F612" s="109"/>
    </row>
    <row r="613" spans="2:6" x14ac:dyDescent="0.25">
      <c r="B613" s="107"/>
      <c r="C613" s="109"/>
      <c r="D613" s="110"/>
      <c r="E613" s="110"/>
      <c r="F613" s="109"/>
    </row>
    <row r="614" spans="2:6" x14ac:dyDescent="0.25">
      <c r="B614" s="107"/>
      <c r="C614" s="109"/>
      <c r="D614" s="110"/>
      <c r="E614" s="110"/>
      <c r="F614" s="109"/>
    </row>
    <row r="615" spans="2:6" x14ac:dyDescent="0.25">
      <c r="B615" s="107"/>
      <c r="C615" s="109"/>
      <c r="D615" s="110"/>
      <c r="E615" s="110"/>
      <c r="F615" s="109"/>
    </row>
    <row r="616" spans="2:6" x14ac:dyDescent="0.25">
      <c r="B616" s="107"/>
      <c r="C616" s="109"/>
      <c r="D616" s="110"/>
      <c r="E616" s="110"/>
      <c r="F616" s="109"/>
    </row>
    <row r="617" spans="2:6" x14ac:dyDescent="0.25">
      <c r="B617" s="107"/>
      <c r="C617" s="109"/>
      <c r="D617" s="110"/>
      <c r="E617" s="110"/>
      <c r="F617" s="109"/>
    </row>
    <row r="618" spans="2:6" x14ac:dyDescent="0.25">
      <c r="B618" s="107"/>
      <c r="C618" s="109"/>
      <c r="D618" s="110"/>
      <c r="E618" s="110"/>
      <c r="F618" s="109"/>
    </row>
    <row r="619" spans="2:6" x14ac:dyDescent="0.25">
      <c r="B619" s="107"/>
      <c r="C619" s="109"/>
      <c r="D619" s="110"/>
      <c r="E619" s="110"/>
      <c r="F619" s="109"/>
    </row>
    <row r="620" spans="2:6" x14ac:dyDescent="0.25">
      <c r="B620" s="107"/>
      <c r="C620" s="109"/>
      <c r="D620" s="110"/>
      <c r="E620" s="110"/>
      <c r="F620" s="109"/>
    </row>
    <row r="621" spans="2:6" x14ac:dyDescent="0.25">
      <c r="B621" s="107"/>
      <c r="C621" s="109"/>
      <c r="D621" s="110"/>
      <c r="E621" s="110"/>
      <c r="F621" s="109"/>
    </row>
    <row r="622" spans="2:6" x14ac:dyDescent="0.25">
      <c r="B622" s="107"/>
      <c r="C622" s="109"/>
      <c r="D622" s="110"/>
      <c r="E622" s="110"/>
      <c r="F622" s="109"/>
    </row>
    <row r="623" spans="2:6" x14ac:dyDescent="0.25">
      <c r="B623" s="107"/>
      <c r="C623" s="109"/>
      <c r="D623" s="110"/>
      <c r="E623" s="110"/>
      <c r="F623" s="109"/>
    </row>
    <row r="624" spans="2:6" x14ac:dyDescent="0.25">
      <c r="B624" s="107"/>
      <c r="C624" s="109"/>
      <c r="D624" s="110"/>
      <c r="E624" s="110"/>
      <c r="F624" s="109"/>
    </row>
    <row r="625" spans="2:6" x14ac:dyDescent="0.25">
      <c r="B625" s="107"/>
      <c r="C625" s="109"/>
      <c r="D625" s="110"/>
      <c r="E625" s="110"/>
      <c r="F625" s="109"/>
    </row>
    <row r="626" spans="2:6" x14ac:dyDescent="0.25">
      <c r="B626" s="107"/>
      <c r="C626" s="109"/>
      <c r="D626" s="110"/>
      <c r="E626" s="110"/>
      <c r="F626" s="109"/>
    </row>
    <row r="627" spans="2:6" x14ac:dyDescent="0.25">
      <c r="B627" s="107"/>
      <c r="C627" s="109"/>
      <c r="D627" s="110"/>
      <c r="E627" s="110"/>
      <c r="F627" s="109"/>
    </row>
    <row r="628" spans="2:6" x14ac:dyDescent="0.25">
      <c r="B628" s="107"/>
      <c r="C628" s="109"/>
      <c r="D628" s="110"/>
      <c r="E628" s="110"/>
      <c r="F628" s="109"/>
    </row>
    <row r="629" spans="2:6" x14ac:dyDescent="0.25">
      <c r="B629" s="107"/>
      <c r="C629" s="109"/>
      <c r="D629" s="110"/>
      <c r="E629" s="110"/>
      <c r="F629" s="109"/>
    </row>
    <row r="630" spans="2:6" x14ac:dyDescent="0.25">
      <c r="B630" s="107"/>
      <c r="C630" s="109"/>
      <c r="D630" s="110"/>
      <c r="E630" s="110"/>
      <c r="F630" s="109"/>
    </row>
    <row r="631" spans="2:6" x14ac:dyDescent="0.25">
      <c r="B631" s="107"/>
      <c r="C631" s="109"/>
      <c r="D631" s="110"/>
      <c r="E631" s="110"/>
      <c r="F631" s="109"/>
    </row>
    <row r="632" spans="2:6" x14ac:dyDescent="0.25">
      <c r="B632" s="107"/>
      <c r="C632" s="109"/>
      <c r="D632" s="110"/>
      <c r="E632" s="110"/>
      <c r="F632" s="109"/>
    </row>
    <row r="633" spans="2:6" x14ac:dyDescent="0.25">
      <c r="B633" s="107"/>
      <c r="C633" s="109"/>
      <c r="D633" s="110"/>
      <c r="E633" s="110"/>
      <c r="F633" s="109"/>
    </row>
    <row r="634" spans="2:6" x14ac:dyDescent="0.25">
      <c r="B634" s="107"/>
      <c r="C634" s="109"/>
      <c r="D634" s="110"/>
      <c r="E634" s="110"/>
      <c r="F634" s="109"/>
    </row>
    <row r="635" spans="2:6" x14ac:dyDescent="0.25">
      <c r="B635" s="107"/>
      <c r="C635" s="109"/>
      <c r="D635" s="110"/>
      <c r="E635" s="110"/>
      <c r="F635" s="109"/>
    </row>
    <row r="636" spans="2:6" x14ac:dyDescent="0.25">
      <c r="B636" s="107"/>
      <c r="C636" s="109"/>
      <c r="D636" s="110"/>
      <c r="E636" s="110"/>
      <c r="F636" s="109"/>
    </row>
    <row r="637" spans="2:6" x14ac:dyDescent="0.25">
      <c r="B637" s="107"/>
      <c r="C637" s="109"/>
      <c r="D637" s="110"/>
      <c r="E637" s="110"/>
      <c r="F637" s="109"/>
    </row>
    <row r="638" spans="2:6" x14ac:dyDescent="0.25">
      <c r="B638" s="107"/>
      <c r="C638" s="109"/>
      <c r="D638" s="110"/>
      <c r="E638" s="110"/>
      <c r="F638" s="109"/>
    </row>
    <row r="639" spans="2:6" x14ac:dyDescent="0.25">
      <c r="B639" s="107"/>
      <c r="C639" s="109"/>
      <c r="D639" s="110"/>
      <c r="E639" s="110"/>
      <c r="F639" s="109"/>
    </row>
    <row r="640" spans="2:6" x14ac:dyDescent="0.25">
      <c r="B640" s="107"/>
      <c r="C640" s="109"/>
      <c r="D640" s="110"/>
      <c r="E640" s="110"/>
      <c r="F640" s="109"/>
    </row>
    <row r="641" spans="2:6" x14ac:dyDescent="0.25">
      <c r="B641" s="107"/>
      <c r="C641" s="109"/>
      <c r="D641" s="110"/>
      <c r="E641" s="110"/>
      <c r="F641" s="109"/>
    </row>
    <row r="642" spans="2:6" x14ac:dyDescent="0.25">
      <c r="B642" s="107"/>
      <c r="C642" s="109"/>
      <c r="D642" s="110"/>
      <c r="E642" s="110"/>
      <c r="F642" s="109"/>
    </row>
    <row r="643" spans="2:6" x14ac:dyDescent="0.25">
      <c r="B643" s="107"/>
      <c r="C643" s="109"/>
      <c r="D643" s="110"/>
      <c r="E643" s="110"/>
      <c r="F643" s="109"/>
    </row>
    <row r="644" spans="2:6" x14ac:dyDescent="0.25">
      <c r="B644" s="107"/>
      <c r="C644" s="109"/>
      <c r="D644" s="110"/>
      <c r="E644" s="110"/>
      <c r="F644" s="109"/>
    </row>
    <row r="645" spans="2:6" x14ac:dyDescent="0.25">
      <c r="B645" s="107"/>
      <c r="C645" s="109"/>
      <c r="D645" s="110"/>
      <c r="E645" s="110"/>
      <c r="F645" s="109"/>
    </row>
    <row r="646" spans="2:6" x14ac:dyDescent="0.25">
      <c r="B646" s="107"/>
      <c r="C646" s="109"/>
      <c r="D646" s="110"/>
      <c r="E646" s="110"/>
      <c r="F646" s="109"/>
    </row>
    <row r="647" spans="2:6" x14ac:dyDescent="0.25">
      <c r="B647" s="107"/>
      <c r="C647" s="109"/>
      <c r="D647" s="110"/>
      <c r="E647" s="110"/>
      <c r="F647" s="109"/>
    </row>
    <row r="648" spans="2:6" x14ac:dyDescent="0.25">
      <c r="B648" s="107"/>
      <c r="C648" s="109"/>
      <c r="D648" s="110"/>
      <c r="E648" s="110"/>
      <c r="F648" s="109"/>
    </row>
    <row r="649" spans="2:6" x14ac:dyDescent="0.25">
      <c r="B649" s="107"/>
      <c r="C649" s="109"/>
      <c r="D649" s="110"/>
      <c r="E649" s="110"/>
      <c r="F649" s="109"/>
    </row>
    <row r="650" spans="2:6" x14ac:dyDescent="0.25">
      <c r="B650" s="107"/>
      <c r="C650" s="109"/>
      <c r="D650" s="110"/>
      <c r="E650" s="110"/>
      <c r="F650" s="109"/>
    </row>
    <row r="651" spans="2:6" x14ac:dyDescent="0.25">
      <c r="B651" s="107"/>
      <c r="C651" s="109"/>
      <c r="D651" s="110"/>
      <c r="E651" s="110"/>
      <c r="F651" s="109"/>
    </row>
    <row r="652" spans="2:6" x14ac:dyDescent="0.25">
      <c r="B652" s="107"/>
      <c r="C652" s="109"/>
      <c r="D652" s="110"/>
      <c r="E652" s="110"/>
      <c r="F652" s="109"/>
    </row>
    <row r="653" spans="2:6" x14ac:dyDescent="0.25">
      <c r="B653" s="107"/>
      <c r="C653" s="109"/>
      <c r="D653" s="110"/>
      <c r="E653" s="110"/>
      <c r="F653" s="109"/>
    </row>
    <row r="654" spans="2:6" x14ac:dyDescent="0.25">
      <c r="B654" s="107"/>
      <c r="C654" s="109"/>
      <c r="D654" s="110"/>
      <c r="E654" s="110"/>
      <c r="F654" s="109"/>
    </row>
    <row r="655" spans="2:6" x14ac:dyDescent="0.25">
      <c r="B655" s="107"/>
      <c r="C655" s="109"/>
      <c r="D655" s="110"/>
      <c r="E655" s="110"/>
      <c r="F655" s="109"/>
    </row>
    <row r="656" spans="2:6" x14ac:dyDescent="0.25">
      <c r="B656" s="107"/>
      <c r="C656" s="109"/>
      <c r="D656" s="110"/>
      <c r="E656" s="110"/>
      <c r="F656" s="109"/>
    </row>
    <row r="657" spans="2:6" x14ac:dyDescent="0.25">
      <c r="B657" s="107"/>
      <c r="C657" s="109"/>
      <c r="D657" s="110"/>
      <c r="E657" s="110"/>
      <c r="F657" s="109"/>
    </row>
    <row r="658" spans="2:6" x14ac:dyDescent="0.25">
      <c r="B658" s="107"/>
      <c r="C658" s="109"/>
      <c r="D658" s="110"/>
      <c r="E658" s="110"/>
      <c r="F658" s="109"/>
    </row>
    <row r="659" spans="2:6" x14ac:dyDescent="0.25">
      <c r="B659" s="107"/>
      <c r="C659" s="109"/>
      <c r="D659" s="110"/>
      <c r="E659" s="110"/>
      <c r="F659" s="109"/>
    </row>
    <row r="660" spans="2:6" x14ac:dyDescent="0.25">
      <c r="B660" s="107"/>
      <c r="C660" s="109"/>
      <c r="D660" s="110"/>
      <c r="E660" s="110"/>
      <c r="F660" s="109"/>
    </row>
    <row r="661" spans="2:6" x14ac:dyDescent="0.25">
      <c r="B661" s="107"/>
      <c r="C661" s="109"/>
      <c r="D661" s="110"/>
      <c r="E661" s="110"/>
      <c r="F661" s="109"/>
    </row>
    <row r="662" spans="2:6" x14ac:dyDescent="0.25">
      <c r="B662" s="107"/>
      <c r="C662" s="109"/>
      <c r="D662" s="110"/>
      <c r="E662" s="110"/>
      <c r="F662" s="109"/>
    </row>
    <row r="663" spans="2:6" x14ac:dyDescent="0.25">
      <c r="B663" s="107"/>
      <c r="C663" s="109"/>
      <c r="D663" s="110"/>
      <c r="E663" s="110"/>
      <c r="F663" s="109"/>
    </row>
    <row r="664" spans="2:6" x14ac:dyDescent="0.25">
      <c r="B664" s="107"/>
      <c r="C664" s="109"/>
      <c r="D664" s="110"/>
      <c r="E664" s="110"/>
      <c r="F664" s="109"/>
    </row>
    <row r="665" spans="2:6" x14ac:dyDescent="0.25">
      <c r="B665" s="107"/>
      <c r="C665" s="109"/>
      <c r="D665" s="110"/>
      <c r="E665" s="110"/>
      <c r="F665" s="109"/>
    </row>
    <row r="666" spans="2:6" x14ac:dyDescent="0.25">
      <c r="B666" s="107"/>
      <c r="C666" s="109"/>
      <c r="D666" s="110"/>
      <c r="E666" s="110"/>
      <c r="F666" s="109"/>
    </row>
    <row r="667" spans="2:6" x14ac:dyDescent="0.25">
      <c r="B667" s="107"/>
      <c r="C667" s="109"/>
      <c r="D667" s="110"/>
      <c r="E667" s="110"/>
      <c r="F667" s="109"/>
    </row>
    <row r="668" spans="2:6" x14ac:dyDescent="0.25">
      <c r="B668" s="107"/>
      <c r="C668" s="109"/>
      <c r="D668" s="110"/>
      <c r="E668" s="110"/>
      <c r="F668" s="109"/>
    </row>
    <row r="669" spans="2:6" x14ac:dyDescent="0.25">
      <c r="B669" s="107"/>
      <c r="C669" s="109"/>
      <c r="D669" s="110"/>
      <c r="E669" s="110"/>
      <c r="F669" s="109"/>
    </row>
    <row r="670" spans="2:6" x14ac:dyDescent="0.25">
      <c r="B670" s="107"/>
      <c r="C670" s="109"/>
      <c r="D670" s="110"/>
      <c r="E670" s="110"/>
      <c r="F670" s="109"/>
    </row>
    <row r="671" spans="2:6" x14ac:dyDescent="0.25">
      <c r="B671" s="107"/>
      <c r="C671" s="109"/>
      <c r="D671" s="110"/>
      <c r="E671" s="110"/>
      <c r="F671" s="109"/>
    </row>
    <row r="672" spans="2:6" x14ac:dyDescent="0.25">
      <c r="B672" s="107"/>
      <c r="C672" s="109"/>
      <c r="D672" s="110"/>
      <c r="E672" s="110"/>
      <c r="F672" s="109"/>
    </row>
    <row r="673" spans="2:6" x14ac:dyDescent="0.25">
      <c r="B673" s="107"/>
      <c r="C673" s="109"/>
      <c r="D673" s="110"/>
      <c r="E673" s="110"/>
      <c r="F673" s="109"/>
    </row>
    <row r="674" spans="2:6" x14ac:dyDescent="0.25">
      <c r="B674" s="107"/>
      <c r="C674" s="109"/>
      <c r="D674" s="110"/>
      <c r="E674" s="110"/>
      <c r="F674" s="109"/>
    </row>
    <row r="675" spans="2:6" x14ac:dyDescent="0.25">
      <c r="B675" s="107"/>
      <c r="C675" s="109"/>
      <c r="D675" s="110"/>
      <c r="E675" s="110"/>
      <c r="F675" s="109"/>
    </row>
    <row r="676" spans="2:6" x14ac:dyDescent="0.25">
      <c r="B676" s="107"/>
      <c r="C676" s="109"/>
      <c r="D676" s="110"/>
      <c r="E676" s="110"/>
      <c r="F676" s="109"/>
    </row>
    <row r="677" spans="2:6" x14ac:dyDescent="0.25">
      <c r="B677" s="107"/>
      <c r="C677" s="109"/>
      <c r="D677" s="110"/>
      <c r="E677" s="110"/>
      <c r="F677" s="109"/>
    </row>
    <row r="678" spans="2:6" x14ac:dyDescent="0.25">
      <c r="B678" s="107"/>
      <c r="C678" s="109"/>
      <c r="D678" s="110"/>
      <c r="E678" s="110"/>
      <c r="F678" s="109"/>
    </row>
    <row r="679" spans="2:6" x14ac:dyDescent="0.25">
      <c r="B679" s="107"/>
      <c r="C679" s="109"/>
      <c r="D679" s="110"/>
      <c r="E679" s="110"/>
      <c r="F679" s="109"/>
    </row>
    <row r="680" spans="2:6" x14ac:dyDescent="0.25">
      <c r="B680" s="107"/>
      <c r="C680" s="109"/>
      <c r="D680" s="110"/>
      <c r="E680" s="110"/>
      <c r="F680" s="109"/>
    </row>
    <row r="681" spans="2:6" x14ac:dyDescent="0.25">
      <c r="B681" s="107"/>
      <c r="C681" s="109"/>
      <c r="D681" s="110"/>
      <c r="E681" s="110"/>
      <c r="F681" s="109"/>
    </row>
    <row r="682" spans="2:6" x14ac:dyDescent="0.25">
      <c r="B682" s="107"/>
      <c r="C682" s="109"/>
      <c r="D682" s="110"/>
      <c r="E682" s="110"/>
      <c r="F682" s="109"/>
    </row>
    <row r="683" spans="2:6" x14ac:dyDescent="0.25">
      <c r="B683" s="107"/>
      <c r="C683" s="109"/>
      <c r="D683" s="110"/>
      <c r="E683" s="110"/>
      <c r="F683" s="109"/>
    </row>
    <row r="684" spans="2:6" x14ac:dyDescent="0.25">
      <c r="B684" s="107"/>
      <c r="C684" s="109"/>
      <c r="D684" s="110"/>
      <c r="E684" s="110"/>
      <c r="F684" s="109"/>
    </row>
    <row r="685" spans="2:6" x14ac:dyDescent="0.25">
      <c r="B685" s="107"/>
      <c r="C685" s="109"/>
      <c r="D685" s="110"/>
      <c r="E685" s="110"/>
      <c r="F685" s="109"/>
    </row>
    <row r="686" spans="2:6" x14ac:dyDescent="0.25">
      <c r="B686" s="107"/>
      <c r="C686" s="109"/>
      <c r="D686" s="110"/>
      <c r="E686" s="110"/>
      <c r="F686" s="109"/>
    </row>
    <row r="687" spans="2:6" x14ac:dyDescent="0.25">
      <c r="B687" s="107"/>
      <c r="C687" s="109"/>
      <c r="D687" s="110"/>
      <c r="E687" s="110"/>
      <c r="F687" s="109"/>
    </row>
    <row r="688" spans="2:6" x14ac:dyDescent="0.25">
      <c r="B688" s="107"/>
      <c r="C688" s="109"/>
      <c r="D688" s="110"/>
      <c r="E688" s="110"/>
      <c r="F688" s="109"/>
    </row>
    <row r="689" spans="2:6" x14ac:dyDescent="0.25">
      <c r="B689" s="107"/>
      <c r="C689" s="109"/>
      <c r="D689" s="110"/>
      <c r="E689" s="110"/>
      <c r="F689" s="109"/>
    </row>
    <row r="690" spans="2:6" x14ac:dyDescent="0.25">
      <c r="B690" s="107"/>
      <c r="C690" s="109"/>
      <c r="D690" s="110"/>
      <c r="E690" s="110"/>
      <c r="F690" s="109"/>
    </row>
    <row r="691" spans="2:6" x14ac:dyDescent="0.25">
      <c r="B691" s="107"/>
      <c r="C691" s="109"/>
      <c r="D691" s="110"/>
      <c r="E691" s="110"/>
      <c r="F691" s="109"/>
    </row>
    <row r="692" spans="2:6" x14ac:dyDescent="0.25">
      <c r="B692" s="107"/>
      <c r="C692" s="109"/>
      <c r="D692" s="110"/>
      <c r="E692" s="110"/>
      <c r="F692" s="109"/>
    </row>
    <row r="693" spans="2:6" x14ac:dyDescent="0.25">
      <c r="B693" s="107"/>
      <c r="C693" s="109"/>
      <c r="D693" s="110"/>
      <c r="E693" s="110"/>
      <c r="F693" s="109"/>
    </row>
    <row r="694" spans="2:6" x14ac:dyDescent="0.25">
      <c r="B694" s="107"/>
      <c r="C694" s="109"/>
      <c r="D694" s="110"/>
      <c r="E694" s="110"/>
      <c r="F694" s="109"/>
    </row>
    <row r="695" spans="2:6" x14ac:dyDescent="0.25">
      <c r="B695" s="107"/>
      <c r="C695" s="109"/>
      <c r="D695" s="110"/>
      <c r="E695" s="110"/>
      <c r="F695" s="109"/>
    </row>
    <row r="696" spans="2:6" x14ac:dyDescent="0.25">
      <c r="B696" s="107"/>
      <c r="C696" s="109"/>
      <c r="D696" s="110"/>
      <c r="E696" s="110"/>
      <c r="F696" s="109"/>
    </row>
    <row r="697" spans="2:6" x14ac:dyDescent="0.25">
      <c r="B697" s="107"/>
      <c r="C697" s="109"/>
      <c r="D697" s="110"/>
      <c r="E697" s="110"/>
      <c r="F697" s="109"/>
    </row>
    <row r="698" spans="2:6" x14ac:dyDescent="0.25">
      <c r="B698" s="107"/>
      <c r="C698" s="109"/>
      <c r="D698" s="110"/>
      <c r="E698" s="110"/>
      <c r="F698" s="109"/>
    </row>
    <row r="699" spans="2:6" x14ac:dyDescent="0.25">
      <c r="B699" s="107"/>
      <c r="C699" s="109"/>
      <c r="D699" s="110"/>
      <c r="E699" s="110"/>
      <c r="F699" s="109"/>
    </row>
    <row r="700" spans="2:6" x14ac:dyDescent="0.25">
      <c r="B700" s="107"/>
      <c r="C700" s="109"/>
      <c r="D700" s="110"/>
      <c r="E700" s="110"/>
      <c r="F700" s="109"/>
    </row>
    <row r="701" spans="2:6" x14ac:dyDescent="0.25">
      <c r="B701" s="107"/>
      <c r="C701" s="109"/>
      <c r="D701" s="110"/>
      <c r="E701" s="110"/>
      <c r="F701" s="109"/>
    </row>
    <row r="702" spans="2:6" x14ac:dyDescent="0.25">
      <c r="B702" s="107"/>
      <c r="C702" s="109"/>
      <c r="D702" s="110"/>
      <c r="E702" s="110"/>
      <c r="F702" s="109"/>
    </row>
    <row r="703" spans="2:6" x14ac:dyDescent="0.25">
      <c r="B703" s="107"/>
      <c r="C703" s="109"/>
      <c r="D703" s="110"/>
      <c r="E703" s="110"/>
      <c r="F703" s="109"/>
    </row>
    <row r="704" spans="2:6" x14ac:dyDescent="0.25">
      <c r="B704" s="107"/>
      <c r="C704" s="109"/>
      <c r="D704" s="110"/>
      <c r="E704" s="110"/>
      <c r="F704" s="109"/>
    </row>
    <row r="705" spans="2:6" x14ac:dyDescent="0.25">
      <c r="B705" s="107"/>
      <c r="C705" s="109"/>
      <c r="D705" s="110"/>
      <c r="E705" s="110"/>
      <c r="F705" s="109"/>
    </row>
    <row r="706" spans="2:6" x14ac:dyDescent="0.25">
      <c r="B706" s="107"/>
      <c r="C706" s="109"/>
      <c r="D706" s="110"/>
      <c r="E706" s="110"/>
      <c r="F706" s="109"/>
    </row>
    <row r="707" spans="2:6" x14ac:dyDescent="0.25">
      <c r="B707" s="107"/>
      <c r="C707" s="109"/>
      <c r="D707" s="110"/>
      <c r="E707" s="110"/>
      <c r="F707" s="109"/>
    </row>
    <row r="708" spans="2:6" x14ac:dyDescent="0.25">
      <c r="B708" s="107"/>
      <c r="C708" s="109"/>
      <c r="D708" s="110"/>
      <c r="E708" s="110"/>
      <c r="F708" s="109"/>
    </row>
    <row r="709" spans="2:6" x14ac:dyDescent="0.25">
      <c r="B709" s="107"/>
      <c r="C709" s="109"/>
      <c r="D709" s="110"/>
      <c r="E709" s="110"/>
      <c r="F709" s="109"/>
    </row>
    <row r="710" spans="2:6" x14ac:dyDescent="0.25">
      <c r="B710" s="107"/>
      <c r="C710" s="109"/>
      <c r="D710" s="110"/>
      <c r="E710" s="110"/>
      <c r="F710" s="109"/>
    </row>
    <row r="711" spans="2:6" x14ac:dyDescent="0.25">
      <c r="B711" s="107"/>
      <c r="C711" s="109"/>
      <c r="D711" s="110"/>
      <c r="E711" s="110"/>
      <c r="F711" s="109"/>
    </row>
    <row r="712" spans="2:6" x14ac:dyDescent="0.25">
      <c r="B712" s="107"/>
      <c r="C712" s="109"/>
      <c r="D712" s="110"/>
      <c r="E712" s="110"/>
      <c r="F712" s="109"/>
    </row>
    <row r="713" spans="2:6" x14ac:dyDescent="0.25">
      <c r="B713" s="107"/>
      <c r="C713" s="109"/>
      <c r="D713" s="110"/>
      <c r="E713" s="110"/>
      <c r="F713" s="109"/>
    </row>
    <row r="714" spans="2:6" x14ac:dyDescent="0.25">
      <c r="B714" s="107"/>
      <c r="C714" s="109"/>
      <c r="D714" s="110"/>
      <c r="E714" s="110"/>
      <c r="F714" s="109"/>
    </row>
    <row r="715" spans="2:6" x14ac:dyDescent="0.25">
      <c r="B715" s="107"/>
      <c r="C715" s="109"/>
      <c r="D715" s="110"/>
      <c r="E715" s="110"/>
      <c r="F715" s="109"/>
    </row>
    <row r="716" spans="2:6" x14ac:dyDescent="0.25">
      <c r="B716" s="107"/>
      <c r="C716" s="109"/>
      <c r="D716" s="110"/>
      <c r="E716" s="110"/>
      <c r="F716" s="109"/>
    </row>
    <row r="717" spans="2:6" x14ac:dyDescent="0.25">
      <c r="B717" s="107"/>
      <c r="C717" s="109"/>
      <c r="D717" s="110"/>
      <c r="E717" s="110"/>
      <c r="F717" s="109"/>
    </row>
    <row r="718" spans="2:6" x14ac:dyDescent="0.25">
      <c r="B718" s="107"/>
      <c r="C718" s="109"/>
      <c r="D718" s="110"/>
      <c r="E718" s="110"/>
      <c r="F718" s="109"/>
    </row>
    <row r="719" spans="2:6" x14ac:dyDescent="0.25">
      <c r="B719" s="107"/>
      <c r="C719" s="109"/>
      <c r="D719" s="110"/>
      <c r="E719" s="110"/>
      <c r="F719" s="109"/>
    </row>
    <row r="720" spans="2:6" x14ac:dyDescent="0.25">
      <c r="B720" s="107"/>
      <c r="C720" s="109"/>
      <c r="D720" s="110"/>
      <c r="E720" s="110"/>
      <c r="F720" s="109"/>
    </row>
    <row r="721" spans="2:6" x14ac:dyDescent="0.25">
      <c r="B721" s="107"/>
      <c r="C721" s="109"/>
      <c r="D721" s="110"/>
      <c r="E721" s="110"/>
      <c r="F721" s="109"/>
    </row>
    <row r="722" spans="2:6" x14ac:dyDescent="0.25">
      <c r="B722" s="107"/>
      <c r="C722" s="109"/>
      <c r="D722" s="110"/>
      <c r="E722" s="110"/>
      <c r="F722" s="109"/>
    </row>
    <row r="723" spans="2:6" x14ac:dyDescent="0.25">
      <c r="B723" s="107"/>
      <c r="C723" s="109"/>
      <c r="D723" s="110"/>
      <c r="E723" s="110"/>
      <c r="F723" s="109"/>
    </row>
    <row r="724" spans="2:6" x14ac:dyDescent="0.25">
      <c r="B724" s="107"/>
      <c r="C724" s="109"/>
      <c r="D724" s="110"/>
      <c r="E724" s="110"/>
      <c r="F724" s="109"/>
    </row>
    <row r="725" spans="2:6" x14ac:dyDescent="0.25">
      <c r="B725" s="107"/>
      <c r="C725" s="109"/>
      <c r="D725" s="110"/>
      <c r="E725" s="110"/>
      <c r="F725" s="109"/>
    </row>
    <row r="726" spans="2:6" x14ac:dyDescent="0.25">
      <c r="B726" s="107"/>
      <c r="C726" s="109"/>
      <c r="D726" s="110"/>
      <c r="E726" s="110"/>
      <c r="F726" s="109"/>
    </row>
    <row r="727" spans="2:6" x14ac:dyDescent="0.25">
      <c r="B727" s="107"/>
      <c r="C727" s="109"/>
      <c r="D727" s="110"/>
      <c r="E727" s="110"/>
      <c r="F727" s="109"/>
    </row>
    <row r="728" spans="2:6" x14ac:dyDescent="0.25">
      <c r="B728" s="107"/>
      <c r="C728" s="109"/>
      <c r="D728" s="110"/>
      <c r="E728" s="110"/>
      <c r="F728" s="109"/>
    </row>
    <row r="729" spans="2:6" x14ac:dyDescent="0.25">
      <c r="B729" s="107"/>
      <c r="C729" s="109"/>
      <c r="D729" s="110"/>
      <c r="E729" s="110"/>
      <c r="F729" s="109"/>
    </row>
    <row r="730" spans="2:6" x14ac:dyDescent="0.25">
      <c r="B730" s="107"/>
      <c r="C730" s="109"/>
      <c r="D730" s="110"/>
      <c r="E730" s="110"/>
      <c r="F730" s="109"/>
    </row>
    <row r="731" spans="2:6" x14ac:dyDescent="0.25">
      <c r="B731" s="107"/>
      <c r="C731" s="109"/>
      <c r="D731" s="110"/>
      <c r="E731" s="110"/>
      <c r="F731" s="109"/>
    </row>
    <row r="732" spans="2:6" x14ac:dyDescent="0.25">
      <c r="B732" s="107"/>
      <c r="C732" s="109"/>
      <c r="D732" s="110"/>
      <c r="E732" s="110"/>
      <c r="F732" s="109"/>
    </row>
    <row r="733" spans="2:6" x14ac:dyDescent="0.25">
      <c r="B733" s="107"/>
      <c r="C733" s="109"/>
      <c r="D733" s="110"/>
      <c r="E733" s="110"/>
      <c r="F733" s="109"/>
    </row>
    <row r="734" spans="2:6" x14ac:dyDescent="0.25">
      <c r="B734" s="107"/>
      <c r="C734" s="109"/>
      <c r="D734" s="110"/>
      <c r="E734" s="110"/>
      <c r="F734" s="109"/>
    </row>
    <row r="735" spans="2:6" x14ac:dyDescent="0.25">
      <c r="B735" s="107"/>
      <c r="C735" s="109"/>
      <c r="D735" s="110"/>
      <c r="E735" s="110"/>
      <c r="F735" s="109"/>
    </row>
    <row r="736" spans="2:6" x14ac:dyDescent="0.25">
      <c r="B736" s="107"/>
      <c r="C736" s="109"/>
      <c r="D736" s="110"/>
      <c r="E736" s="110"/>
      <c r="F736" s="109"/>
    </row>
    <row r="737" spans="2:6" x14ac:dyDescent="0.25">
      <c r="B737" s="107"/>
      <c r="C737" s="109"/>
      <c r="D737" s="110"/>
      <c r="E737" s="110"/>
      <c r="F737" s="109"/>
    </row>
    <row r="738" spans="2:6" x14ac:dyDescent="0.25">
      <c r="B738" s="107"/>
      <c r="C738" s="109"/>
      <c r="D738" s="110"/>
      <c r="E738" s="110"/>
      <c r="F738" s="109"/>
    </row>
    <row r="739" spans="2:6" x14ac:dyDescent="0.25">
      <c r="B739" s="107"/>
      <c r="C739" s="109"/>
      <c r="D739" s="110"/>
      <c r="E739" s="110"/>
      <c r="F739" s="109"/>
    </row>
    <row r="740" spans="2:6" x14ac:dyDescent="0.25">
      <c r="B740" s="107"/>
      <c r="C740" s="109"/>
      <c r="D740" s="110"/>
      <c r="E740" s="110"/>
      <c r="F740" s="109"/>
    </row>
    <row r="741" spans="2:6" x14ac:dyDescent="0.25">
      <c r="B741" s="107"/>
      <c r="C741" s="109"/>
      <c r="D741" s="110"/>
      <c r="E741" s="110"/>
      <c r="F741" s="109"/>
    </row>
    <row r="742" spans="2:6" x14ac:dyDescent="0.25">
      <c r="B742" s="107"/>
      <c r="C742" s="109"/>
      <c r="D742" s="110"/>
      <c r="E742" s="110"/>
      <c r="F742" s="109"/>
    </row>
    <row r="743" spans="2:6" x14ac:dyDescent="0.25">
      <c r="B743" s="107"/>
      <c r="C743" s="109"/>
      <c r="D743" s="110"/>
      <c r="E743" s="110"/>
      <c r="F743" s="109"/>
    </row>
    <row r="744" spans="2:6" x14ac:dyDescent="0.25">
      <c r="B744" s="107"/>
      <c r="C744" s="109"/>
      <c r="D744" s="110"/>
      <c r="E744" s="110"/>
      <c r="F744" s="109"/>
    </row>
    <row r="745" spans="2:6" x14ac:dyDescent="0.25">
      <c r="B745" s="107"/>
      <c r="C745" s="109"/>
      <c r="D745" s="110"/>
      <c r="E745" s="110"/>
      <c r="F745" s="109"/>
    </row>
    <row r="746" spans="2:6" x14ac:dyDescent="0.25">
      <c r="B746" s="107"/>
      <c r="C746" s="109"/>
      <c r="D746" s="110"/>
      <c r="E746" s="110"/>
      <c r="F746" s="109"/>
    </row>
    <row r="747" spans="2:6" x14ac:dyDescent="0.25">
      <c r="B747" s="107"/>
      <c r="C747" s="109"/>
      <c r="D747" s="110"/>
      <c r="E747" s="110"/>
      <c r="F747" s="109"/>
    </row>
    <row r="748" spans="2:6" x14ac:dyDescent="0.25">
      <c r="B748" s="107"/>
      <c r="C748" s="109"/>
      <c r="D748" s="110"/>
      <c r="E748" s="110"/>
      <c r="F748" s="109"/>
    </row>
    <row r="749" spans="2:6" x14ac:dyDescent="0.25">
      <c r="B749" s="107"/>
      <c r="C749" s="109"/>
      <c r="D749" s="110"/>
      <c r="E749" s="110"/>
      <c r="F749" s="109"/>
    </row>
    <row r="750" spans="2:6" x14ac:dyDescent="0.25">
      <c r="B750" s="107"/>
      <c r="C750" s="109"/>
      <c r="D750" s="110"/>
      <c r="E750" s="110"/>
      <c r="F750" s="109"/>
    </row>
    <row r="751" spans="2:6" x14ac:dyDescent="0.25">
      <c r="B751" s="107"/>
      <c r="C751" s="109"/>
      <c r="D751" s="110"/>
      <c r="E751" s="110"/>
      <c r="F751" s="109"/>
    </row>
    <row r="752" spans="2:6" x14ac:dyDescent="0.25">
      <c r="B752" s="107"/>
      <c r="C752" s="109"/>
      <c r="D752" s="110"/>
      <c r="E752" s="110"/>
      <c r="F752" s="109"/>
    </row>
    <row r="753" spans="2:6" x14ac:dyDescent="0.25">
      <c r="B753" s="107"/>
      <c r="C753" s="109"/>
      <c r="D753" s="110"/>
      <c r="E753" s="110"/>
      <c r="F753" s="109"/>
    </row>
    <row r="754" spans="2:6" x14ac:dyDescent="0.25">
      <c r="B754" s="107"/>
      <c r="C754" s="109"/>
      <c r="D754" s="110"/>
      <c r="E754" s="110"/>
      <c r="F754" s="109"/>
    </row>
    <row r="755" spans="2:6" x14ac:dyDescent="0.25">
      <c r="B755" s="107"/>
      <c r="C755" s="109"/>
      <c r="D755" s="110"/>
      <c r="E755" s="110"/>
      <c r="F755" s="109"/>
    </row>
    <row r="756" spans="2:6" x14ac:dyDescent="0.25">
      <c r="B756" s="107"/>
      <c r="C756" s="109"/>
      <c r="D756" s="110"/>
      <c r="E756" s="110"/>
      <c r="F756" s="109"/>
    </row>
    <row r="757" spans="2:6" x14ac:dyDescent="0.25">
      <c r="B757" s="107"/>
      <c r="C757" s="109"/>
      <c r="D757" s="110"/>
      <c r="E757" s="110"/>
      <c r="F757" s="109"/>
    </row>
    <row r="758" spans="2:6" x14ac:dyDescent="0.25">
      <c r="B758" s="107"/>
      <c r="C758" s="109"/>
      <c r="D758" s="110"/>
      <c r="E758" s="110"/>
      <c r="F758" s="109"/>
    </row>
    <row r="759" spans="2:6" x14ac:dyDescent="0.25">
      <c r="B759" s="107"/>
      <c r="C759" s="109"/>
      <c r="D759" s="110"/>
      <c r="E759" s="110"/>
      <c r="F759" s="109"/>
    </row>
    <row r="760" spans="2:6" x14ac:dyDescent="0.25">
      <c r="B760" s="107"/>
      <c r="C760" s="109"/>
      <c r="D760" s="110"/>
      <c r="E760" s="110"/>
      <c r="F760" s="109"/>
    </row>
    <row r="761" spans="2:6" x14ac:dyDescent="0.25">
      <c r="B761" s="107"/>
      <c r="C761" s="109"/>
      <c r="D761" s="110"/>
      <c r="E761" s="110"/>
      <c r="F761" s="109"/>
    </row>
    <row r="762" spans="2:6" x14ac:dyDescent="0.25">
      <c r="B762" s="107"/>
      <c r="C762" s="109"/>
      <c r="D762" s="110"/>
      <c r="E762" s="110"/>
      <c r="F762" s="109"/>
    </row>
    <row r="763" spans="2:6" x14ac:dyDescent="0.25">
      <c r="B763" s="107"/>
      <c r="C763" s="109"/>
      <c r="D763" s="110"/>
      <c r="E763" s="110"/>
      <c r="F763" s="109"/>
    </row>
    <row r="764" spans="2:6" x14ac:dyDescent="0.25">
      <c r="B764" s="107"/>
      <c r="C764" s="109"/>
      <c r="D764" s="110"/>
      <c r="E764" s="110"/>
      <c r="F764" s="109"/>
    </row>
    <row r="765" spans="2:6" x14ac:dyDescent="0.25">
      <c r="B765" s="107"/>
      <c r="C765" s="109"/>
      <c r="D765" s="110"/>
      <c r="E765" s="110"/>
      <c r="F765" s="109"/>
    </row>
    <row r="766" spans="2:6" x14ac:dyDescent="0.25">
      <c r="B766" s="107"/>
      <c r="C766" s="109"/>
      <c r="D766" s="110"/>
      <c r="E766" s="110"/>
      <c r="F766" s="109"/>
    </row>
    <row r="767" spans="2:6" x14ac:dyDescent="0.25">
      <c r="B767" s="107"/>
      <c r="C767" s="109"/>
      <c r="D767" s="110"/>
      <c r="E767" s="110"/>
      <c r="F767" s="109"/>
    </row>
    <row r="768" spans="2:6" x14ac:dyDescent="0.25">
      <c r="B768" s="107"/>
      <c r="C768" s="109"/>
      <c r="D768" s="110"/>
      <c r="E768" s="110"/>
      <c r="F768" s="109"/>
    </row>
    <row r="769" spans="2:6" x14ac:dyDescent="0.25">
      <c r="B769" s="107"/>
      <c r="C769" s="109"/>
      <c r="D769" s="110"/>
      <c r="E769" s="110"/>
      <c r="F769" s="109"/>
    </row>
    <row r="770" spans="2:6" x14ac:dyDescent="0.25">
      <c r="B770" s="107"/>
      <c r="C770" s="109"/>
      <c r="D770" s="110"/>
      <c r="E770" s="110"/>
      <c r="F770" s="109"/>
    </row>
    <row r="771" spans="2:6" x14ac:dyDescent="0.25">
      <c r="B771" s="107"/>
      <c r="C771" s="109"/>
      <c r="D771" s="110"/>
      <c r="E771" s="110"/>
      <c r="F771" s="109"/>
    </row>
    <row r="772" spans="2:6" x14ac:dyDescent="0.25">
      <c r="B772" s="107"/>
      <c r="C772" s="109"/>
      <c r="D772" s="110"/>
      <c r="E772" s="110"/>
      <c r="F772" s="109"/>
    </row>
    <row r="773" spans="2:6" x14ac:dyDescent="0.25">
      <c r="B773" s="107"/>
      <c r="C773" s="109"/>
      <c r="D773" s="110"/>
      <c r="E773" s="110"/>
      <c r="F773" s="109"/>
    </row>
    <row r="774" spans="2:6" x14ac:dyDescent="0.25">
      <c r="B774" s="107"/>
      <c r="C774" s="109"/>
      <c r="D774" s="110"/>
      <c r="E774" s="110"/>
      <c r="F774" s="109"/>
    </row>
    <row r="775" spans="2:6" x14ac:dyDescent="0.25">
      <c r="B775" s="107"/>
      <c r="C775" s="109"/>
      <c r="D775" s="110"/>
      <c r="E775" s="110"/>
      <c r="F775" s="109"/>
    </row>
    <row r="776" spans="2:6" x14ac:dyDescent="0.25">
      <c r="B776" s="107"/>
      <c r="C776" s="109"/>
      <c r="D776" s="110"/>
      <c r="E776" s="110"/>
      <c r="F776" s="109"/>
    </row>
    <row r="777" spans="2:6" x14ac:dyDescent="0.25">
      <c r="B777" s="107"/>
      <c r="C777" s="109"/>
      <c r="D777" s="110"/>
      <c r="E777" s="110"/>
      <c r="F777" s="109"/>
    </row>
    <row r="778" spans="2:6" x14ac:dyDescent="0.25">
      <c r="B778" s="107"/>
      <c r="C778" s="109"/>
      <c r="D778" s="110"/>
      <c r="E778" s="110"/>
      <c r="F778" s="109"/>
    </row>
    <row r="779" spans="2:6" x14ac:dyDescent="0.25">
      <c r="B779" s="107"/>
      <c r="C779" s="109"/>
      <c r="D779" s="110"/>
      <c r="E779" s="110"/>
      <c r="F779" s="109"/>
    </row>
    <row r="780" spans="2:6" x14ac:dyDescent="0.25">
      <c r="B780" s="107"/>
      <c r="C780" s="109"/>
      <c r="D780" s="110"/>
      <c r="E780" s="110"/>
      <c r="F780" s="109"/>
    </row>
    <row r="781" spans="2:6" x14ac:dyDescent="0.25">
      <c r="B781" s="107"/>
      <c r="C781" s="109"/>
      <c r="D781" s="110"/>
      <c r="E781" s="110"/>
      <c r="F781" s="109"/>
    </row>
    <row r="782" spans="2:6" x14ac:dyDescent="0.25">
      <c r="B782" s="107"/>
      <c r="C782" s="109"/>
      <c r="D782" s="110"/>
      <c r="E782" s="110"/>
      <c r="F782" s="109"/>
    </row>
    <row r="783" spans="2:6" x14ac:dyDescent="0.25">
      <c r="B783" s="107"/>
      <c r="C783" s="109"/>
      <c r="D783" s="110"/>
      <c r="E783" s="110"/>
      <c r="F783" s="109"/>
    </row>
    <row r="784" spans="2:6" x14ac:dyDescent="0.25">
      <c r="B784" s="107"/>
      <c r="C784" s="109"/>
      <c r="D784" s="110"/>
      <c r="E784" s="110"/>
      <c r="F784" s="109"/>
    </row>
    <row r="785" spans="2:6" x14ac:dyDescent="0.25">
      <c r="B785" s="107"/>
      <c r="C785" s="109"/>
      <c r="D785" s="110"/>
      <c r="E785" s="110"/>
      <c r="F785" s="109"/>
    </row>
    <row r="786" spans="2:6" x14ac:dyDescent="0.25">
      <c r="B786" s="107"/>
      <c r="C786" s="109"/>
      <c r="D786" s="110"/>
      <c r="E786" s="110"/>
      <c r="F786" s="109"/>
    </row>
    <row r="787" spans="2:6" x14ac:dyDescent="0.25">
      <c r="B787" s="107"/>
      <c r="C787" s="109"/>
      <c r="D787" s="110"/>
      <c r="E787" s="110"/>
      <c r="F787" s="109"/>
    </row>
    <row r="788" spans="2:6" x14ac:dyDescent="0.25">
      <c r="B788" s="107"/>
      <c r="C788" s="109"/>
      <c r="D788" s="110"/>
      <c r="E788" s="110"/>
      <c r="F788" s="109"/>
    </row>
    <row r="789" spans="2:6" x14ac:dyDescent="0.25">
      <c r="B789" s="107"/>
      <c r="C789" s="109"/>
      <c r="D789" s="110"/>
      <c r="E789" s="110"/>
      <c r="F789" s="109"/>
    </row>
    <row r="790" spans="2:6" x14ac:dyDescent="0.25">
      <c r="B790" s="107"/>
      <c r="C790" s="109"/>
      <c r="D790" s="110"/>
      <c r="E790" s="110"/>
      <c r="F790" s="109"/>
    </row>
    <row r="791" spans="2:6" x14ac:dyDescent="0.25">
      <c r="B791" s="107"/>
      <c r="C791" s="109"/>
      <c r="D791" s="110"/>
      <c r="E791" s="110"/>
      <c r="F791" s="109"/>
    </row>
    <row r="792" spans="2:6" x14ac:dyDescent="0.25">
      <c r="B792" s="107"/>
      <c r="C792" s="109"/>
      <c r="D792" s="110"/>
      <c r="E792" s="110"/>
      <c r="F792" s="109"/>
    </row>
    <row r="793" spans="2:6" x14ac:dyDescent="0.25">
      <c r="B793" s="107"/>
      <c r="C793" s="109"/>
      <c r="D793" s="110"/>
      <c r="E793" s="110"/>
      <c r="F793" s="109"/>
    </row>
    <row r="794" spans="2:6" x14ac:dyDescent="0.25">
      <c r="B794" s="107"/>
      <c r="C794" s="109"/>
      <c r="D794" s="110"/>
      <c r="E794" s="110"/>
      <c r="F794" s="109"/>
    </row>
    <row r="795" spans="2:6" x14ac:dyDescent="0.25">
      <c r="B795" s="107"/>
      <c r="C795" s="109"/>
      <c r="D795" s="110"/>
      <c r="E795" s="110"/>
      <c r="F795" s="109"/>
    </row>
    <row r="796" spans="2:6" x14ac:dyDescent="0.25">
      <c r="B796" s="107"/>
      <c r="C796" s="109"/>
      <c r="D796" s="110"/>
      <c r="E796" s="110"/>
      <c r="F796" s="109"/>
    </row>
    <row r="797" spans="2:6" x14ac:dyDescent="0.25">
      <c r="B797" s="107"/>
      <c r="C797" s="109"/>
      <c r="D797" s="110"/>
      <c r="E797" s="110"/>
      <c r="F797" s="109"/>
    </row>
    <row r="798" spans="2:6" x14ac:dyDescent="0.25">
      <c r="B798" s="107"/>
      <c r="C798" s="109"/>
      <c r="D798" s="110"/>
      <c r="E798" s="110"/>
      <c r="F798" s="109"/>
    </row>
    <row r="799" spans="2:6" x14ac:dyDescent="0.25">
      <c r="B799" s="107"/>
      <c r="C799" s="109"/>
      <c r="D799" s="110"/>
      <c r="E799" s="110"/>
      <c r="F799" s="109"/>
    </row>
    <row r="800" spans="2:6" x14ac:dyDescent="0.25">
      <c r="B800" s="107"/>
      <c r="C800" s="109"/>
      <c r="D800" s="110"/>
      <c r="E800" s="110"/>
      <c r="F800" s="109"/>
    </row>
    <row r="801" spans="2:6" x14ac:dyDescent="0.25">
      <c r="B801" s="107"/>
      <c r="C801" s="109"/>
      <c r="D801" s="110"/>
      <c r="E801" s="110"/>
      <c r="F801" s="109"/>
    </row>
    <row r="802" spans="2:6" x14ac:dyDescent="0.25">
      <c r="B802" s="107"/>
      <c r="C802" s="109"/>
      <c r="D802" s="110"/>
      <c r="E802" s="110"/>
      <c r="F802" s="109"/>
    </row>
    <row r="803" spans="2:6" x14ac:dyDescent="0.25">
      <c r="B803" s="107"/>
      <c r="C803" s="109"/>
      <c r="D803" s="110"/>
      <c r="E803" s="110"/>
      <c r="F803" s="109"/>
    </row>
    <row r="804" spans="2:6" x14ac:dyDescent="0.25">
      <c r="B804" s="107"/>
      <c r="C804" s="109"/>
      <c r="D804" s="110"/>
      <c r="E804" s="110"/>
      <c r="F804" s="109"/>
    </row>
    <row r="805" spans="2:6" x14ac:dyDescent="0.25">
      <c r="B805" s="107"/>
      <c r="C805" s="109"/>
      <c r="D805" s="110"/>
      <c r="E805" s="110"/>
      <c r="F805" s="109"/>
    </row>
    <row r="806" spans="2:6" x14ac:dyDescent="0.25">
      <c r="B806" s="107"/>
      <c r="C806" s="109"/>
      <c r="D806" s="110"/>
      <c r="E806" s="110"/>
      <c r="F806" s="109"/>
    </row>
    <row r="807" spans="2:6" x14ac:dyDescent="0.25">
      <c r="B807" s="107"/>
      <c r="C807" s="109"/>
      <c r="D807" s="110"/>
      <c r="E807" s="110"/>
      <c r="F807" s="109"/>
    </row>
    <row r="808" spans="2:6" x14ac:dyDescent="0.25">
      <c r="B808" s="107"/>
      <c r="C808" s="109"/>
      <c r="D808" s="110"/>
      <c r="E808" s="110"/>
      <c r="F808" s="109"/>
    </row>
    <row r="809" spans="2:6" x14ac:dyDescent="0.25">
      <c r="B809" s="107"/>
      <c r="C809" s="109"/>
      <c r="D809" s="110"/>
      <c r="E809" s="110"/>
      <c r="F809" s="109"/>
    </row>
    <row r="810" spans="2:6" x14ac:dyDescent="0.25">
      <c r="B810" s="107"/>
      <c r="C810" s="109"/>
      <c r="D810" s="110"/>
      <c r="E810" s="110"/>
      <c r="F810" s="109"/>
    </row>
    <row r="811" spans="2:6" x14ac:dyDescent="0.25">
      <c r="B811" s="107"/>
      <c r="C811" s="109"/>
      <c r="D811" s="110"/>
      <c r="E811" s="110"/>
      <c r="F811" s="109"/>
    </row>
    <row r="812" spans="2:6" x14ac:dyDescent="0.25">
      <c r="B812" s="107"/>
      <c r="C812" s="109"/>
      <c r="D812" s="110"/>
      <c r="E812" s="110"/>
      <c r="F812" s="109"/>
    </row>
    <row r="813" spans="2:6" x14ac:dyDescent="0.25">
      <c r="B813" s="107"/>
      <c r="C813" s="109"/>
      <c r="D813" s="110"/>
      <c r="E813" s="110"/>
      <c r="F813" s="109"/>
    </row>
    <row r="814" spans="2:6" x14ac:dyDescent="0.25">
      <c r="B814" s="107"/>
      <c r="C814" s="109"/>
      <c r="D814" s="110"/>
      <c r="E814" s="110"/>
      <c r="F814" s="109"/>
    </row>
    <row r="815" spans="2:6" x14ac:dyDescent="0.25">
      <c r="B815" s="107"/>
      <c r="C815" s="109"/>
      <c r="D815" s="110"/>
      <c r="E815" s="110"/>
      <c r="F815" s="10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N417"/>
  <sheetViews>
    <sheetView topLeftCell="A7" zoomScale="85" zoomScaleNormal="85" workbookViewId="0">
      <selection activeCell="C407" sqref="C407:C417"/>
    </sheetView>
  </sheetViews>
  <sheetFormatPr baseColWidth="10" defaultColWidth="11.42578125" defaultRowHeight="12" x14ac:dyDescent="0.2"/>
  <cols>
    <col min="1" max="1" width="24.5703125" style="46" customWidth="1"/>
    <col min="2" max="2" width="24.5703125" style="53" customWidth="1"/>
    <col min="3" max="4" width="24.5703125" style="46" customWidth="1"/>
    <col min="5" max="5" width="20.5703125" style="48" customWidth="1"/>
    <col min="6" max="6" width="11.42578125" style="49"/>
    <col min="7" max="13" width="11.42578125" style="46"/>
    <col min="14" max="14" width="42.7109375" style="46" bestFit="1" customWidth="1"/>
    <col min="15" max="16384" width="11.42578125" style="46"/>
  </cols>
  <sheetData>
    <row r="1" spans="1:10" x14ac:dyDescent="0.2">
      <c r="B1" s="46"/>
      <c r="C1" s="47"/>
      <c r="D1" s="47"/>
    </row>
    <row r="2" spans="1:10" x14ac:dyDescent="0.2">
      <c r="A2" s="48"/>
      <c r="B2" s="48"/>
      <c r="C2" s="50"/>
      <c r="D2" s="50"/>
      <c r="E2" s="51"/>
      <c r="G2" s="52"/>
      <c r="H2" s="52"/>
      <c r="I2" s="52"/>
      <c r="J2" s="52"/>
    </row>
    <row r="3" spans="1:10" x14ac:dyDescent="0.2">
      <c r="B3" s="60"/>
      <c r="G3" s="52"/>
      <c r="H3" s="52"/>
      <c r="I3" s="52"/>
      <c r="J3" s="52"/>
    </row>
    <row r="4" spans="1:10" x14ac:dyDescent="0.2">
      <c r="B4" s="60"/>
      <c r="G4" s="52"/>
      <c r="H4" s="52"/>
      <c r="I4" s="52"/>
      <c r="J4" s="52"/>
    </row>
    <row r="5" spans="1:10" x14ac:dyDescent="0.2">
      <c r="B5" s="60"/>
      <c r="G5" s="52"/>
      <c r="H5" s="52"/>
      <c r="I5" s="52"/>
      <c r="J5" s="52"/>
    </row>
    <row r="6" spans="1:10" x14ac:dyDescent="0.2">
      <c r="B6" s="60"/>
      <c r="H6" s="55"/>
      <c r="I6" s="52"/>
      <c r="J6" s="52"/>
    </row>
    <row r="7" spans="1:10" x14ac:dyDescent="0.2">
      <c r="B7" s="60"/>
      <c r="H7" s="52"/>
      <c r="I7" s="52"/>
      <c r="J7" s="52"/>
    </row>
    <row r="8" spans="1:10" x14ac:dyDescent="0.2">
      <c r="B8" s="60"/>
      <c r="H8" s="52"/>
      <c r="I8" s="52"/>
      <c r="J8" s="52"/>
    </row>
    <row r="9" spans="1:10" x14ac:dyDescent="0.2">
      <c r="B9" s="60"/>
      <c r="H9" s="52"/>
      <c r="I9" s="52"/>
      <c r="J9" s="52"/>
    </row>
    <row r="10" spans="1:10" x14ac:dyDescent="0.2">
      <c r="B10" s="60"/>
      <c r="H10" s="52"/>
      <c r="I10" s="52"/>
      <c r="J10" s="52"/>
    </row>
    <row r="11" spans="1:10" x14ac:dyDescent="0.2">
      <c r="B11" s="60"/>
      <c r="H11" s="52"/>
      <c r="I11" s="52"/>
      <c r="J11" s="52"/>
    </row>
    <row r="12" spans="1:10" x14ac:dyDescent="0.2">
      <c r="B12" s="60"/>
      <c r="H12" s="52"/>
      <c r="I12" s="52"/>
      <c r="J12" s="52"/>
    </row>
    <row r="13" spans="1:10" x14ac:dyDescent="0.2">
      <c r="B13" s="60"/>
      <c r="H13" s="52"/>
      <c r="I13" s="52"/>
      <c r="J13" s="52"/>
    </row>
    <row r="14" spans="1:10" x14ac:dyDescent="0.2">
      <c r="B14" s="60"/>
      <c r="H14" s="52"/>
      <c r="I14" s="52"/>
      <c r="J14" s="52"/>
    </row>
    <row r="15" spans="1:10" x14ac:dyDescent="0.2">
      <c r="B15" s="60"/>
      <c r="H15" s="52"/>
      <c r="I15" s="52"/>
      <c r="J15" s="52"/>
    </row>
    <row r="16" spans="1:10" x14ac:dyDescent="0.2">
      <c r="B16" s="60"/>
      <c r="H16" s="52"/>
      <c r="I16" s="52"/>
      <c r="J16" s="52"/>
    </row>
    <row r="17" spans="2:14" x14ac:dyDescent="0.2">
      <c r="B17" s="60"/>
      <c r="H17" s="52"/>
      <c r="I17" s="52"/>
      <c r="J17" s="52"/>
    </row>
    <row r="18" spans="2:14" x14ac:dyDescent="0.2">
      <c r="B18" s="60"/>
      <c r="H18" s="52"/>
      <c r="I18" s="52"/>
      <c r="J18" s="52"/>
    </row>
    <row r="19" spans="2:14" x14ac:dyDescent="0.2">
      <c r="B19" s="60"/>
      <c r="H19" s="52"/>
      <c r="I19" s="52"/>
      <c r="J19" s="52"/>
    </row>
    <row r="20" spans="2:14" x14ac:dyDescent="0.2">
      <c r="B20" s="60"/>
      <c r="H20" s="52"/>
      <c r="I20" s="52"/>
      <c r="J20" s="52"/>
    </row>
    <row r="21" spans="2:14" x14ac:dyDescent="0.2">
      <c r="B21" s="60"/>
      <c r="H21" s="52"/>
      <c r="I21" s="52"/>
      <c r="J21" s="57"/>
    </row>
    <row r="22" spans="2:14" x14ac:dyDescent="0.2">
      <c r="B22" s="60"/>
      <c r="G22" s="52"/>
      <c r="H22" s="52"/>
      <c r="I22" s="52"/>
      <c r="J22" s="52"/>
      <c r="N22" s="58"/>
    </row>
    <row r="23" spans="2:14" x14ac:dyDescent="0.2">
      <c r="B23" s="60"/>
      <c r="G23" s="52"/>
      <c r="H23" s="52"/>
      <c r="I23" s="52"/>
      <c r="J23" s="52"/>
      <c r="N23" s="58"/>
    </row>
    <row r="24" spans="2:14" x14ac:dyDescent="0.2">
      <c r="B24" s="60"/>
      <c r="G24" s="52"/>
      <c r="H24" s="52"/>
      <c r="I24" s="52"/>
      <c r="J24" s="52"/>
      <c r="N24" s="58"/>
    </row>
    <row r="25" spans="2:14" x14ac:dyDescent="0.2">
      <c r="B25" s="60"/>
      <c r="G25" s="52"/>
      <c r="H25" s="52"/>
      <c r="I25" s="52"/>
      <c r="J25" s="52"/>
      <c r="N25" s="58"/>
    </row>
    <row r="26" spans="2:14" x14ac:dyDescent="0.2">
      <c r="B26" s="60"/>
      <c r="G26" s="52"/>
      <c r="H26" s="52"/>
      <c r="I26" s="52"/>
      <c r="J26" s="52"/>
    </row>
    <row r="27" spans="2:14" x14ac:dyDescent="0.2">
      <c r="B27" s="60"/>
      <c r="G27" s="52"/>
      <c r="H27" s="52"/>
      <c r="I27" s="52"/>
      <c r="J27" s="52"/>
    </row>
    <row r="28" spans="2:14" x14ac:dyDescent="0.2">
      <c r="B28" s="60"/>
      <c r="G28" s="52"/>
      <c r="H28" s="52"/>
      <c r="I28" s="52"/>
      <c r="J28" s="52"/>
    </row>
    <row r="29" spans="2:14" x14ac:dyDescent="0.2">
      <c r="B29" s="60"/>
      <c r="G29" s="52"/>
    </row>
    <row r="30" spans="2:14" x14ac:dyDescent="0.2">
      <c r="B30" s="60"/>
      <c r="G30" s="52"/>
    </row>
    <row r="31" spans="2:14" x14ac:dyDescent="0.2">
      <c r="B31" s="60"/>
      <c r="G31" s="52"/>
    </row>
    <row r="32" spans="2:14" x14ac:dyDescent="0.2">
      <c r="B32" s="60"/>
      <c r="G32" s="52"/>
    </row>
    <row r="33" spans="2:10" ht="15" customHeight="1" x14ac:dyDescent="0.2">
      <c r="B33" s="60"/>
      <c r="G33" s="52"/>
    </row>
    <row r="34" spans="2:10" ht="15" customHeight="1" x14ac:dyDescent="0.2">
      <c r="B34" s="60"/>
      <c r="G34" s="52"/>
    </row>
    <row r="35" spans="2:10" x14ac:dyDescent="0.2">
      <c r="B35" s="60"/>
      <c r="G35" s="52"/>
    </row>
    <row r="36" spans="2:10" x14ac:dyDescent="0.2">
      <c r="B36" s="60"/>
      <c r="G36" s="52"/>
    </row>
    <row r="37" spans="2:10" x14ac:dyDescent="0.2">
      <c r="B37" s="60"/>
      <c r="G37" s="52"/>
    </row>
    <row r="38" spans="2:10" x14ac:dyDescent="0.2">
      <c r="B38" s="60"/>
      <c r="G38" s="52"/>
    </row>
    <row r="39" spans="2:10" x14ac:dyDescent="0.2">
      <c r="B39" s="60"/>
      <c r="G39" s="52"/>
    </row>
    <row r="40" spans="2:10" x14ac:dyDescent="0.2">
      <c r="B40" s="60"/>
      <c r="G40" s="52"/>
    </row>
    <row r="41" spans="2:10" x14ac:dyDescent="0.2">
      <c r="B41" s="60"/>
      <c r="G41" s="52"/>
    </row>
    <row r="42" spans="2:10" x14ac:dyDescent="0.2">
      <c r="B42" s="60"/>
      <c r="G42" s="52"/>
    </row>
    <row r="43" spans="2:10" x14ac:dyDescent="0.2">
      <c r="B43" s="60"/>
      <c r="G43" s="52"/>
    </row>
    <row r="44" spans="2:10" x14ac:dyDescent="0.2">
      <c r="B44" s="60"/>
      <c r="G44" s="52"/>
    </row>
    <row r="45" spans="2:10" x14ac:dyDescent="0.2">
      <c r="B45" s="60"/>
      <c r="G45" s="52"/>
    </row>
    <row r="46" spans="2:10" x14ac:dyDescent="0.2">
      <c r="B46" s="60"/>
      <c r="G46" s="52"/>
    </row>
    <row r="47" spans="2:10" x14ac:dyDescent="0.2">
      <c r="B47" s="60"/>
      <c r="G47" s="52"/>
    </row>
    <row r="48" spans="2:10" x14ac:dyDescent="0.2">
      <c r="B48" s="60"/>
      <c r="G48" s="52"/>
      <c r="H48" s="52"/>
      <c r="I48" s="52"/>
      <c r="J48" s="52"/>
    </row>
    <row r="49" spans="2:10" x14ac:dyDescent="0.2">
      <c r="B49" s="60"/>
      <c r="G49" s="52"/>
      <c r="H49" s="52"/>
      <c r="I49" s="52"/>
      <c r="J49" s="52"/>
    </row>
    <row r="50" spans="2:10" x14ac:dyDescent="0.2">
      <c r="B50" s="60"/>
      <c r="G50" s="52"/>
      <c r="H50" s="52"/>
      <c r="I50" s="52"/>
      <c r="J50" s="52"/>
    </row>
    <row r="51" spans="2:10" x14ac:dyDescent="0.2">
      <c r="B51" s="60"/>
      <c r="G51" s="52"/>
      <c r="H51" s="52"/>
      <c r="I51" s="52"/>
      <c r="J51" s="52"/>
    </row>
    <row r="52" spans="2:10" x14ac:dyDescent="0.2">
      <c r="B52" s="60"/>
      <c r="G52" s="52"/>
    </row>
    <row r="53" spans="2:10" x14ac:dyDescent="0.2">
      <c r="B53" s="60"/>
      <c r="G53" s="52"/>
    </row>
    <row r="54" spans="2:10" x14ac:dyDescent="0.2">
      <c r="B54" s="60"/>
      <c r="G54" s="52"/>
    </row>
    <row r="55" spans="2:10" x14ac:dyDescent="0.2">
      <c r="B55" s="60"/>
      <c r="G55" s="52"/>
    </row>
    <row r="56" spans="2:10" x14ac:dyDescent="0.2">
      <c r="B56" s="60"/>
      <c r="G56" s="52"/>
    </row>
    <row r="57" spans="2:10" x14ac:dyDescent="0.2">
      <c r="B57" s="60"/>
      <c r="G57" s="52"/>
    </row>
    <row r="58" spans="2:10" x14ac:dyDescent="0.2">
      <c r="B58" s="60"/>
      <c r="G58" s="52"/>
    </row>
    <row r="59" spans="2:10" ht="15" customHeight="1" x14ac:dyDescent="0.2">
      <c r="B59" s="60"/>
      <c r="G59" s="52"/>
    </row>
    <row r="60" spans="2:10" ht="15" customHeight="1" x14ac:dyDescent="0.2">
      <c r="B60" s="60"/>
      <c r="G60" s="52"/>
    </row>
    <row r="61" spans="2:10" x14ac:dyDescent="0.2">
      <c r="B61" s="60"/>
      <c r="G61" s="52"/>
    </row>
    <row r="62" spans="2:10" x14ac:dyDescent="0.2">
      <c r="B62" s="60"/>
    </row>
    <row r="63" spans="2:10" x14ac:dyDescent="0.2">
      <c r="B63" s="60"/>
      <c r="G63" s="52"/>
    </row>
    <row r="64" spans="2:10" x14ac:dyDescent="0.2">
      <c r="B64" s="60"/>
      <c r="G64" s="52"/>
    </row>
    <row r="65" spans="1:10" x14ac:dyDescent="0.2">
      <c r="B65" s="60"/>
      <c r="G65" s="52"/>
    </row>
    <row r="66" spans="1:10" x14ac:dyDescent="0.2">
      <c r="B66" s="79" t="s">
        <v>371</v>
      </c>
      <c r="C66" s="78"/>
      <c r="D66" s="78"/>
      <c r="E66" s="78"/>
      <c r="F66" s="78"/>
      <c r="G66" s="78"/>
    </row>
    <row r="67" spans="1:10" x14ac:dyDescent="0.2">
      <c r="B67" s="46" t="s">
        <v>370</v>
      </c>
      <c r="C67" s="46" t="s">
        <v>386</v>
      </c>
      <c r="D67" s="52" t="s">
        <v>384</v>
      </c>
      <c r="E67" s="52" t="s">
        <v>416</v>
      </c>
      <c r="F67" s="52" t="s">
        <v>382</v>
      </c>
      <c r="G67" s="48" t="s">
        <v>369</v>
      </c>
    </row>
    <row r="68" spans="1:10" x14ac:dyDescent="0.2">
      <c r="B68" s="53">
        <v>43448</v>
      </c>
      <c r="C68" s="54">
        <v>0</v>
      </c>
      <c r="D68" s="46">
        <v>0</v>
      </c>
      <c r="E68" s="46"/>
      <c r="F68" s="46">
        <v>1</v>
      </c>
      <c r="G68" s="46">
        <v>0</v>
      </c>
    </row>
    <row r="69" spans="1:10" x14ac:dyDescent="0.2">
      <c r="B69" s="53">
        <v>43815</v>
      </c>
      <c r="C69" s="54">
        <v>1</v>
      </c>
      <c r="D69" s="46">
        <v>1</v>
      </c>
      <c r="E69" s="46"/>
      <c r="F69" s="46">
        <v>0.93354562810509223</v>
      </c>
      <c r="G69" s="46">
        <v>-6.6454371894907727</v>
      </c>
    </row>
    <row r="70" spans="1:10" x14ac:dyDescent="0.2">
      <c r="B70" s="53">
        <v>44179</v>
      </c>
      <c r="C70" s="54">
        <v>1</v>
      </c>
      <c r="D70" s="46">
        <v>1</v>
      </c>
      <c r="E70" s="46"/>
      <c r="F70" s="46">
        <v>0.95615792123355436</v>
      </c>
      <c r="G70" s="46">
        <v>-4.3842078766445596</v>
      </c>
    </row>
    <row r="71" spans="1:10" x14ac:dyDescent="0.2">
      <c r="B71" s="53">
        <v>44544</v>
      </c>
      <c r="C71" s="54">
        <v>1</v>
      </c>
      <c r="D71" s="46">
        <v>1</v>
      </c>
      <c r="E71" s="46"/>
      <c r="F71" s="46">
        <v>0.80200068554145076</v>
      </c>
      <c r="G71" s="46">
        <v>-19.799931445854924</v>
      </c>
      <c r="H71" s="52"/>
      <c r="I71" s="52"/>
      <c r="J71" s="52"/>
    </row>
    <row r="72" spans="1:10" x14ac:dyDescent="0.2">
      <c r="B72" s="53">
        <v>44909</v>
      </c>
      <c r="C72" s="54">
        <v>1</v>
      </c>
      <c r="D72" s="46">
        <v>1</v>
      </c>
      <c r="E72" s="46"/>
      <c r="F72" s="46">
        <v>0.77287530077358035</v>
      </c>
      <c r="G72" s="46">
        <v>-22.712469922641969</v>
      </c>
      <c r="H72" s="52"/>
      <c r="I72" s="52"/>
      <c r="J72" s="52"/>
    </row>
    <row r="73" spans="1:10" x14ac:dyDescent="0.2">
      <c r="B73" s="53">
        <v>45274</v>
      </c>
      <c r="C73" s="54">
        <v>1</v>
      </c>
      <c r="D73" s="46">
        <v>1</v>
      </c>
      <c r="E73" s="46"/>
      <c r="F73" s="46">
        <v>0.86690296893655272</v>
      </c>
      <c r="G73" s="46">
        <v>-13.309703106344728</v>
      </c>
      <c r="H73" s="52"/>
      <c r="I73" s="52"/>
      <c r="J73" s="52"/>
    </row>
    <row r="74" spans="1:10" x14ac:dyDescent="0.2">
      <c r="B74" s="53">
        <v>45642</v>
      </c>
      <c r="C74" s="46">
        <v>1</v>
      </c>
      <c r="D74" s="46">
        <v>1</v>
      </c>
      <c r="E74" s="46"/>
      <c r="F74" s="46">
        <v>0.83965081987779766</v>
      </c>
      <c r="G74" s="46">
        <v>-16.034918012220231</v>
      </c>
      <c r="H74" s="52"/>
      <c r="I74" s="52"/>
      <c r="J74" s="52"/>
    </row>
    <row r="75" spans="1:10" x14ac:dyDescent="0.2">
      <c r="B75" s="53">
        <v>46006</v>
      </c>
      <c r="C75" s="46">
        <v>1</v>
      </c>
      <c r="D75" s="46">
        <v>1</v>
      </c>
      <c r="E75" s="46"/>
      <c r="F75" s="46">
        <v>0.77284829396692301</v>
      </c>
      <c r="G75" s="46">
        <v>-22.715170603307705</v>
      </c>
      <c r="H75" s="52"/>
      <c r="I75" s="52"/>
      <c r="J75" s="52"/>
    </row>
    <row r="76" spans="1:10" x14ac:dyDescent="0.2">
      <c r="B76" s="53">
        <v>46370</v>
      </c>
      <c r="C76" s="46">
        <v>1</v>
      </c>
      <c r="D76" s="46">
        <v>1</v>
      </c>
      <c r="E76" s="46"/>
      <c r="F76" s="46">
        <v>0.7705658946975239</v>
      </c>
      <c r="G76" s="46">
        <v>-22.943410530247608</v>
      </c>
      <c r="H76" s="52"/>
      <c r="I76" s="52"/>
      <c r="J76" s="52"/>
    </row>
    <row r="77" spans="1:10" x14ac:dyDescent="0.2">
      <c r="A77" s="53"/>
      <c r="B77" s="53">
        <v>46735</v>
      </c>
      <c r="C77" s="46">
        <v>1</v>
      </c>
      <c r="D77" s="46">
        <v>1</v>
      </c>
      <c r="E77" s="46"/>
      <c r="F77" s="46">
        <v>0.7493425148986409</v>
      </c>
      <c r="G77" s="46">
        <v>-25.065748510135908</v>
      </c>
      <c r="H77" s="52"/>
      <c r="I77" s="52"/>
      <c r="J77" s="52"/>
    </row>
    <row r="78" spans="1:10" x14ac:dyDescent="0.2">
      <c r="A78" s="53"/>
      <c r="B78" s="53">
        <v>47101</v>
      </c>
      <c r="C78" s="46">
        <v>1</v>
      </c>
      <c r="D78" s="46">
        <v>1</v>
      </c>
      <c r="E78" s="46"/>
      <c r="F78" s="46">
        <v>0.55000000000000004</v>
      </c>
      <c r="G78" s="46">
        <v>-45</v>
      </c>
      <c r="H78" s="52"/>
      <c r="I78" s="52"/>
      <c r="J78" s="52"/>
    </row>
    <row r="79" spans="1:10" x14ac:dyDescent="0.2">
      <c r="A79" s="53"/>
      <c r="E79" s="46"/>
      <c r="F79" s="46"/>
      <c r="H79" s="52"/>
      <c r="I79" s="52"/>
      <c r="J79" s="52"/>
    </row>
    <row r="80" spans="1:10" x14ac:dyDescent="0.2">
      <c r="A80" s="53"/>
      <c r="C80" s="78"/>
      <c r="D80" s="78"/>
      <c r="E80" s="78"/>
      <c r="F80" s="78"/>
      <c r="G80" s="78"/>
      <c r="H80" s="52"/>
      <c r="I80" s="52"/>
      <c r="J80" s="52"/>
    </row>
    <row r="81" spans="1:10" x14ac:dyDescent="0.2">
      <c r="A81" s="53"/>
      <c r="C81" s="78"/>
      <c r="D81" s="78"/>
      <c r="E81" s="78"/>
      <c r="F81" s="78"/>
      <c r="G81" s="78"/>
      <c r="H81" s="52"/>
      <c r="I81" s="52"/>
      <c r="J81" s="52"/>
    </row>
    <row r="82" spans="1:10" x14ac:dyDescent="0.2">
      <c r="A82" s="53"/>
      <c r="C82" s="78"/>
      <c r="D82" s="78"/>
      <c r="E82" s="78"/>
      <c r="F82" s="78"/>
      <c r="G82" s="78"/>
      <c r="H82" s="52"/>
      <c r="I82" s="52"/>
      <c r="J82" s="52"/>
    </row>
    <row r="83" spans="1:10" x14ac:dyDescent="0.2">
      <c r="A83" s="53"/>
      <c r="C83" s="78"/>
      <c r="D83" s="78"/>
      <c r="E83" s="78"/>
      <c r="F83" s="78"/>
      <c r="G83" s="78"/>
      <c r="H83" s="52"/>
      <c r="I83" s="52"/>
      <c r="J83" s="52"/>
    </row>
    <row r="84" spans="1:10" x14ac:dyDescent="0.2">
      <c r="A84" s="53"/>
      <c r="C84" s="78"/>
      <c r="D84" s="78"/>
      <c r="E84" s="78"/>
      <c r="F84" s="78"/>
      <c r="G84" s="78"/>
      <c r="H84" s="52"/>
      <c r="I84" s="52"/>
      <c r="J84" s="52"/>
    </row>
    <row r="85" spans="1:10" x14ac:dyDescent="0.2">
      <c r="A85" s="53"/>
      <c r="C85" s="78"/>
      <c r="D85" s="78"/>
      <c r="E85" s="78"/>
      <c r="F85" s="78"/>
      <c r="G85" s="78"/>
      <c r="H85" s="52"/>
      <c r="I85" s="52"/>
      <c r="J85" s="52"/>
    </row>
    <row r="86" spans="1:10" x14ac:dyDescent="0.2">
      <c r="A86" s="53"/>
      <c r="C86" s="78"/>
      <c r="D86" s="78"/>
      <c r="E86" s="78"/>
      <c r="F86" s="78"/>
      <c r="G86" s="78"/>
      <c r="H86" s="52"/>
      <c r="I86" s="52"/>
      <c r="J86" s="52"/>
    </row>
    <row r="87" spans="1:10" x14ac:dyDescent="0.2">
      <c r="A87" s="53"/>
      <c r="C87" s="78"/>
      <c r="D87" s="78"/>
      <c r="E87" s="78"/>
      <c r="F87" s="78"/>
      <c r="G87" s="78"/>
      <c r="H87" s="52"/>
      <c r="I87" s="52"/>
      <c r="J87" s="52"/>
    </row>
    <row r="88" spans="1:10" x14ac:dyDescent="0.2">
      <c r="A88" s="53"/>
      <c r="C88" s="78"/>
      <c r="D88" s="78"/>
      <c r="E88" s="78"/>
      <c r="F88" s="78"/>
      <c r="G88" s="78"/>
      <c r="H88" s="52"/>
      <c r="I88" s="52"/>
      <c r="J88" s="52"/>
    </row>
    <row r="89" spans="1:10" x14ac:dyDescent="0.2">
      <c r="A89" s="53"/>
      <c r="C89" s="78"/>
      <c r="D89" s="78"/>
      <c r="E89" s="78"/>
      <c r="F89" s="78"/>
      <c r="G89" s="78"/>
      <c r="H89" s="52"/>
      <c r="I89" s="52"/>
      <c r="J89" s="52"/>
    </row>
    <row r="90" spans="1:10" x14ac:dyDescent="0.2">
      <c r="A90" s="53"/>
      <c r="C90" s="78"/>
      <c r="D90" s="78"/>
      <c r="E90" s="78"/>
      <c r="F90" s="78"/>
      <c r="G90" s="78"/>
      <c r="H90" s="52"/>
      <c r="I90" s="52"/>
      <c r="J90" s="52"/>
    </row>
    <row r="91" spans="1:10" x14ac:dyDescent="0.2">
      <c r="A91" s="53"/>
      <c r="C91" s="78"/>
      <c r="D91" s="78"/>
      <c r="E91" s="78"/>
      <c r="F91" s="78"/>
      <c r="G91" s="78"/>
      <c r="H91" s="52"/>
      <c r="I91" s="52"/>
      <c r="J91" s="52"/>
    </row>
    <row r="92" spans="1:10" x14ac:dyDescent="0.2">
      <c r="A92" s="53"/>
      <c r="C92" s="78"/>
      <c r="D92" s="78"/>
      <c r="E92" s="78"/>
      <c r="F92" s="78"/>
      <c r="G92" s="78"/>
      <c r="H92" s="52"/>
      <c r="I92" s="52"/>
      <c r="J92" s="52"/>
    </row>
    <row r="93" spans="1:10" x14ac:dyDescent="0.2">
      <c r="A93" s="53"/>
      <c r="C93" s="78"/>
      <c r="D93" s="78"/>
      <c r="E93" s="78"/>
      <c r="F93" s="78"/>
      <c r="G93" s="78"/>
      <c r="H93" s="52"/>
      <c r="I93" s="52"/>
      <c r="J93" s="52"/>
    </row>
    <row r="94" spans="1:10" x14ac:dyDescent="0.2">
      <c r="A94" s="53"/>
      <c r="C94" s="78"/>
      <c r="D94" s="78"/>
      <c r="E94" s="78"/>
      <c r="F94" s="78"/>
      <c r="G94" s="78"/>
      <c r="H94" s="52"/>
      <c r="I94" s="52"/>
      <c r="J94" s="52"/>
    </row>
    <row r="95" spans="1:10" x14ac:dyDescent="0.2">
      <c r="A95" s="53"/>
      <c r="C95" s="78"/>
      <c r="D95" s="78"/>
      <c r="E95" s="78"/>
      <c r="F95" s="78"/>
      <c r="G95" s="78"/>
      <c r="H95" s="52"/>
      <c r="I95" s="52"/>
      <c r="J95" s="52"/>
    </row>
    <row r="96" spans="1:10" x14ac:dyDescent="0.2">
      <c r="A96" s="53"/>
      <c r="C96" s="78"/>
      <c r="D96" s="78"/>
      <c r="E96" s="78"/>
      <c r="F96" s="78"/>
      <c r="G96" s="78"/>
      <c r="H96" s="52"/>
      <c r="I96" s="52"/>
      <c r="J96" s="52"/>
    </row>
    <row r="97" spans="1:10" x14ac:dyDescent="0.2">
      <c r="A97" s="53"/>
      <c r="C97" s="78"/>
      <c r="D97" s="78"/>
      <c r="E97" s="78"/>
      <c r="F97" s="78"/>
      <c r="G97" s="78"/>
      <c r="H97" s="52"/>
      <c r="I97" s="52"/>
      <c r="J97" s="52"/>
    </row>
    <row r="98" spans="1:10" x14ac:dyDescent="0.2">
      <c r="A98" s="53"/>
      <c r="C98" s="78"/>
      <c r="D98" s="78"/>
      <c r="E98" s="78"/>
      <c r="F98" s="78"/>
      <c r="G98" s="78"/>
      <c r="H98" s="52"/>
      <c r="I98" s="52"/>
      <c r="J98" s="52"/>
    </row>
    <row r="99" spans="1:10" x14ac:dyDescent="0.2">
      <c r="A99" s="53"/>
      <c r="C99" s="78"/>
      <c r="D99" s="78"/>
      <c r="E99" s="78"/>
      <c r="F99" s="78"/>
      <c r="G99" s="78"/>
      <c r="H99" s="52"/>
      <c r="I99" s="52"/>
      <c r="J99" s="52"/>
    </row>
    <row r="100" spans="1:10" x14ac:dyDescent="0.2">
      <c r="A100" s="53"/>
      <c r="C100" s="78"/>
      <c r="D100" s="78"/>
      <c r="E100" s="78"/>
      <c r="F100" s="78"/>
      <c r="G100" s="78"/>
      <c r="H100" s="52"/>
      <c r="I100" s="52"/>
      <c r="J100" s="52"/>
    </row>
    <row r="101" spans="1:10" x14ac:dyDescent="0.2">
      <c r="A101" s="53"/>
      <c r="C101" s="78"/>
      <c r="D101" s="78"/>
      <c r="E101" s="78"/>
      <c r="F101" s="78"/>
      <c r="G101" s="78"/>
      <c r="H101" s="52"/>
      <c r="I101" s="52"/>
      <c r="J101" s="52"/>
    </row>
    <row r="102" spans="1:10" x14ac:dyDescent="0.2">
      <c r="A102" s="53"/>
      <c r="C102" s="78"/>
      <c r="D102" s="78"/>
      <c r="E102" s="78"/>
      <c r="F102" s="78"/>
      <c r="G102" s="78"/>
      <c r="H102" s="52"/>
      <c r="I102" s="52"/>
      <c r="J102" s="52"/>
    </row>
    <row r="103" spans="1:10" x14ac:dyDescent="0.2">
      <c r="A103" s="53"/>
      <c r="C103" s="78"/>
      <c r="D103" s="78"/>
      <c r="E103" s="78"/>
      <c r="F103" s="78"/>
      <c r="G103" s="78"/>
      <c r="H103" s="52"/>
      <c r="I103" s="52"/>
      <c r="J103" s="52"/>
    </row>
    <row r="104" spans="1:10" x14ac:dyDescent="0.2">
      <c r="A104" s="53"/>
      <c r="C104" s="78"/>
      <c r="D104" s="78"/>
      <c r="E104" s="78"/>
      <c r="F104" s="78"/>
      <c r="G104" s="78"/>
      <c r="H104" s="52"/>
      <c r="I104" s="52"/>
      <c r="J104" s="52"/>
    </row>
    <row r="105" spans="1:10" x14ac:dyDescent="0.2">
      <c r="A105" s="53"/>
      <c r="C105" s="78"/>
      <c r="D105" s="78"/>
      <c r="E105" s="78"/>
      <c r="F105" s="78"/>
      <c r="G105" s="78"/>
      <c r="H105" s="52"/>
      <c r="I105" s="52"/>
      <c r="J105" s="52"/>
    </row>
    <row r="106" spans="1:10" x14ac:dyDescent="0.2">
      <c r="A106" s="53"/>
      <c r="C106" s="78"/>
      <c r="D106" s="78"/>
      <c r="E106" s="78"/>
      <c r="F106" s="78"/>
      <c r="G106" s="78"/>
      <c r="H106" s="52"/>
      <c r="I106" s="52"/>
      <c r="J106" s="52"/>
    </row>
    <row r="107" spans="1:10" x14ac:dyDescent="0.2">
      <c r="A107" s="53"/>
      <c r="C107" s="78"/>
      <c r="D107" s="78"/>
      <c r="E107" s="78"/>
      <c r="F107" s="78"/>
      <c r="G107" s="78"/>
      <c r="H107" s="52"/>
      <c r="I107" s="52"/>
      <c r="J107" s="52"/>
    </row>
    <row r="108" spans="1:10" x14ac:dyDescent="0.2">
      <c r="A108" s="53"/>
      <c r="C108" s="78"/>
      <c r="D108" s="78"/>
      <c r="E108" s="78"/>
      <c r="F108" s="78"/>
      <c r="G108" s="78"/>
      <c r="H108" s="52"/>
      <c r="I108" s="52"/>
      <c r="J108" s="52"/>
    </row>
    <row r="109" spans="1:10" x14ac:dyDescent="0.2">
      <c r="A109" s="53"/>
      <c r="C109" s="78"/>
      <c r="D109" s="78"/>
      <c r="E109" s="78"/>
      <c r="F109" s="78"/>
      <c r="G109" s="78"/>
      <c r="H109" s="52"/>
      <c r="I109" s="52"/>
      <c r="J109" s="52"/>
    </row>
    <row r="110" spans="1:10" x14ac:dyDescent="0.2">
      <c r="A110" s="53"/>
      <c r="C110" s="78"/>
      <c r="D110" s="78"/>
      <c r="E110" s="78"/>
      <c r="F110" s="78"/>
      <c r="G110" s="78"/>
      <c r="H110" s="52"/>
      <c r="I110" s="52"/>
      <c r="J110" s="52"/>
    </row>
    <row r="111" spans="1:10" x14ac:dyDescent="0.2">
      <c r="A111" s="53"/>
      <c r="C111" s="78"/>
      <c r="D111" s="78"/>
      <c r="E111" s="78"/>
      <c r="F111" s="78"/>
      <c r="G111" s="78"/>
      <c r="H111" s="52"/>
      <c r="I111" s="52"/>
      <c r="J111" s="52"/>
    </row>
    <row r="112" spans="1:10" x14ac:dyDescent="0.2">
      <c r="A112" s="53"/>
      <c r="C112" s="78"/>
      <c r="D112" s="78"/>
      <c r="E112" s="78"/>
      <c r="F112" s="78"/>
      <c r="G112" s="78"/>
      <c r="H112" s="52"/>
      <c r="I112" s="52"/>
      <c r="J112" s="52"/>
    </row>
    <row r="113" spans="1:10" x14ac:dyDescent="0.2">
      <c r="A113" s="53"/>
      <c r="C113" s="78"/>
      <c r="D113" s="78"/>
      <c r="E113" s="78"/>
      <c r="F113" s="78"/>
      <c r="G113" s="78"/>
      <c r="H113" s="52"/>
      <c r="I113" s="52"/>
      <c r="J113" s="52"/>
    </row>
    <row r="114" spans="1:10" x14ac:dyDescent="0.2">
      <c r="A114" s="53"/>
      <c r="C114" s="78"/>
      <c r="D114" s="78"/>
      <c r="E114" s="78"/>
      <c r="F114" s="78"/>
      <c r="G114" s="78"/>
      <c r="H114" s="52"/>
      <c r="I114" s="52"/>
      <c r="J114" s="52"/>
    </row>
    <row r="115" spans="1:10" x14ac:dyDescent="0.2">
      <c r="A115" s="53"/>
      <c r="C115" s="78"/>
      <c r="D115" s="78"/>
      <c r="E115" s="78"/>
      <c r="F115" s="78"/>
      <c r="G115" s="78"/>
      <c r="H115" s="52"/>
      <c r="I115" s="52"/>
      <c r="J115" s="52"/>
    </row>
    <row r="116" spans="1:10" x14ac:dyDescent="0.2">
      <c r="A116" s="53"/>
      <c r="C116" s="78"/>
      <c r="D116" s="78"/>
      <c r="E116" s="78"/>
      <c r="F116" s="78"/>
      <c r="G116" s="78"/>
      <c r="H116" s="52"/>
      <c r="I116" s="52"/>
      <c r="J116" s="52"/>
    </row>
    <row r="117" spans="1:10" x14ac:dyDescent="0.2">
      <c r="A117" s="53"/>
      <c r="C117" s="78"/>
      <c r="D117" s="78"/>
      <c r="E117" s="78"/>
      <c r="F117" s="78"/>
      <c r="G117" s="78"/>
      <c r="H117" s="52"/>
      <c r="I117" s="52"/>
      <c r="J117" s="52"/>
    </row>
    <row r="118" spans="1:10" x14ac:dyDescent="0.2">
      <c r="A118" s="53"/>
      <c r="C118" s="78"/>
      <c r="D118" s="78"/>
      <c r="E118" s="78"/>
      <c r="F118" s="78"/>
      <c r="G118" s="78"/>
      <c r="H118" s="52"/>
      <c r="I118" s="52"/>
      <c r="J118" s="52"/>
    </row>
    <row r="119" spans="1:10" x14ac:dyDescent="0.2">
      <c r="A119" s="53"/>
      <c r="C119" s="78"/>
      <c r="D119" s="78"/>
      <c r="E119" s="78"/>
      <c r="F119" s="78"/>
      <c r="G119" s="78"/>
      <c r="H119" s="52"/>
      <c r="I119" s="52"/>
      <c r="J119" s="52"/>
    </row>
    <row r="120" spans="1:10" x14ac:dyDescent="0.2">
      <c r="A120" s="53"/>
      <c r="C120" s="78"/>
      <c r="D120" s="78"/>
      <c r="E120" s="78"/>
      <c r="F120" s="78"/>
      <c r="G120" s="78"/>
      <c r="H120" s="52"/>
      <c r="I120" s="52"/>
      <c r="J120" s="52"/>
    </row>
    <row r="121" spans="1:10" x14ac:dyDescent="0.2">
      <c r="A121" s="53"/>
      <c r="C121" s="78"/>
      <c r="D121" s="78"/>
      <c r="E121" s="78"/>
      <c r="F121" s="78"/>
      <c r="G121" s="78"/>
      <c r="H121" s="52"/>
      <c r="I121" s="52"/>
      <c r="J121" s="52"/>
    </row>
    <row r="122" spans="1:10" x14ac:dyDescent="0.2">
      <c r="A122" s="53"/>
      <c r="C122" s="78"/>
      <c r="D122" s="78"/>
      <c r="E122" s="78"/>
      <c r="F122" s="78"/>
      <c r="G122" s="78"/>
      <c r="H122" s="52"/>
      <c r="I122" s="52"/>
      <c r="J122" s="52"/>
    </row>
    <row r="123" spans="1:10" x14ac:dyDescent="0.2">
      <c r="A123" s="53"/>
      <c r="C123" s="78"/>
      <c r="D123" s="78"/>
      <c r="E123" s="78"/>
      <c r="F123" s="78"/>
      <c r="G123" s="78"/>
      <c r="H123" s="52"/>
      <c r="I123" s="52"/>
      <c r="J123" s="52"/>
    </row>
    <row r="124" spans="1:10" x14ac:dyDescent="0.2">
      <c r="A124" s="53"/>
      <c r="C124" s="78"/>
      <c r="D124" s="78"/>
      <c r="E124" s="78"/>
      <c r="F124" s="78"/>
      <c r="G124" s="78"/>
      <c r="H124" s="52"/>
      <c r="I124" s="52"/>
      <c r="J124" s="52"/>
    </row>
    <row r="125" spans="1:10" x14ac:dyDescent="0.2">
      <c r="A125" s="53"/>
      <c r="C125" s="78"/>
      <c r="D125" s="78"/>
      <c r="E125" s="78"/>
      <c r="F125" s="78"/>
      <c r="G125" s="78"/>
      <c r="H125" s="52"/>
      <c r="I125" s="52"/>
      <c r="J125" s="52"/>
    </row>
    <row r="126" spans="1:10" x14ac:dyDescent="0.2">
      <c r="A126" s="53"/>
      <c r="C126" s="78"/>
      <c r="D126" s="78"/>
      <c r="E126" s="78"/>
      <c r="F126" s="78"/>
      <c r="G126" s="78"/>
      <c r="H126" s="52"/>
      <c r="I126" s="52"/>
      <c r="J126" s="52"/>
    </row>
    <row r="127" spans="1:10" x14ac:dyDescent="0.2">
      <c r="A127" s="53"/>
      <c r="C127" s="78"/>
      <c r="D127" s="78"/>
      <c r="E127" s="78"/>
      <c r="F127" s="78"/>
      <c r="G127" s="78"/>
      <c r="H127" s="52"/>
      <c r="I127" s="52"/>
      <c r="J127" s="52"/>
    </row>
    <row r="128" spans="1:10" x14ac:dyDescent="0.2">
      <c r="A128" s="53"/>
      <c r="C128" s="78"/>
      <c r="D128" s="78"/>
      <c r="E128" s="78"/>
      <c r="F128" s="78"/>
      <c r="G128" s="78"/>
      <c r="H128" s="52"/>
      <c r="I128" s="52"/>
      <c r="J128" s="52"/>
    </row>
    <row r="129" spans="1:10" x14ac:dyDescent="0.2">
      <c r="A129" s="53"/>
      <c r="C129" s="78"/>
      <c r="D129" s="78"/>
      <c r="E129" s="78"/>
      <c r="F129" s="78"/>
      <c r="G129" s="78"/>
      <c r="H129" s="52"/>
      <c r="I129" s="52"/>
      <c r="J129" s="52"/>
    </row>
    <row r="130" spans="1:10" x14ac:dyDescent="0.2">
      <c r="A130" s="53"/>
      <c r="C130" s="78"/>
      <c r="D130" s="78"/>
      <c r="E130" s="78"/>
      <c r="F130" s="78"/>
      <c r="G130" s="78"/>
      <c r="H130" s="52"/>
      <c r="I130" s="52"/>
      <c r="J130" s="52"/>
    </row>
    <row r="131" spans="1:10" x14ac:dyDescent="0.2">
      <c r="A131" s="53"/>
      <c r="C131" s="78"/>
      <c r="D131" s="78"/>
      <c r="E131" s="78"/>
      <c r="F131" s="78"/>
      <c r="G131" s="78"/>
      <c r="H131" s="52"/>
      <c r="I131" s="52"/>
      <c r="J131" s="52"/>
    </row>
    <row r="132" spans="1:10" x14ac:dyDescent="0.2">
      <c r="A132" s="53"/>
      <c r="C132" s="78"/>
      <c r="D132" s="78"/>
      <c r="E132" s="78"/>
      <c r="F132" s="78"/>
      <c r="G132" s="78"/>
      <c r="H132" s="52"/>
      <c r="I132" s="52"/>
      <c r="J132" s="52"/>
    </row>
    <row r="133" spans="1:10" x14ac:dyDescent="0.2">
      <c r="A133" s="53"/>
      <c r="C133" s="78"/>
      <c r="D133" s="78"/>
      <c r="E133" s="78"/>
      <c r="F133" s="78"/>
      <c r="G133" s="78"/>
      <c r="H133" s="52"/>
      <c r="I133" s="52"/>
      <c r="J133" s="52"/>
    </row>
    <row r="134" spans="1:10" x14ac:dyDescent="0.2">
      <c r="A134" s="53"/>
      <c r="C134" s="78"/>
      <c r="D134" s="78"/>
      <c r="E134" s="78"/>
      <c r="F134" s="78"/>
      <c r="G134" s="78"/>
      <c r="H134" s="52"/>
      <c r="I134" s="52"/>
      <c r="J134" s="52"/>
    </row>
    <row r="135" spans="1:10" x14ac:dyDescent="0.2">
      <c r="A135" s="53"/>
      <c r="C135" s="78"/>
      <c r="D135" s="78"/>
      <c r="E135" s="78"/>
      <c r="F135" s="78"/>
      <c r="G135" s="78"/>
      <c r="H135" s="52"/>
      <c r="I135" s="52"/>
      <c r="J135" s="52"/>
    </row>
    <row r="136" spans="1:10" x14ac:dyDescent="0.2">
      <c r="A136" s="53"/>
      <c r="C136" s="78"/>
      <c r="D136" s="78"/>
      <c r="E136" s="78"/>
      <c r="F136" s="78"/>
      <c r="G136" s="78"/>
      <c r="H136" s="52"/>
      <c r="I136" s="52"/>
      <c r="J136" s="52"/>
    </row>
    <row r="137" spans="1:10" x14ac:dyDescent="0.2">
      <c r="A137" s="53"/>
      <c r="C137" s="78"/>
      <c r="D137" s="78"/>
      <c r="E137" s="78"/>
      <c r="F137" s="78"/>
      <c r="G137" s="78"/>
      <c r="H137" s="52"/>
      <c r="I137" s="52"/>
      <c r="J137" s="52"/>
    </row>
    <row r="138" spans="1:10" x14ac:dyDescent="0.2">
      <c r="A138" s="53"/>
      <c r="C138" s="78"/>
      <c r="D138" s="78"/>
      <c r="E138" s="78"/>
      <c r="F138" s="78"/>
      <c r="G138" s="78"/>
      <c r="H138" s="52"/>
      <c r="I138" s="52"/>
      <c r="J138" s="52"/>
    </row>
    <row r="139" spans="1:10" x14ac:dyDescent="0.2">
      <c r="A139" s="53"/>
      <c r="C139" s="78"/>
      <c r="D139" s="78"/>
      <c r="E139" s="78"/>
      <c r="F139" s="78"/>
      <c r="G139" s="78"/>
      <c r="H139" s="52"/>
      <c r="I139" s="52"/>
      <c r="J139" s="52"/>
    </row>
    <row r="140" spans="1:10" x14ac:dyDescent="0.2">
      <c r="A140" s="53"/>
      <c r="C140" s="78"/>
      <c r="D140" s="78"/>
      <c r="E140" s="78"/>
      <c r="F140" s="78"/>
      <c r="G140" s="78"/>
      <c r="H140" s="52"/>
      <c r="I140" s="52"/>
      <c r="J140" s="52"/>
    </row>
    <row r="141" spans="1:10" x14ac:dyDescent="0.2">
      <c r="A141" s="53"/>
      <c r="C141" s="78"/>
      <c r="D141" s="78"/>
      <c r="E141" s="78"/>
      <c r="F141" s="78"/>
      <c r="G141" s="78"/>
      <c r="H141" s="52"/>
      <c r="I141" s="52"/>
      <c r="J141" s="52"/>
    </row>
    <row r="142" spans="1:10" x14ac:dyDescent="0.2">
      <c r="A142" s="53"/>
      <c r="C142" s="78"/>
      <c r="D142" s="78"/>
      <c r="E142" s="78"/>
      <c r="F142" s="78"/>
      <c r="G142" s="78"/>
      <c r="H142" s="52"/>
      <c r="I142" s="52"/>
      <c r="J142" s="52"/>
    </row>
    <row r="143" spans="1:10" x14ac:dyDescent="0.2">
      <c r="A143" s="53"/>
      <c r="C143" s="78"/>
      <c r="D143" s="78"/>
      <c r="E143" s="78"/>
      <c r="F143" s="78"/>
      <c r="G143" s="78"/>
      <c r="H143" s="52"/>
      <c r="I143" s="52"/>
      <c r="J143" s="52"/>
    </row>
    <row r="144" spans="1:10" x14ac:dyDescent="0.2">
      <c r="A144" s="53"/>
      <c r="C144" s="78"/>
      <c r="D144" s="78"/>
      <c r="E144" s="78"/>
      <c r="F144" s="78"/>
      <c r="G144" s="78"/>
      <c r="H144" s="52"/>
      <c r="I144" s="52"/>
      <c r="J144" s="52"/>
    </row>
    <row r="145" spans="1:10" x14ac:dyDescent="0.2">
      <c r="A145" s="53"/>
      <c r="C145" s="78"/>
      <c r="D145" s="78"/>
      <c r="E145" s="78"/>
      <c r="F145" s="78"/>
      <c r="G145" s="78"/>
      <c r="H145" s="52"/>
      <c r="I145" s="52"/>
      <c r="J145" s="52"/>
    </row>
    <row r="146" spans="1:10" x14ac:dyDescent="0.2">
      <c r="A146" s="53"/>
      <c r="C146" s="78"/>
      <c r="D146" s="78"/>
      <c r="E146" s="78"/>
      <c r="F146" s="78"/>
      <c r="G146" s="78"/>
      <c r="H146" s="52"/>
      <c r="I146" s="52"/>
      <c r="J146" s="52"/>
    </row>
    <row r="147" spans="1:10" x14ac:dyDescent="0.2">
      <c r="A147" s="53"/>
      <c r="C147" s="78"/>
      <c r="D147" s="78"/>
      <c r="E147" s="78"/>
      <c r="F147" s="78"/>
      <c r="G147" s="78"/>
      <c r="H147" s="52"/>
      <c r="I147" s="52"/>
      <c r="J147" s="52"/>
    </row>
    <row r="148" spans="1:10" x14ac:dyDescent="0.2">
      <c r="A148" s="53"/>
      <c r="C148" s="78"/>
      <c r="D148" s="78"/>
      <c r="E148" s="78"/>
      <c r="F148" s="78"/>
      <c r="G148" s="78"/>
      <c r="H148" s="52"/>
      <c r="I148" s="52"/>
      <c r="J148" s="52"/>
    </row>
    <row r="149" spans="1:10" x14ac:dyDescent="0.2">
      <c r="A149" s="53"/>
      <c r="C149" s="78"/>
      <c r="D149" s="78"/>
      <c r="E149" s="78"/>
      <c r="F149" s="78"/>
      <c r="G149" s="78"/>
      <c r="H149" s="52"/>
      <c r="I149" s="52"/>
      <c r="J149" s="52"/>
    </row>
    <row r="150" spans="1:10" x14ac:dyDescent="0.2">
      <c r="A150" s="53"/>
      <c r="C150" s="78"/>
      <c r="D150" s="78"/>
      <c r="E150" s="78"/>
      <c r="F150" s="78"/>
      <c r="G150" s="78"/>
      <c r="H150" s="52"/>
      <c r="I150" s="52"/>
      <c r="J150" s="52"/>
    </row>
    <row r="151" spans="1:10" x14ac:dyDescent="0.2">
      <c r="A151" s="53"/>
      <c r="C151" s="78"/>
      <c r="D151" s="78"/>
      <c r="E151" s="78"/>
      <c r="F151" s="78"/>
      <c r="G151" s="78"/>
      <c r="H151" s="52"/>
      <c r="I151" s="52"/>
      <c r="J151" s="52"/>
    </row>
    <row r="152" spans="1:10" x14ac:dyDescent="0.2">
      <c r="A152" s="53"/>
      <c r="C152" s="78"/>
      <c r="D152" s="78"/>
      <c r="E152" s="78"/>
      <c r="F152" s="78"/>
      <c r="G152" s="78"/>
      <c r="H152" s="52"/>
      <c r="I152" s="52"/>
      <c r="J152" s="52"/>
    </row>
    <row r="153" spans="1:10" x14ac:dyDescent="0.2">
      <c r="A153" s="53"/>
      <c r="C153" s="78"/>
      <c r="D153" s="78"/>
      <c r="E153" s="78"/>
      <c r="F153" s="78"/>
      <c r="G153" s="78"/>
      <c r="H153" s="52"/>
      <c r="I153" s="52"/>
      <c r="J153" s="52"/>
    </row>
    <row r="154" spans="1:10" x14ac:dyDescent="0.2">
      <c r="A154" s="53"/>
      <c r="C154" s="78"/>
      <c r="D154" s="78"/>
      <c r="E154" s="78"/>
      <c r="F154" s="78"/>
      <c r="G154" s="78"/>
      <c r="H154" s="52"/>
      <c r="I154" s="52"/>
      <c r="J154" s="52"/>
    </row>
    <row r="155" spans="1:10" x14ac:dyDescent="0.2">
      <c r="A155" s="53"/>
      <c r="C155" s="78"/>
      <c r="D155" s="78"/>
      <c r="E155" s="78"/>
      <c r="F155" s="78"/>
      <c r="G155" s="78"/>
      <c r="H155" s="52"/>
      <c r="I155" s="52"/>
      <c r="J155" s="52"/>
    </row>
    <row r="156" spans="1:10" x14ac:dyDescent="0.2">
      <c r="A156" s="53"/>
      <c r="C156" s="78"/>
      <c r="D156" s="78"/>
      <c r="E156" s="78"/>
      <c r="F156" s="78"/>
      <c r="G156" s="78"/>
      <c r="H156" s="52"/>
      <c r="I156" s="52"/>
      <c r="J156" s="52"/>
    </row>
    <row r="157" spans="1:10" x14ac:dyDescent="0.2">
      <c r="A157" s="53"/>
      <c r="C157" s="78"/>
      <c r="D157" s="78"/>
      <c r="E157" s="78"/>
      <c r="F157" s="78"/>
      <c r="G157" s="78"/>
      <c r="H157" s="52"/>
      <c r="I157" s="52"/>
      <c r="J157" s="52"/>
    </row>
    <row r="158" spans="1:10" x14ac:dyDescent="0.2">
      <c r="A158" s="53"/>
      <c r="C158" s="78"/>
      <c r="D158" s="78"/>
      <c r="E158" s="78"/>
      <c r="F158" s="78"/>
      <c r="G158" s="78"/>
      <c r="H158" s="52"/>
      <c r="I158" s="52"/>
      <c r="J158" s="52"/>
    </row>
    <row r="159" spans="1:10" x14ac:dyDescent="0.2">
      <c r="A159" s="53"/>
      <c r="C159" s="78"/>
      <c r="D159" s="78"/>
      <c r="E159" s="78"/>
      <c r="F159" s="78"/>
      <c r="G159" s="78"/>
      <c r="H159" s="52"/>
      <c r="I159" s="52"/>
      <c r="J159" s="52"/>
    </row>
    <row r="160" spans="1:10" x14ac:dyDescent="0.2">
      <c r="A160" s="53"/>
      <c r="C160" s="78"/>
      <c r="D160" s="78"/>
      <c r="E160" s="78"/>
      <c r="F160" s="78"/>
      <c r="G160" s="78"/>
      <c r="H160" s="52"/>
      <c r="I160" s="52"/>
      <c r="J160" s="52"/>
    </row>
    <row r="161" spans="1:10" x14ac:dyDescent="0.2">
      <c r="A161" s="53"/>
      <c r="C161" s="78"/>
      <c r="D161" s="78"/>
      <c r="E161" s="78"/>
      <c r="F161" s="78"/>
      <c r="G161" s="78"/>
      <c r="H161" s="52"/>
      <c r="I161" s="52"/>
      <c r="J161" s="52"/>
    </row>
    <row r="162" spans="1:10" x14ac:dyDescent="0.2">
      <c r="A162" s="53"/>
      <c r="C162" s="78"/>
      <c r="D162" s="78"/>
      <c r="E162" s="78"/>
      <c r="F162" s="78"/>
      <c r="G162" s="78"/>
      <c r="H162" s="52"/>
      <c r="I162" s="52"/>
      <c r="J162" s="52"/>
    </row>
    <row r="163" spans="1:10" x14ac:dyDescent="0.2">
      <c r="A163" s="53"/>
      <c r="C163" s="78"/>
      <c r="D163" s="78"/>
      <c r="E163" s="78"/>
      <c r="F163" s="78"/>
      <c r="G163" s="78"/>
      <c r="H163" s="52"/>
      <c r="I163" s="52"/>
      <c r="J163" s="52"/>
    </row>
    <row r="164" spans="1:10" x14ac:dyDescent="0.2">
      <c r="A164" s="53"/>
      <c r="C164" s="78"/>
      <c r="D164" s="78"/>
      <c r="E164" s="78"/>
      <c r="F164" s="78"/>
      <c r="G164" s="78"/>
      <c r="H164" s="52"/>
      <c r="I164" s="52"/>
      <c r="J164" s="52"/>
    </row>
    <row r="165" spans="1:10" x14ac:dyDescent="0.2">
      <c r="A165" s="53"/>
      <c r="C165" s="78"/>
      <c r="D165" s="78"/>
      <c r="E165" s="78"/>
      <c r="F165" s="78"/>
      <c r="G165" s="78"/>
      <c r="H165" s="52"/>
      <c r="I165" s="52"/>
      <c r="J165" s="52"/>
    </row>
    <row r="166" spans="1:10" x14ac:dyDescent="0.2">
      <c r="A166" s="53"/>
      <c r="C166" s="78"/>
      <c r="D166" s="78"/>
      <c r="E166" s="78"/>
      <c r="F166" s="78"/>
      <c r="G166" s="78"/>
      <c r="H166" s="52"/>
      <c r="I166" s="52"/>
      <c r="J166" s="52"/>
    </row>
    <row r="167" spans="1:10" x14ac:dyDescent="0.2">
      <c r="A167" s="53"/>
      <c r="C167" s="78"/>
      <c r="D167" s="78"/>
      <c r="E167" s="78"/>
      <c r="F167" s="78"/>
      <c r="G167" s="78"/>
      <c r="H167" s="52"/>
      <c r="I167" s="52"/>
      <c r="J167" s="52"/>
    </row>
    <row r="168" spans="1:10" x14ac:dyDescent="0.2">
      <c r="A168" s="53"/>
      <c r="C168" s="78"/>
      <c r="D168" s="78"/>
      <c r="E168" s="78"/>
      <c r="F168" s="78"/>
      <c r="G168" s="78"/>
      <c r="H168" s="52"/>
      <c r="I168" s="52"/>
      <c r="J168" s="52"/>
    </row>
    <row r="169" spans="1:10" x14ac:dyDescent="0.2">
      <c r="A169" s="53"/>
      <c r="C169" s="78"/>
      <c r="D169" s="78"/>
      <c r="E169" s="78"/>
      <c r="F169" s="78"/>
      <c r="G169" s="78"/>
      <c r="H169" s="52"/>
      <c r="I169" s="52"/>
      <c r="J169" s="52"/>
    </row>
    <row r="170" spans="1:10" x14ac:dyDescent="0.2">
      <c r="A170" s="53"/>
      <c r="C170" s="78"/>
      <c r="D170" s="78"/>
      <c r="E170" s="78"/>
      <c r="F170" s="78"/>
      <c r="G170" s="78"/>
      <c r="H170" s="52"/>
      <c r="I170" s="52"/>
      <c r="J170" s="52"/>
    </row>
    <row r="171" spans="1:10" x14ac:dyDescent="0.2">
      <c r="A171" s="53"/>
      <c r="C171" s="78"/>
      <c r="D171" s="78"/>
      <c r="E171" s="78"/>
      <c r="F171" s="78"/>
      <c r="G171" s="78"/>
      <c r="H171" s="52"/>
      <c r="I171" s="52"/>
      <c r="J171" s="52"/>
    </row>
    <row r="172" spans="1:10" x14ac:dyDescent="0.2">
      <c r="A172" s="53"/>
      <c r="C172" s="78"/>
      <c r="D172" s="78"/>
      <c r="E172" s="78"/>
      <c r="F172" s="78"/>
      <c r="G172" s="78"/>
      <c r="H172" s="52"/>
      <c r="I172" s="52"/>
      <c r="J172" s="52"/>
    </row>
    <row r="173" spans="1:10" x14ac:dyDescent="0.2">
      <c r="A173" s="53"/>
      <c r="C173" s="78"/>
      <c r="D173" s="78"/>
      <c r="E173" s="78"/>
      <c r="F173" s="78"/>
      <c r="G173" s="78"/>
      <c r="H173" s="52"/>
      <c r="I173" s="52"/>
      <c r="J173" s="52"/>
    </row>
    <row r="174" spans="1:10" x14ac:dyDescent="0.2">
      <c r="A174" s="53"/>
      <c r="C174" s="78"/>
      <c r="D174" s="78"/>
      <c r="E174" s="78"/>
      <c r="F174" s="78"/>
      <c r="G174" s="78"/>
      <c r="H174" s="52"/>
      <c r="I174" s="52"/>
      <c r="J174" s="52"/>
    </row>
    <row r="175" spans="1:10" x14ac:dyDescent="0.2">
      <c r="A175" s="53"/>
      <c r="C175" s="78"/>
      <c r="D175" s="78"/>
      <c r="E175" s="78"/>
      <c r="F175" s="78"/>
      <c r="G175" s="78"/>
      <c r="H175" s="52"/>
      <c r="I175" s="52"/>
      <c r="J175" s="52"/>
    </row>
    <row r="176" spans="1:10" x14ac:dyDescent="0.2">
      <c r="A176" s="53"/>
      <c r="C176" s="78"/>
      <c r="D176" s="78"/>
      <c r="E176" s="78"/>
      <c r="F176" s="78"/>
      <c r="G176" s="78"/>
      <c r="H176" s="52"/>
      <c r="I176" s="52"/>
      <c r="J176" s="52"/>
    </row>
    <row r="177" spans="1:10" x14ac:dyDescent="0.2">
      <c r="A177" s="53"/>
      <c r="C177" s="78"/>
      <c r="D177" s="78"/>
      <c r="E177" s="78"/>
      <c r="F177" s="78"/>
      <c r="G177" s="78"/>
      <c r="H177" s="52"/>
      <c r="I177" s="52"/>
      <c r="J177" s="52"/>
    </row>
    <row r="178" spans="1:10" x14ac:dyDescent="0.2">
      <c r="A178" s="53"/>
      <c r="C178" s="78"/>
      <c r="D178" s="78"/>
      <c r="E178" s="78"/>
      <c r="F178" s="78"/>
      <c r="G178" s="78"/>
      <c r="H178" s="52"/>
      <c r="I178" s="52"/>
      <c r="J178" s="52"/>
    </row>
    <row r="179" spans="1:10" x14ac:dyDescent="0.2">
      <c r="A179" s="53"/>
      <c r="B179" s="80" t="s">
        <v>433</v>
      </c>
      <c r="C179" s="78"/>
      <c r="D179" s="78"/>
      <c r="E179" s="78"/>
      <c r="F179" s="78"/>
      <c r="G179" s="78"/>
      <c r="H179" s="52"/>
      <c r="I179" s="52"/>
      <c r="J179" s="52"/>
    </row>
    <row r="180" spans="1:10" x14ac:dyDescent="0.2">
      <c r="A180" s="53"/>
      <c r="B180" s="46" t="s">
        <v>370</v>
      </c>
      <c r="C180" s="46" t="s">
        <v>386</v>
      </c>
      <c r="D180" s="52" t="s">
        <v>385</v>
      </c>
      <c r="E180" s="52" t="s">
        <v>416</v>
      </c>
      <c r="F180" s="52" t="s">
        <v>383</v>
      </c>
      <c r="G180" s="48" t="s">
        <v>369</v>
      </c>
      <c r="H180" s="52"/>
      <c r="I180" s="52"/>
      <c r="J180" s="52"/>
    </row>
    <row r="181" spans="1:10" x14ac:dyDescent="0.2">
      <c r="A181" s="53"/>
      <c r="B181" s="81">
        <v>43448</v>
      </c>
      <c r="C181" s="56">
        <v>0</v>
      </c>
      <c r="D181" s="46">
        <v>0</v>
      </c>
      <c r="E181" s="46"/>
      <c r="F181" s="46">
        <v>1</v>
      </c>
      <c r="G181" s="46">
        <v>0</v>
      </c>
      <c r="H181" s="52"/>
      <c r="I181" s="52"/>
      <c r="J181" s="52"/>
    </row>
    <row r="182" spans="1:10" x14ac:dyDescent="0.2">
      <c r="A182" s="53"/>
      <c r="B182" s="81">
        <v>43815</v>
      </c>
      <c r="C182" s="56">
        <v>1</v>
      </c>
      <c r="D182" s="46">
        <v>1</v>
      </c>
      <c r="E182" s="46"/>
      <c r="F182" s="46">
        <v>0.83065748510135906</v>
      </c>
      <c r="G182" s="46">
        <v>-16.934251489864092</v>
      </c>
      <c r="H182" s="52"/>
      <c r="I182" s="52"/>
      <c r="J182" s="52"/>
    </row>
    <row r="183" spans="1:10" x14ac:dyDescent="0.2">
      <c r="A183" s="53"/>
      <c r="B183" s="53">
        <v>44179</v>
      </c>
      <c r="C183" s="56">
        <v>1</v>
      </c>
      <c r="D183" s="46">
        <v>1</v>
      </c>
      <c r="E183" s="46"/>
      <c r="F183" s="46">
        <v>0.96842710823655676</v>
      </c>
      <c r="G183" s="46">
        <v>-3.1572891763443209</v>
      </c>
      <c r="H183" s="52"/>
      <c r="I183" s="52"/>
      <c r="J183" s="52"/>
    </row>
    <row r="184" spans="1:10" x14ac:dyDescent="0.2">
      <c r="A184" s="53"/>
      <c r="B184" s="53">
        <v>44544</v>
      </c>
      <c r="C184" s="56">
        <v>1</v>
      </c>
      <c r="D184" s="46">
        <v>1</v>
      </c>
      <c r="E184" s="46"/>
      <c r="F184" s="46">
        <v>0.85761220911962788</v>
      </c>
      <c r="G184" s="46">
        <v>-14.238779088037207</v>
      </c>
      <c r="H184" s="52"/>
      <c r="I184" s="52"/>
      <c r="J184" s="52"/>
    </row>
    <row r="185" spans="1:10" x14ac:dyDescent="0.2">
      <c r="A185" s="53"/>
      <c r="B185" s="53">
        <v>44909</v>
      </c>
      <c r="C185" s="56">
        <v>1</v>
      </c>
      <c r="D185" s="46">
        <v>1</v>
      </c>
      <c r="E185" s="46"/>
      <c r="F185" s="46">
        <v>0.95297617467155493</v>
      </c>
      <c r="G185" s="46">
        <v>-4.7023825328445028</v>
      </c>
      <c r="H185" s="52"/>
      <c r="I185" s="52"/>
      <c r="J185" s="52"/>
    </row>
    <row r="186" spans="1:10" x14ac:dyDescent="0.2">
      <c r="A186" s="53"/>
      <c r="B186" s="53">
        <v>45274</v>
      </c>
      <c r="C186" s="56">
        <v>1</v>
      </c>
      <c r="D186" s="46">
        <v>1</v>
      </c>
      <c r="E186" s="46"/>
      <c r="F186" s="46">
        <v>0.85810694991272307</v>
      </c>
      <c r="G186" s="46">
        <v>-14.189305008727697</v>
      </c>
      <c r="H186" s="52"/>
      <c r="I186" s="52"/>
      <c r="J186" s="52"/>
    </row>
    <row r="187" spans="1:10" x14ac:dyDescent="0.2">
      <c r="A187" s="53"/>
      <c r="B187" s="53">
        <v>45642</v>
      </c>
      <c r="C187" s="46">
        <v>1</v>
      </c>
      <c r="D187" s="46">
        <v>1</v>
      </c>
      <c r="E187" s="46"/>
      <c r="F187" s="46">
        <v>0.87058830742213511</v>
      </c>
      <c r="G187" s="46">
        <v>-12.941169257786486</v>
      </c>
      <c r="H187" s="52"/>
      <c r="I187" s="52"/>
      <c r="J187" s="52"/>
    </row>
    <row r="188" spans="1:10" x14ac:dyDescent="0.2">
      <c r="A188" s="53"/>
      <c r="B188" s="53">
        <v>46006</v>
      </c>
      <c r="C188" s="46">
        <v>1</v>
      </c>
      <c r="D188" s="46">
        <v>1</v>
      </c>
      <c r="E188" s="46"/>
      <c r="F188" s="46">
        <v>0.88950859532359328</v>
      </c>
      <c r="G188" s="46">
        <v>-11.049140467640667</v>
      </c>
      <c r="H188" s="52"/>
      <c r="I188" s="52"/>
      <c r="J188" s="52"/>
    </row>
    <row r="189" spans="1:10" x14ac:dyDescent="0.2">
      <c r="A189" s="53"/>
      <c r="B189" s="53">
        <v>46370</v>
      </c>
      <c r="C189" s="46">
        <v>1</v>
      </c>
      <c r="D189" s="46">
        <v>1</v>
      </c>
      <c r="E189" s="46"/>
      <c r="F189" s="46">
        <v>0.83065748510135906</v>
      </c>
      <c r="G189" s="46">
        <v>-16.934251489864092</v>
      </c>
      <c r="H189" s="52"/>
      <c r="I189" s="52"/>
      <c r="J189" s="52"/>
    </row>
    <row r="190" spans="1:10" x14ac:dyDescent="0.2">
      <c r="A190" s="53"/>
      <c r="B190" s="53">
        <v>46735</v>
      </c>
      <c r="C190" s="46">
        <v>1</v>
      </c>
      <c r="D190" s="46">
        <v>1</v>
      </c>
      <c r="E190" s="46"/>
      <c r="F190" s="46">
        <v>0.85447985118900183</v>
      </c>
      <c r="G190" s="46">
        <v>-14.552014881099819</v>
      </c>
      <c r="H190" s="52"/>
      <c r="I190" s="52"/>
      <c r="J190" s="52"/>
    </row>
    <row r="191" spans="1:10" x14ac:dyDescent="0.2">
      <c r="A191" s="53"/>
      <c r="B191" s="53">
        <v>47101</v>
      </c>
      <c r="C191" s="46">
        <v>1</v>
      </c>
      <c r="D191" s="46">
        <v>1</v>
      </c>
      <c r="E191" s="46"/>
      <c r="F191" s="46">
        <v>0.92455482593827343</v>
      </c>
      <c r="G191" s="46">
        <v>-7.5445174061726608</v>
      </c>
      <c r="H191" s="52"/>
      <c r="I191" s="52"/>
      <c r="J191" s="52"/>
    </row>
    <row r="192" spans="1:10" x14ac:dyDescent="0.2">
      <c r="A192" s="53"/>
      <c r="E192" s="46"/>
      <c r="F192" s="46"/>
      <c r="H192" s="52"/>
      <c r="I192" s="52"/>
      <c r="J192" s="52"/>
    </row>
    <row r="193" spans="1:10" x14ac:dyDescent="0.2">
      <c r="A193" s="53"/>
      <c r="E193" s="46"/>
      <c r="F193" s="46"/>
      <c r="H193" s="52"/>
      <c r="I193" s="52"/>
      <c r="J193" s="52"/>
    </row>
    <row r="194" spans="1:10" x14ac:dyDescent="0.2">
      <c r="E194" s="46"/>
      <c r="F194" s="46"/>
      <c r="H194" s="52"/>
      <c r="I194" s="52"/>
      <c r="J194" s="52"/>
    </row>
    <row r="195" spans="1:10" x14ac:dyDescent="0.2">
      <c r="C195" s="78"/>
      <c r="D195" s="78"/>
      <c r="E195" s="78"/>
      <c r="F195" s="78"/>
      <c r="G195" s="78"/>
      <c r="H195" s="52"/>
      <c r="I195" s="52"/>
      <c r="J195" s="52"/>
    </row>
    <row r="196" spans="1:10" x14ac:dyDescent="0.2">
      <c r="E196" s="46"/>
      <c r="F196" s="46"/>
      <c r="H196" s="52"/>
      <c r="I196" s="52"/>
      <c r="J196" s="52"/>
    </row>
    <row r="197" spans="1:10" x14ac:dyDescent="0.2">
      <c r="E197" s="46"/>
      <c r="F197" s="46"/>
      <c r="H197" s="52"/>
      <c r="I197" s="52"/>
      <c r="J197" s="52"/>
    </row>
    <row r="198" spans="1:10" x14ac:dyDescent="0.2">
      <c r="E198" s="46"/>
      <c r="F198" s="46"/>
      <c r="H198" s="52"/>
      <c r="I198" s="52"/>
      <c r="J198" s="52"/>
    </row>
    <row r="199" spans="1:10" x14ac:dyDescent="0.2">
      <c r="E199" s="46"/>
      <c r="F199" s="46"/>
      <c r="H199" s="52"/>
      <c r="I199" s="52"/>
      <c r="J199" s="52"/>
    </row>
    <row r="200" spans="1:10" x14ac:dyDescent="0.2">
      <c r="E200" s="46"/>
      <c r="F200" s="46"/>
      <c r="H200" s="52"/>
      <c r="I200" s="52"/>
      <c r="J200" s="52"/>
    </row>
    <row r="201" spans="1:10" x14ac:dyDescent="0.2">
      <c r="E201" s="46"/>
      <c r="F201" s="46"/>
      <c r="H201" s="52"/>
      <c r="I201" s="52"/>
      <c r="J201" s="52"/>
    </row>
    <row r="202" spans="1:10" x14ac:dyDescent="0.2">
      <c r="E202" s="46"/>
      <c r="F202" s="46"/>
      <c r="H202" s="52"/>
      <c r="I202" s="52"/>
      <c r="J202" s="52"/>
    </row>
    <row r="203" spans="1:10" x14ac:dyDescent="0.2">
      <c r="E203" s="46"/>
      <c r="F203" s="46"/>
      <c r="H203" s="52"/>
      <c r="I203" s="52"/>
      <c r="J203" s="52"/>
    </row>
    <row r="204" spans="1:10" x14ac:dyDescent="0.2">
      <c r="E204" s="46"/>
      <c r="F204" s="46"/>
      <c r="H204" s="52"/>
      <c r="I204" s="52"/>
      <c r="J204" s="52"/>
    </row>
    <row r="205" spans="1:10" x14ac:dyDescent="0.2">
      <c r="E205" s="46"/>
      <c r="F205" s="46"/>
      <c r="H205" s="52"/>
      <c r="I205" s="52"/>
      <c r="J205" s="52"/>
    </row>
    <row r="206" spans="1:10" x14ac:dyDescent="0.2">
      <c r="E206" s="46"/>
      <c r="F206" s="46"/>
      <c r="H206" s="52"/>
      <c r="I206" s="52"/>
      <c r="J206" s="52"/>
    </row>
    <row r="207" spans="1:10" x14ac:dyDescent="0.2">
      <c r="E207" s="46"/>
      <c r="F207" s="46"/>
      <c r="H207" s="52"/>
      <c r="I207" s="52"/>
      <c r="J207" s="52"/>
    </row>
    <row r="208" spans="1:10" x14ac:dyDescent="0.2">
      <c r="E208" s="46"/>
      <c r="F208" s="46"/>
      <c r="H208" s="52"/>
      <c r="I208" s="52"/>
      <c r="J208" s="52"/>
    </row>
    <row r="209" spans="5:10" x14ac:dyDescent="0.2">
      <c r="E209" s="46"/>
      <c r="F209" s="46"/>
      <c r="H209" s="52"/>
      <c r="I209" s="52"/>
      <c r="J209" s="52"/>
    </row>
    <row r="210" spans="5:10" x14ac:dyDescent="0.2">
      <c r="E210" s="46"/>
      <c r="F210" s="46"/>
      <c r="H210" s="52"/>
      <c r="I210" s="52"/>
      <c r="J210" s="52"/>
    </row>
    <row r="211" spans="5:10" x14ac:dyDescent="0.2">
      <c r="E211" s="46"/>
      <c r="F211" s="46"/>
      <c r="H211" s="52"/>
      <c r="I211" s="52"/>
      <c r="J211" s="52"/>
    </row>
    <row r="212" spans="5:10" x14ac:dyDescent="0.2">
      <c r="E212" s="46"/>
      <c r="F212" s="46"/>
      <c r="H212" s="52"/>
      <c r="I212" s="52"/>
      <c r="J212" s="52"/>
    </row>
    <row r="213" spans="5:10" x14ac:dyDescent="0.2">
      <c r="E213" s="46"/>
      <c r="F213" s="46"/>
      <c r="H213" s="52"/>
      <c r="I213" s="52"/>
      <c r="J213" s="52"/>
    </row>
    <row r="214" spans="5:10" x14ac:dyDescent="0.2">
      <c r="E214" s="46"/>
      <c r="F214" s="46"/>
      <c r="H214" s="52"/>
      <c r="I214" s="52"/>
      <c r="J214" s="52"/>
    </row>
    <row r="215" spans="5:10" x14ac:dyDescent="0.2">
      <c r="E215" s="46"/>
      <c r="F215" s="46"/>
      <c r="H215" s="52"/>
      <c r="I215" s="52"/>
      <c r="J215" s="52"/>
    </row>
    <row r="216" spans="5:10" x14ac:dyDescent="0.2">
      <c r="E216" s="46"/>
      <c r="F216" s="46"/>
      <c r="H216" s="52"/>
      <c r="I216" s="52"/>
      <c r="J216" s="52"/>
    </row>
    <row r="217" spans="5:10" x14ac:dyDescent="0.2">
      <c r="E217" s="46"/>
      <c r="F217" s="46"/>
      <c r="H217" s="52"/>
      <c r="I217" s="52"/>
      <c r="J217" s="52"/>
    </row>
    <row r="218" spans="5:10" x14ac:dyDescent="0.2">
      <c r="E218" s="46"/>
      <c r="F218" s="46"/>
      <c r="H218" s="52"/>
      <c r="I218" s="52"/>
      <c r="J218" s="52"/>
    </row>
    <row r="219" spans="5:10" x14ac:dyDescent="0.2">
      <c r="E219" s="46"/>
      <c r="F219" s="46"/>
      <c r="H219" s="52"/>
      <c r="I219" s="52"/>
      <c r="J219" s="52"/>
    </row>
    <row r="220" spans="5:10" x14ac:dyDescent="0.2">
      <c r="E220" s="46"/>
      <c r="F220" s="46"/>
      <c r="H220" s="52"/>
      <c r="I220" s="52"/>
      <c r="J220" s="52"/>
    </row>
    <row r="221" spans="5:10" x14ac:dyDescent="0.2">
      <c r="E221" s="46"/>
      <c r="F221" s="46"/>
      <c r="H221" s="52"/>
      <c r="I221" s="52"/>
      <c r="J221" s="52"/>
    </row>
    <row r="222" spans="5:10" x14ac:dyDescent="0.2">
      <c r="E222" s="46"/>
      <c r="F222" s="46"/>
      <c r="H222" s="52"/>
      <c r="I222" s="52"/>
      <c r="J222" s="52"/>
    </row>
    <row r="223" spans="5:10" x14ac:dyDescent="0.2">
      <c r="E223" s="46"/>
      <c r="F223" s="46"/>
      <c r="H223" s="52"/>
      <c r="I223" s="52"/>
      <c r="J223" s="52"/>
    </row>
    <row r="224" spans="5:10" x14ac:dyDescent="0.2">
      <c r="E224" s="46"/>
      <c r="F224" s="46"/>
      <c r="H224" s="52"/>
      <c r="I224" s="52"/>
      <c r="J224" s="52"/>
    </row>
    <row r="225" spans="5:10" x14ac:dyDescent="0.2">
      <c r="E225" s="46"/>
      <c r="F225" s="46"/>
      <c r="H225" s="52"/>
      <c r="I225" s="52"/>
      <c r="J225" s="52"/>
    </row>
    <row r="226" spans="5:10" x14ac:dyDescent="0.2">
      <c r="E226" s="46"/>
      <c r="F226" s="46"/>
      <c r="H226" s="52"/>
      <c r="I226" s="52"/>
      <c r="J226" s="52"/>
    </row>
    <row r="227" spans="5:10" x14ac:dyDescent="0.2">
      <c r="E227" s="46"/>
      <c r="F227" s="46"/>
      <c r="H227" s="52"/>
      <c r="I227" s="52"/>
      <c r="J227" s="52"/>
    </row>
    <row r="228" spans="5:10" x14ac:dyDescent="0.2">
      <c r="E228" s="46"/>
      <c r="F228" s="46"/>
      <c r="H228" s="52"/>
      <c r="I228" s="52"/>
      <c r="J228" s="52"/>
    </row>
    <row r="229" spans="5:10" x14ac:dyDescent="0.2">
      <c r="E229" s="46"/>
      <c r="F229" s="46"/>
      <c r="H229" s="52"/>
      <c r="I229" s="52"/>
      <c r="J229" s="52"/>
    </row>
    <row r="230" spans="5:10" x14ac:dyDescent="0.2">
      <c r="E230" s="46"/>
      <c r="F230" s="46"/>
      <c r="H230" s="52"/>
      <c r="I230" s="52"/>
      <c r="J230" s="52"/>
    </row>
    <row r="231" spans="5:10" x14ac:dyDescent="0.2">
      <c r="E231" s="46"/>
      <c r="F231" s="46"/>
      <c r="H231" s="52"/>
      <c r="I231" s="52"/>
      <c r="J231" s="52"/>
    </row>
    <row r="232" spans="5:10" x14ac:dyDescent="0.2">
      <c r="E232" s="46"/>
      <c r="F232" s="46"/>
      <c r="H232" s="52"/>
      <c r="I232" s="52"/>
      <c r="J232" s="52"/>
    </row>
    <row r="233" spans="5:10" x14ac:dyDescent="0.2">
      <c r="E233" s="46"/>
      <c r="F233" s="46"/>
      <c r="H233" s="52"/>
      <c r="I233" s="52"/>
      <c r="J233" s="52"/>
    </row>
    <row r="234" spans="5:10" x14ac:dyDescent="0.2">
      <c r="E234" s="46"/>
      <c r="F234" s="46"/>
      <c r="H234" s="52"/>
      <c r="I234" s="52"/>
      <c r="J234" s="52"/>
    </row>
    <row r="235" spans="5:10" x14ac:dyDescent="0.2">
      <c r="E235" s="46"/>
      <c r="F235" s="46"/>
      <c r="H235" s="52"/>
      <c r="I235" s="52"/>
      <c r="J235" s="52"/>
    </row>
    <row r="236" spans="5:10" x14ac:dyDescent="0.2">
      <c r="E236" s="46"/>
      <c r="F236" s="46"/>
      <c r="H236" s="52"/>
      <c r="I236" s="52"/>
      <c r="J236" s="52"/>
    </row>
    <row r="237" spans="5:10" x14ac:dyDescent="0.2">
      <c r="E237" s="46"/>
      <c r="F237" s="46"/>
      <c r="H237" s="52"/>
      <c r="I237" s="52"/>
      <c r="J237" s="52"/>
    </row>
    <row r="238" spans="5:10" x14ac:dyDescent="0.2">
      <c r="E238" s="46"/>
      <c r="F238" s="46"/>
      <c r="H238" s="52"/>
      <c r="I238" s="52"/>
      <c r="J238" s="52"/>
    </row>
    <row r="239" spans="5:10" x14ac:dyDescent="0.2">
      <c r="E239" s="46"/>
      <c r="F239" s="46"/>
      <c r="H239" s="52"/>
      <c r="I239" s="52"/>
      <c r="J239" s="52"/>
    </row>
    <row r="240" spans="5:10" x14ac:dyDescent="0.2">
      <c r="E240" s="46"/>
      <c r="F240" s="46"/>
      <c r="H240" s="52"/>
      <c r="I240" s="52"/>
      <c r="J240" s="52"/>
    </row>
    <row r="241" spans="5:10" x14ac:dyDescent="0.2">
      <c r="E241" s="46"/>
      <c r="F241" s="46"/>
      <c r="H241" s="52"/>
      <c r="I241" s="52"/>
      <c r="J241" s="52"/>
    </row>
    <row r="242" spans="5:10" x14ac:dyDescent="0.2">
      <c r="E242" s="46"/>
      <c r="F242" s="46"/>
      <c r="H242" s="52"/>
      <c r="I242" s="52"/>
      <c r="J242" s="52"/>
    </row>
    <row r="243" spans="5:10" x14ac:dyDescent="0.2">
      <c r="E243" s="46"/>
      <c r="F243" s="46"/>
      <c r="H243" s="52"/>
      <c r="I243" s="52"/>
      <c r="J243" s="52"/>
    </row>
    <row r="244" spans="5:10" x14ac:dyDescent="0.2">
      <c r="E244" s="46"/>
      <c r="F244" s="46"/>
      <c r="H244" s="52"/>
      <c r="I244" s="52"/>
      <c r="J244" s="52"/>
    </row>
    <row r="245" spans="5:10" x14ac:dyDescent="0.2">
      <c r="E245" s="46"/>
      <c r="F245" s="46"/>
      <c r="H245" s="52"/>
      <c r="I245" s="52"/>
      <c r="J245" s="52"/>
    </row>
    <row r="246" spans="5:10" x14ac:dyDescent="0.2">
      <c r="E246" s="46"/>
      <c r="F246" s="46"/>
      <c r="H246" s="52"/>
      <c r="I246" s="52"/>
      <c r="J246" s="52"/>
    </row>
    <row r="247" spans="5:10" x14ac:dyDescent="0.2">
      <c r="E247" s="46"/>
      <c r="F247" s="46"/>
      <c r="H247" s="52"/>
      <c r="I247" s="52"/>
      <c r="J247" s="52"/>
    </row>
    <row r="248" spans="5:10" x14ac:dyDescent="0.2">
      <c r="E248" s="46"/>
      <c r="F248" s="46"/>
      <c r="H248" s="52"/>
      <c r="I248" s="52"/>
      <c r="J248" s="52"/>
    </row>
    <row r="249" spans="5:10" x14ac:dyDescent="0.2">
      <c r="E249" s="46"/>
      <c r="F249" s="46"/>
      <c r="H249" s="52"/>
      <c r="I249" s="52"/>
      <c r="J249" s="52"/>
    </row>
    <row r="250" spans="5:10" x14ac:dyDescent="0.2">
      <c r="E250" s="46"/>
      <c r="F250" s="46"/>
      <c r="H250" s="52"/>
      <c r="I250" s="52"/>
      <c r="J250" s="52"/>
    </row>
    <row r="251" spans="5:10" x14ac:dyDescent="0.2">
      <c r="E251" s="46"/>
      <c r="F251" s="46"/>
      <c r="H251" s="52"/>
      <c r="I251" s="52"/>
      <c r="J251" s="52"/>
    </row>
    <row r="252" spans="5:10" x14ac:dyDescent="0.2">
      <c r="E252" s="46"/>
      <c r="F252" s="46"/>
      <c r="H252" s="52"/>
      <c r="I252" s="52"/>
      <c r="J252" s="52"/>
    </row>
    <row r="253" spans="5:10" x14ac:dyDescent="0.2">
      <c r="E253" s="46"/>
      <c r="F253" s="46"/>
      <c r="H253" s="52"/>
      <c r="I253" s="52"/>
      <c r="J253" s="52"/>
    </row>
    <row r="254" spans="5:10" x14ac:dyDescent="0.2">
      <c r="E254" s="46"/>
      <c r="F254" s="46"/>
      <c r="H254" s="52"/>
      <c r="I254" s="52"/>
      <c r="J254" s="52"/>
    </row>
    <row r="255" spans="5:10" x14ac:dyDescent="0.2">
      <c r="E255" s="46"/>
      <c r="F255" s="46"/>
      <c r="H255" s="52"/>
      <c r="I255" s="52"/>
      <c r="J255" s="52"/>
    </row>
    <row r="256" spans="5:10" x14ac:dyDescent="0.2">
      <c r="E256" s="46"/>
      <c r="F256" s="46"/>
      <c r="H256" s="52"/>
      <c r="I256" s="52"/>
      <c r="J256" s="52"/>
    </row>
    <row r="257" spans="5:10" x14ac:dyDescent="0.2">
      <c r="E257" s="46"/>
      <c r="F257" s="46"/>
      <c r="H257" s="52"/>
      <c r="I257" s="52"/>
      <c r="J257" s="52"/>
    </row>
    <row r="258" spans="5:10" x14ac:dyDescent="0.2">
      <c r="E258" s="46"/>
      <c r="F258" s="46"/>
      <c r="H258" s="52"/>
      <c r="I258" s="52"/>
      <c r="J258" s="52"/>
    </row>
    <row r="259" spans="5:10" x14ac:dyDescent="0.2">
      <c r="E259" s="46"/>
      <c r="F259" s="46"/>
      <c r="H259" s="52"/>
      <c r="I259" s="52"/>
      <c r="J259" s="52"/>
    </row>
    <row r="260" spans="5:10" x14ac:dyDescent="0.2">
      <c r="E260" s="46"/>
      <c r="F260" s="46"/>
      <c r="H260" s="52"/>
      <c r="I260" s="52"/>
      <c r="J260" s="52"/>
    </row>
    <row r="261" spans="5:10" x14ac:dyDescent="0.2">
      <c r="E261" s="46"/>
      <c r="F261" s="46"/>
      <c r="H261" s="52"/>
      <c r="I261" s="52"/>
      <c r="J261" s="52"/>
    </row>
    <row r="262" spans="5:10" x14ac:dyDescent="0.2">
      <c r="E262" s="46"/>
      <c r="F262" s="46"/>
      <c r="H262" s="52"/>
      <c r="I262" s="52"/>
      <c r="J262" s="52"/>
    </row>
    <row r="263" spans="5:10" x14ac:dyDescent="0.2">
      <c r="E263" s="46"/>
      <c r="F263" s="46"/>
      <c r="H263" s="52"/>
      <c r="I263" s="52"/>
      <c r="J263" s="52"/>
    </row>
    <row r="264" spans="5:10" x14ac:dyDescent="0.2">
      <c r="E264" s="46"/>
      <c r="F264" s="46"/>
      <c r="H264" s="52"/>
      <c r="I264" s="52"/>
      <c r="J264" s="52"/>
    </row>
    <row r="265" spans="5:10" x14ac:dyDescent="0.2">
      <c r="E265" s="46"/>
      <c r="F265" s="46"/>
      <c r="H265" s="52"/>
      <c r="I265" s="52"/>
      <c r="J265" s="52"/>
    </row>
    <row r="266" spans="5:10" x14ac:dyDescent="0.2">
      <c r="E266" s="46"/>
      <c r="F266" s="46"/>
      <c r="H266" s="52"/>
      <c r="I266" s="52"/>
      <c r="J266" s="52"/>
    </row>
    <row r="267" spans="5:10" x14ac:dyDescent="0.2">
      <c r="E267" s="46"/>
      <c r="F267" s="46"/>
      <c r="H267" s="52"/>
      <c r="I267" s="52"/>
      <c r="J267" s="52"/>
    </row>
    <row r="268" spans="5:10" x14ac:dyDescent="0.2">
      <c r="E268" s="46"/>
      <c r="F268" s="46"/>
      <c r="H268" s="52"/>
      <c r="I268" s="52"/>
      <c r="J268" s="52"/>
    </row>
    <row r="269" spans="5:10" x14ac:dyDescent="0.2">
      <c r="E269" s="46"/>
      <c r="F269" s="46"/>
      <c r="H269" s="52"/>
      <c r="I269" s="52"/>
      <c r="J269" s="52"/>
    </row>
    <row r="270" spans="5:10" x14ac:dyDescent="0.2">
      <c r="E270" s="46"/>
      <c r="F270" s="46"/>
      <c r="H270" s="52"/>
      <c r="I270" s="52"/>
      <c r="J270" s="52"/>
    </row>
    <row r="271" spans="5:10" x14ac:dyDescent="0.2">
      <c r="E271" s="46"/>
      <c r="F271" s="46"/>
      <c r="H271" s="52"/>
      <c r="I271" s="52"/>
      <c r="J271" s="52"/>
    </row>
    <row r="272" spans="5:10" x14ac:dyDescent="0.2">
      <c r="E272" s="46"/>
      <c r="F272" s="46"/>
      <c r="H272" s="52"/>
      <c r="I272" s="52"/>
      <c r="J272" s="52"/>
    </row>
    <row r="273" spans="5:10" x14ac:dyDescent="0.2">
      <c r="E273" s="46"/>
      <c r="F273" s="46"/>
      <c r="H273" s="52"/>
      <c r="I273" s="52"/>
      <c r="J273" s="52"/>
    </row>
    <row r="274" spans="5:10" x14ac:dyDescent="0.2">
      <c r="E274" s="46"/>
      <c r="F274" s="46"/>
      <c r="H274" s="52"/>
      <c r="I274" s="52"/>
      <c r="J274" s="52"/>
    </row>
    <row r="275" spans="5:10" x14ac:dyDescent="0.2">
      <c r="E275" s="46"/>
      <c r="F275" s="46"/>
      <c r="H275" s="52"/>
      <c r="I275" s="52"/>
      <c r="J275" s="52"/>
    </row>
    <row r="276" spans="5:10" x14ac:dyDescent="0.2">
      <c r="E276" s="46"/>
      <c r="F276" s="46"/>
      <c r="H276" s="52"/>
      <c r="I276" s="52"/>
      <c r="J276" s="52"/>
    </row>
    <row r="277" spans="5:10" x14ac:dyDescent="0.2">
      <c r="E277" s="46"/>
      <c r="F277" s="46"/>
      <c r="H277" s="52"/>
      <c r="I277" s="52"/>
      <c r="J277" s="52"/>
    </row>
    <row r="278" spans="5:10" x14ac:dyDescent="0.2">
      <c r="E278" s="46"/>
      <c r="F278" s="46"/>
      <c r="H278" s="52"/>
      <c r="I278" s="52"/>
      <c r="J278" s="52"/>
    </row>
    <row r="279" spans="5:10" x14ac:dyDescent="0.2">
      <c r="E279" s="46"/>
      <c r="F279" s="46"/>
      <c r="H279" s="52"/>
      <c r="I279" s="52"/>
      <c r="J279" s="52"/>
    </row>
    <row r="280" spans="5:10" x14ac:dyDescent="0.2">
      <c r="E280" s="46"/>
      <c r="F280" s="46"/>
      <c r="H280" s="52"/>
      <c r="I280" s="52"/>
      <c r="J280" s="52"/>
    </row>
    <row r="281" spans="5:10" x14ac:dyDescent="0.2">
      <c r="E281" s="46"/>
      <c r="F281" s="46"/>
      <c r="H281" s="52"/>
      <c r="I281" s="52"/>
      <c r="J281" s="52"/>
    </row>
    <row r="282" spans="5:10" x14ac:dyDescent="0.2">
      <c r="E282" s="46"/>
      <c r="F282" s="46"/>
      <c r="H282" s="52"/>
      <c r="I282" s="52"/>
      <c r="J282" s="52"/>
    </row>
    <row r="283" spans="5:10" x14ac:dyDescent="0.2">
      <c r="E283" s="46"/>
      <c r="F283" s="46"/>
      <c r="H283" s="52"/>
      <c r="I283" s="52"/>
      <c r="J283" s="52"/>
    </row>
    <row r="284" spans="5:10" x14ac:dyDescent="0.2">
      <c r="E284" s="46"/>
      <c r="F284" s="46"/>
      <c r="H284" s="52"/>
      <c r="I284" s="52"/>
      <c r="J284" s="52"/>
    </row>
    <row r="285" spans="5:10" x14ac:dyDescent="0.2">
      <c r="E285" s="46"/>
      <c r="F285" s="46"/>
      <c r="H285" s="52"/>
      <c r="I285" s="52"/>
      <c r="J285" s="52"/>
    </row>
    <row r="286" spans="5:10" x14ac:dyDescent="0.2">
      <c r="E286" s="46"/>
      <c r="F286" s="46"/>
      <c r="H286" s="52"/>
      <c r="I286" s="52"/>
      <c r="J286" s="52"/>
    </row>
    <row r="287" spans="5:10" x14ac:dyDescent="0.2">
      <c r="E287" s="46"/>
      <c r="F287" s="46"/>
      <c r="H287" s="52"/>
      <c r="I287" s="52"/>
      <c r="J287" s="52"/>
    </row>
    <row r="288" spans="5:10" x14ac:dyDescent="0.2">
      <c r="E288" s="46"/>
      <c r="F288" s="46"/>
      <c r="H288" s="52"/>
      <c r="I288" s="52"/>
      <c r="J288" s="52"/>
    </row>
    <row r="289" spans="2:11" x14ac:dyDescent="0.2">
      <c r="E289" s="46"/>
      <c r="F289" s="46"/>
      <c r="H289" s="52"/>
      <c r="I289" s="52"/>
      <c r="J289" s="52"/>
    </row>
    <row r="290" spans="2:11" x14ac:dyDescent="0.2">
      <c r="E290" s="46"/>
      <c r="F290" s="46"/>
      <c r="H290" s="52"/>
      <c r="I290" s="52"/>
      <c r="J290" s="52"/>
    </row>
    <row r="291" spans="2:11" x14ac:dyDescent="0.2">
      <c r="E291" s="46"/>
      <c r="F291" s="46"/>
      <c r="H291" s="52"/>
      <c r="I291" s="52"/>
      <c r="J291" s="52"/>
    </row>
    <row r="292" spans="2:11" x14ac:dyDescent="0.2">
      <c r="B292" s="79" t="s">
        <v>422</v>
      </c>
      <c r="E292" s="46"/>
      <c r="F292" s="46"/>
      <c r="H292" s="52"/>
      <c r="I292" s="52"/>
      <c r="J292" s="52"/>
    </row>
    <row r="293" spans="2:11" x14ac:dyDescent="0.2">
      <c r="B293" s="46" t="s">
        <v>370</v>
      </c>
      <c r="C293" s="46" t="s">
        <v>386</v>
      </c>
      <c r="D293" s="52" t="s">
        <v>385</v>
      </c>
      <c r="E293" s="52" t="s">
        <v>416</v>
      </c>
      <c r="F293" s="48" t="s">
        <v>383</v>
      </c>
      <c r="G293" s="49" t="s">
        <v>369</v>
      </c>
      <c r="H293" s="52"/>
      <c r="I293" s="52"/>
      <c r="J293" s="52"/>
    </row>
    <row r="294" spans="2:11" x14ac:dyDescent="0.2">
      <c r="B294" s="53">
        <v>43448</v>
      </c>
      <c r="C294" s="56">
        <v>0</v>
      </c>
      <c r="D294" s="46">
        <v>0</v>
      </c>
      <c r="E294" s="46"/>
      <c r="F294" s="46">
        <v>1</v>
      </c>
      <c r="G294" s="46">
        <v>0</v>
      </c>
      <c r="H294" s="52"/>
      <c r="I294" s="52"/>
      <c r="J294" s="52"/>
    </row>
    <row r="295" spans="2:11" x14ac:dyDescent="0.2">
      <c r="B295" s="53">
        <v>43815</v>
      </c>
      <c r="C295" s="56">
        <v>1</v>
      </c>
      <c r="D295" s="46">
        <v>1</v>
      </c>
      <c r="E295" s="46"/>
      <c r="F295" s="46">
        <v>0.96842710823655676</v>
      </c>
      <c r="G295" s="46">
        <v>-3.1572891763443209</v>
      </c>
      <c r="H295" s="52"/>
      <c r="I295" s="52"/>
      <c r="J295" s="52"/>
    </row>
    <row r="296" spans="2:11" x14ac:dyDescent="0.2">
      <c r="B296" s="53">
        <v>44179</v>
      </c>
      <c r="C296" s="56">
        <v>1</v>
      </c>
      <c r="D296" s="46">
        <v>1</v>
      </c>
      <c r="E296" s="46"/>
      <c r="F296" s="46">
        <v>0.92455482593827343</v>
      </c>
      <c r="G296" s="46">
        <v>-7.5445174061726608</v>
      </c>
      <c r="H296" s="52"/>
      <c r="I296" s="52"/>
      <c r="J296" s="52"/>
    </row>
    <row r="297" spans="2:11" x14ac:dyDescent="0.2">
      <c r="B297" s="53">
        <v>44544</v>
      </c>
      <c r="C297" s="56">
        <v>1</v>
      </c>
      <c r="D297" s="46">
        <v>1</v>
      </c>
      <c r="E297" s="46"/>
      <c r="F297" s="46">
        <v>0.93756010426003045</v>
      </c>
      <c r="G297" s="46">
        <v>-6.2439895739969558</v>
      </c>
      <c r="H297" s="52"/>
      <c r="I297" s="52"/>
      <c r="J297" s="52"/>
    </row>
    <row r="298" spans="2:11" x14ac:dyDescent="0.2">
      <c r="B298" s="53">
        <v>44909</v>
      </c>
      <c r="C298" s="46">
        <v>1</v>
      </c>
      <c r="D298" s="46">
        <v>1</v>
      </c>
      <c r="E298" s="46"/>
      <c r="F298" s="46">
        <v>0.90464253281458407</v>
      </c>
      <c r="G298" s="46">
        <v>-9.5357467185415956</v>
      </c>
      <c r="H298" s="52"/>
      <c r="I298" s="52"/>
      <c r="J298" s="52"/>
    </row>
    <row r="299" spans="2:11" x14ac:dyDescent="0.2">
      <c r="B299" s="53">
        <v>45274</v>
      </c>
      <c r="C299" s="46">
        <v>1</v>
      </c>
      <c r="D299" s="46">
        <v>1</v>
      </c>
      <c r="E299" s="46"/>
      <c r="F299" s="46">
        <v>0.88950859532359328</v>
      </c>
      <c r="G299" s="46">
        <v>-11.049140467640667</v>
      </c>
      <c r="H299" s="52"/>
      <c r="I299" s="52"/>
      <c r="J299" s="52"/>
    </row>
    <row r="300" spans="2:11" x14ac:dyDescent="0.2">
      <c r="B300" s="53">
        <v>45642</v>
      </c>
      <c r="C300" s="46">
        <v>1</v>
      </c>
      <c r="D300" s="46">
        <v>1</v>
      </c>
      <c r="E300" s="46"/>
      <c r="F300" s="46">
        <v>0.90526057843232666</v>
      </c>
      <c r="G300" s="46">
        <v>-9.4739421567673343</v>
      </c>
      <c r="H300" s="52"/>
      <c r="I300" s="52"/>
      <c r="J300" s="52"/>
    </row>
    <row r="301" spans="2:11" x14ac:dyDescent="0.2">
      <c r="B301" s="53">
        <v>46006</v>
      </c>
      <c r="C301" s="46">
        <v>1</v>
      </c>
      <c r="D301" s="46">
        <v>1</v>
      </c>
      <c r="E301" s="46"/>
      <c r="F301" s="46">
        <v>0.83074492273636324</v>
      </c>
      <c r="G301" s="46">
        <v>-16.925507726363673</v>
      </c>
      <c r="H301" s="52"/>
      <c r="I301" s="52"/>
      <c r="J301" s="52"/>
    </row>
    <row r="302" spans="2:11" x14ac:dyDescent="0.2">
      <c r="B302" s="53">
        <v>46370</v>
      </c>
      <c r="C302" s="46">
        <v>1</v>
      </c>
      <c r="D302" s="46">
        <v>1</v>
      </c>
      <c r="E302" s="46"/>
      <c r="F302" s="46">
        <v>0.83434000162576827</v>
      </c>
      <c r="G302" s="46">
        <v>-16.565999837423171</v>
      </c>
      <c r="H302" s="52"/>
      <c r="I302" s="52"/>
      <c r="J302" s="52"/>
    </row>
    <row r="303" spans="2:11" x14ac:dyDescent="0.2">
      <c r="B303" s="53">
        <v>46735</v>
      </c>
      <c r="C303" s="46">
        <v>1</v>
      </c>
      <c r="D303" s="46">
        <v>1</v>
      </c>
      <c r="E303" s="46"/>
      <c r="F303" s="46">
        <v>0.83455734611327226</v>
      </c>
      <c r="G303" s="46">
        <v>-16.54426538867278</v>
      </c>
      <c r="H303" s="52"/>
      <c r="I303" s="52"/>
      <c r="J303" s="52"/>
      <c r="K303" s="61"/>
    </row>
    <row r="304" spans="2:11" x14ac:dyDescent="0.2">
      <c r="B304" s="53">
        <v>47101</v>
      </c>
      <c r="C304" s="46">
        <v>1</v>
      </c>
      <c r="D304" s="46">
        <v>1</v>
      </c>
      <c r="E304" s="46"/>
      <c r="F304" s="46">
        <v>1.1000000000000001</v>
      </c>
      <c r="G304" s="46">
        <v>0</v>
      </c>
      <c r="H304" s="52"/>
      <c r="I304" s="52"/>
      <c r="J304" s="52"/>
      <c r="K304" s="61"/>
    </row>
    <row r="305" spans="3:11" x14ac:dyDescent="0.2">
      <c r="E305" s="46"/>
      <c r="F305" s="46"/>
      <c r="H305" s="52"/>
      <c r="I305" s="52"/>
      <c r="J305" s="52"/>
      <c r="K305" s="61"/>
    </row>
    <row r="306" spans="3:11" x14ac:dyDescent="0.2">
      <c r="C306" s="59"/>
      <c r="E306" s="46"/>
      <c r="F306" s="51"/>
      <c r="G306" s="49"/>
      <c r="H306" s="52"/>
      <c r="I306" s="52"/>
      <c r="J306" s="52"/>
      <c r="K306" s="61"/>
    </row>
    <row r="307" spans="3:11" x14ac:dyDescent="0.2">
      <c r="C307" s="59"/>
      <c r="E307" s="46"/>
      <c r="F307" s="51"/>
      <c r="G307" s="49"/>
      <c r="H307" s="52"/>
      <c r="I307" s="52"/>
      <c r="J307" s="52"/>
      <c r="K307" s="61"/>
    </row>
    <row r="308" spans="3:11" x14ac:dyDescent="0.2">
      <c r="C308" s="59"/>
      <c r="E308" s="46"/>
      <c r="F308" s="51"/>
      <c r="G308" s="49"/>
      <c r="H308" s="52"/>
      <c r="I308" s="52"/>
      <c r="J308" s="52"/>
      <c r="K308" s="61"/>
    </row>
    <row r="309" spans="3:11" x14ac:dyDescent="0.2">
      <c r="C309" s="59"/>
      <c r="E309" s="46"/>
      <c r="F309" s="51"/>
      <c r="G309" s="49"/>
      <c r="H309" s="52"/>
      <c r="I309" s="52"/>
      <c r="J309" s="52"/>
      <c r="K309" s="61"/>
    </row>
    <row r="310" spans="3:11" x14ac:dyDescent="0.2">
      <c r="C310" s="59"/>
      <c r="E310" s="46"/>
      <c r="F310" s="51"/>
      <c r="G310" s="49"/>
      <c r="H310" s="52"/>
      <c r="I310" s="52"/>
      <c r="J310" s="52"/>
      <c r="K310" s="61"/>
    </row>
    <row r="311" spans="3:11" x14ac:dyDescent="0.2">
      <c r="C311" s="59"/>
      <c r="E311" s="46"/>
      <c r="F311" s="51"/>
      <c r="G311" s="49"/>
      <c r="H311" s="52"/>
      <c r="I311" s="52"/>
      <c r="J311" s="52"/>
      <c r="K311" s="61"/>
    </row>
    <row r="312" spans="3:11" x14ac:dyDescent="0.2">
      <c r="C312" s="59"/>
      <c r="E312" s="46"/>
      <c r="F312" s="51"/>
      <c r="G312" s="49"/>
      <c r="H312" s="52"/>
      <c r="I312" s="52"/>
      <c r="J312" s="52"/>
      <c r="K312" s="61"/>
    </row>
    <row r="313" spans="3:11" x14ac:dyDescent="0.2">
      <c r="C313" s="59"/>
      <c r="E313" s="46"/>
      <c r="F313" s="51"/>
      <c r="G313" s="49"/>
      <c r="H313" s="52"/>
      <c r="I313" s="52"/>
      <c r="J313" s="52"/>
      <c r="K313" s="61"/>
    </row>
    <row r="314" spans="3:11" x14ac:dyDescent="0.2">
      <c r="C314" s="59"/>
      <c r="E314" s="46"/>
      <c r="F314" s="51"/>
      <c r="G314" s="49"/>
      <c r="H314" s="52"/>
      <c r="I314" s="52"/>
      <c r="J314" s="52"/>
      <c r="K314" s="61"/>
    </row>
    <row r="315" spans="3:11" x14ac:dyDescent="0.2">
      <c r="C315" s="59"/>
      <c r="E315" s="46"/>
      <c r="F315" s="51"/>
      <c r="G315" s="49"/>
      <c r="H315" s="52"/>
      <c r="I315" s="52"/>
      <c r="J315" s="52"/>
      <c r="K315" s="61"/>
    </row>
    <row r="316" spans="3:11" x14ac:dyDescent="0.2">
      <c r="C316" s="59"/>
      <c r="E316" s="46"/>
      <c r="F316" s="51"/>
      <c r="G316" s="49"/>
      <c r="H316" s="52"/>
      <c r="I316" s="52"/>
      <c r="J316" s="52"/>
      <c r="K316" s="61"/>
    </row>
    <row r="317" spans="3:11" x14ac:dyDescent="0.2">
      <c r="C317" s="59"/>
      <c r="E317" s="46"/>
      <c r="F317" s="51"/>
      <c r="G317" s="49"/>
      <c r="H317" s="52"/>
      <c r="I317" s="52"/>
      <c r="J317" s="52"/>
      <c r="K317" s="61"/>
    </row>
    <row r="318" spans="3:11" x14ac:dyDescent="0.2">
      <c r="C318" s="59"/>
      <c r="E318" s="46"/>
      <c r="F318" s="51"/>
      <c r="G318" s="49"/>
      <c r="H318" s="52"/>
      <c r="I318" s="52"/>
      <c r="J318" s="52"/>
      <c r="K318" s="61"/>
    </row>
    <row r="319" spans="3:11" x14ac:dyDescent="0.2">
      <c r="C319" s="59"/>
      <c r="E319" s="46"/>
      <c r="F319" s="51"/>
      <c r="G319" s="49"/>
      <c r="H319" s="52"/>
      <c r="I319" s="52"/>
      <c r="J319" s="52"/>
      <c r="K319" s="61"/>
    </row>
    <row r="320" spans="3:11" x14ac:dyDescent="0.2">
      <c r="C320" s="59"/>
      <c r="E320" s="46"/>
      <c r="F320" s="51"/>
      <c r="G320" s="49"/>
      <c r="H320" s="52"/>
      <c r="I320" s="52"/>
      <c r="J320" s="52"/>
      <c r="K320" s="61"/>
    </row>
    <row r="321" spans="3:11" x14ac:dyDescent="0.2">
      <c r="C321" s="59"/>
      <c r="E321" s="46"/>
      <c r="F321" s="51"/>
      <c r="G321" s="49"/>
      <c r="H321" s="52"/>
      <c r="I321" s="52"/>
      <c r="J321" s="52"/>
      <c r="K321" s="61"/>
    </row>
    <row r="322" spans="3:11" x14ac:dyDescent="0.2">
      <c r="C322" s="59"/>
      <c r="E322" s="46"/>
      <c r="F322" s="51"/>
      <c r="G322" s="49"/>
      <c r="H322" s="52"/>
      <c r="I322" s="52"/>
      <c r="J322" s="52"/>
      <c r="K322" s="61"/>
    </row>
    <row r="323" spans="3:11" x14ac:dyDescent="0.2">
      <c r="C323" s="59"/>
      <c r="E323" s="46"/>
      <c r="F323" s="51"/>
      <c r="G323" s="49"/>
      <c r="H323" s="52"/>
      <c r="I323" s="52"/>
      <c r="J323" s="52"/>
      <c r="K323" s="61"/>
    </row>
    <row r="324" spans="3:11" x14ac:dyDescent="0.2">
      <c r="C324" s="59"/>
      <c r="E324" s="46"/>
      <c r="F324" s="51"/>
      <c r="G324" s="49"/>
      <c r="H324" s="52"/>
      <c r="I324" s="52"/>
      <c r="J324" s="52"/>
      <c r="K324" s="61"/>
    </row>
    <row r="325" spans="3:11" x14ac:dyDescent="0.2">
      <c r="C325" s="59"/>
      <c r="E325" s="46"/>
      <c r="F325" s="51"/>
      <c r="G325" s="49"/>
      <c r="H325" s="52"/>
      <c r="I325" s="52"/>
      <c r="J325" s="52"/>
      <c r="K325" s="61"/>
    </row>
    <row r="326" spans="3:11" x14ac:dyDescent="0.2">
      <c r="C326" s="59"/>
      <c r="E326" s="46"/>
      <c r="F326" s="51"/>
      <c r="G326" s="49"/>
      <c r="H326" s="52"/>
      <c r="I326" s="52"/>
      <c r="J326" s="52"/>
      <c r="K326" s="61"/>
    </row>
    <row r="327" spans="3:11" x14ac:dyDescent="0.2">
      <c r="C327" s="59"/>
      <c r="E327" s="46"/>
      <c r="F327" s="51"/>
      <c r="G327" s="49"/>
      <c r="H327" s="52"/>
      <c r="I327" s="52"/>
      <c r="J327" s="52"/>
      <c r="K327" s="61"/>
    </row>
    <row r="328" spans="3:11" x14ac:dyDescent="0.2">
      <c r="C328" s="59"/>
      <c r="E328" s="46"/>
      <c r="F328" s="51"/>
      <c r="G328" s="49"/>
      <c r="H328" s="52"/>
      <c r="I328" s="52"/>
      <c r="J328" s="52"/>
      <c r="K328" s="61"/>
    </row>
    <row r="329" spans="3:11" x14ac:dyDescent="0.2">
      <c r="C329" s="59"/>
      <c r="E329" s="46"/>
      <c r="F329" s="51"/>
      <c r="G329" s="49"/>
      <c r="H329" s="52"/>
      <c r="I329" s="52"/>
      <c r="J329" s="52"/>
      <c r="K329" s="61"/>
    </row>
    <row r="330" spans="3:11" x14ac:dyDescent="0.2">
      <c r="C330" s="59"/>
      <c r="E330" s="46"/>
      <c r="F330" s="51"/>
      <c r="G330" s="49"/>
      <c r="H330" s="52"/>
      <c r="I330" s="52"/>
      <c r="J330" s="52"/>
      <c r="K330" s="61"/>
    </row>
    <row r="331" spans="3:11" x14ac:dyDescent="0.2">
      <c r="C331" s="59"/>
      <c r="E331" s="46"/>
      <c r="F331" s="51"/>
      <c r="G331" s="49"/>
      <c r="H331" s="52"/>
      <c r="I331" s="52"/>
      <c r="J331" s="52"/>
      <c r="K331" s="61"/>
    </row>
    <row r="332" spans="3:11" x14ac:dyDescent="0.2">
      <c r="C332" s="59"/>
      <c r="E332" s="46"/>
      <c r="F332" s="51"/>
      <c r="G332" s="49"/>
      <c r="H332" s="52"/>
      <c r="I332" s="52"/>
      <c r="J332" s="52"/>
      <c r="K332" s="61"/>
    </row>
    <row r="333" spans="3:11" x14ac:dyDescent="0.2">
      <c r="C333" s="59"/>
      <c r="E333" s="46"/>
      <c r="F333" s="51"/>
      <c r="G333" s="49"/>
      <c r="H333" s="52"/>
      <c r="I333" s="52"/>
      <c r="J333" s="52"/>
      <c r="K333" s="61"/>
    </row>
    <row r="334" spans="3:11" x14ac:dyDescent="0.2">
      <c r="C334" s="59"/>
      <c r="E334" s="46"/>
      <c r="F334" s="51"/>
      <c r="G334" s="49"/>
      <c r="H334" s="52"/>
      <c r="I334" s="52"/>
      <c r="J334" s="52"/>
      <c r="K334" s="61"/>
    </row>
    <row r="335" spans="3:11" x14ac:dyDescent="0.2">
      <c r="C335" s="59"/>
      <c r="E335" s="46"/>
      <c r="F335" s="51"/>
      <c r="G335" s="49"/>
      <c r="H335" s="52"/>
      <c r="I335" s="52"/>
      <c r="J335" s="52"/>
      <c r="K335" s="61"/>
    </row>
    <row r="336" spans="3:11" x14ac:dyDescent="0.2">
      <c r="C336" s="59"/>
      <c r="E336" s="46"/>
      <c r="F336" s="51"/>
      <c r="G336" s="49"/>
      <c r="H336" s="52"/>
      <c r="I336" s="52"/>
      <c r="J336" s="52"/>
      <c r="K336" s="61"/>
    </row>
    <row r="337" spans="3:11" x14ac:dyDescent="0.2">
      <c r="C337" s="59"/>
      <c r="E337" s="46"/>
      <c r="F337" s="51"/>
      <c r="G337" s="49"/>
      <c r="H337" s="52"/>
      <c r="I337" s="52"/>
      <c r="J337" s="52"/>
      <c r="K337" s="61"/>
    </row>
    <row r="338" spans="3:11" x14ac:dyDescent="0.2">
      <c r="C338" s="59"/>
      <c r="E338" s="46"/>
      <c r="F338" s="51"/>
      <c r="G338" s="49"/>
      <c r="H338" s="52"/>
      <c r="I338" s="52"/>
      <c r="J338" s="52"/>
      <c r="K338" s="61"/>
    </row>
    <row r="339" spans="3:11" x14ac:dyDescent="0.2">
      <c r="C339" s="59"/>
      <c r="E339" s="46"/>
      <c r="F339" s="51"/>
      <c r="G339" s="49"/>
      <c r="H339" s="52"/>
      <c r="I339" s="52"/>
      <c r="J339" s="52"/>
      <c r="K339" s="61"/>
    </row>
    <row r="340" spans="3:11" x14ac:dyDescent="0.2">
      <c r="C340" s="59"/>
      <c r="E340" s="46"/>
      <c r="F340" s="51"/>
      <c r="G340" s="49"/>
      <c r="H340" s="52"/>
      <c r="I340" s="52"/>
      <c r="J340" s="52"/>
      <c r="K340" s="61"/>
    </row>
    <row r="341" spans="3:11" x14ac:dyDescent="0.2">
      <c r="C341" s="59"/>
      <c r="E341" s="46"/>
      <c r="F341" s="51"/>
      <c r="G341" s="49"/>
      <c r="H341" s="52"/>
      <c r="I341" s="52"/>
      <c r="J341" s="52"/>
      <c r="K341" s="61"/>
    </row>
    <row r="342" spans="3:11" x14ac:dyDescent="0.2">
      <c r="C342" s="59"/>
      <c r="E342" s="46"/>
      <c r="F342" s="51"/>
      <c r="G342" s="49"/>
      <c r="H342" s="52"/>
      <c r="I342" s="52"/>
      <c r="J342" s="52"/>
      <c r="K342" s="61"/>
    </row>
    <row r="343" spans="3:11" x14ac:dyDescent="0.2">
      <c r="C343" s="59"/>
      <c r="E343" s="46"/>
      <c r="F343" s="51"/>
      <c r="G343" s="49"/>
      <c r="H343" s="52"/>
      <c r="I343" s="52"/>
      <c r="J343" s="52"/>
      <c r="K343" s="61"/>
    </row>
    <row r="344" spans="3:11" x14ac:dyDescent="0.2">
      <c r="C344" s="59"/>
      <c r="E344" s="46"/>
      <c r="F344" s="51"/>
      <c r="G344" s="49"/>
      <c r="H344" s="52"/>
      <c r="I344" s="52"/>
      <c r="J344" s="52"/>
      <c r="K344" s="61"/>
    </row>
    <row r="345" spans="3:11" x14ac:dyDescent="0.2">
      <c r="C345" s="59"/>
      <c r="E345" s="46"/>
      <c r="F345" s="51"/>
      <c r="G345" s="49"/>
      <c r="H345" s="52"/>
      <c r="I345" s="52"/>
      <c r="J345" s="52"/>
      <c r="K345" s="61"/>
    </row>
    <row r="346" spans="3:11" x14ac:dyDescent="0.2">
      <c r="C346" s="59"/>
      <c r="E346" s="46"/>
      <c r="F346" s="51"/>
      <c r="G346" s="49"/>
      <c r="H346" s="52"/>
      <c r="I346" s="52"/>
      <c r="J346" s="52"/>
      <c r="K346" s="61"/>
    </row>
    <row r="347" spans="3:11" x14ac:dyDescent="0.2">
      <c r="C347" s="59"/>
      <c r="E347" s="46"/>
      <c r="F347" s="51"/>
      <c r="G347" s="49"/>
      <c r="H347" s="52"/>
      <c r="I347" s="52"/>
      <c r="J347" s="52"/>
      <c r="K347" s="61"/>
    </row>
    <row r="348" spans="3:11" x14ac:dyDescent="0.2">
      <c r="C348" s="59"/>
      <c r="E348" s="46"/>
      <c r="F348" s="51"/>
      <c r="G348" s="49"/>
      <c r="H348" s="52"/>
      <c r="I348" s="52"/>
      <c r="J348" s="52"/>
      <c r="K348" s="61"/>
    </row>
    <row r="349" spans="3:11" x14ac:dyDescent="0.2">
      <c r="C349" s="59"/>
      <c r="E349" s="46"/>
      <c r="F349" s="51"/>
      <c r="G349" s="49"/>
      <c r="H349" s="52"/>
      <c r="I349" s="52"/>
      <c r="J349" s="52"/>
      <c r="K349" s="61"/>
    </row>
    <row r="350" spans="3:11" x14ac:dyDescent="0.2">
      <c r="C350" s="59"/>
      <c r="E350" s="46"/>
      <c r="F350" s="51"/>
      <c r="G350" s="49"/>
      <c r="H350" s="52"/>
      <c r="I350" s="52"/>
      <c r="J350" s="52"/>
      <c r="K350" s="61"/>
    </row>
    <row r="351" spans="3:11" x14ac:dyDescent="0.2">
      <c r="C351" s="59"/>
      <c r="E351" s="46"/>
      <c r="F351" s="51"/>
      <c r="G351" s="49"/>
      <c r="H351" s="52"/>
      <c r="I351" s="52"/>
      <c r="J351" s="52"/>
      <c r="K351" s="61"/>
    </row>
    <row r="352" spans="3:11" x14ac:dyDescent="0.2">
      <c r="C352" s="59"/>
      <c r="E352" s="46"/>
      <c r="F352" s="51"/>
      <c r="G352" s="49"/>
      <c r="H352" s="52"/>
      <c r="I352" s="52"/>
      <c r="J352" s="52"/>
      <c r="K352" s="61"/>
    </row>
    <row r="353" spans="3:11" x14ac:dyDescent="0.2">
      <c r="C353" s="59"/>
      <c r="E353" s="46"/>
      <c r="F353" s="51"/>
      <c r="G353" s="49"/>
      <c r="H353" s="52"/>
      <c r="I353" s="52"/>
      <c r="J353" s="52"/>
      <c r="K353" s="61"/>
    </row>
    <row r="354" spans="3:11" x14ac:dyDescent="0.2">
      <c r="C354" s="59"/>
      <c r="E354" s="46"/>
      <c r="F354" s="51"/>
      <c r="G354" s="49"/>
      <c r="H354" s="52"/>
      <c r="I354" s="52"/>
      <c r="J354" s="52"/>
      <c r="K354" s="61"/>
    </row>
    <row r="355" spans="3:11" x14ac:dyDescent="0.2">
      <c r="C355" s="59"/>
      <c r="E355" s="46"/>
      <c r="F355" s="51"/>
      <c r="G355" s="49"/>
      <c r="H355" s="52"/>
      <c r="I355" s="52"/>
      <c r="J355" s="52"/>
      <c r="K355" s="61"/>
    </row>
    <row r="356" spans="3:11" x14ac:dyDescent="0.2">
      <c r="C356" s="59"/>
      <c r="E356" s="46"/>
      <c r="F356" s="51"/>
      <c r="G356" s="49"/>
      <c r="H356" s="52"/>
      <c r="I356" s="52"/>
      <c r="J356" s="52"/>
      <c r="K356" s="61"/>
    </row>
    <row r="357" spans="3:11" x14ac:dyDescent="0.2">
      <c r="C357" s="59"/>
      <c r="E357" s="46"/>
      <c r="F357" s="51"/>
      <c r="G357" s="49"/>
      <c r="H357" s="52"/>
      <c r="I357" s="52"/>
      <c r="J357" s="52"/>
      <c r="K357" s="61"/>
    </row>
    <row r="358" spans="3:11" x14ac:dyDescent="0.2">
      <c r="C358" s="59"/>
      <c r="E358" s="46"/>
      <c r="F358" s="51"/>
      <c r="G358" s="49"/>
      <c r="H358" s="52"/>
      <c r="I358" s="52"/>
      <c r="J358" s="52"/>
      <c r="K358" s="61"/>
    </row>
    <row r="359" spans="3:11" x14ac:dyDescent="0.2">
      <c r="C359" s="59"/>
      <c r="E359" s="46"/>
      <c r="F359" s="51"/>
      <c r="G359" s="49"/>
      <c r="H359" s="52"/>
      <c r="I359" s="52"/>
      <c r="J359" s="52"/>
      <c r="K359" s="61"/>
    </row>
    <row r="360" spans="3:11" x14ac:dyDescent="0.2">
      <c r="C360" s="59"/>
      <c r="E360" s="46"/>
      <c r="F360" s="51"/>
      <c r="G360" s="49"/>
      <c r="H360" s="52"/>
      <c r="I360" s="52"/>
      <c r="J360" s="52"/>
      <c r="K360" s="61"/>
    </row>
    <row r="361" spans="3:11" x14ac:dyDescent="0.2">
      <c r="C361" s="59"/>
      <c r="E361" s="46"/>
      <c r="F361" s="51"/>
      <c r="G361" s="49"/>
      <c r="H361" s="52"/>
      <c r="I361" s="52"/>
      <c r="J361" s="52"/>
      <c r="K361" s="61"/>
    </row>
    <row r="362" spans="3:11" x14ac:dyDescent="0.2">
      <c r="C362" s="59"/>
      <c r="E362" s="46"/>
      <c r="F362" s="51"/>
      <c r="G362" s="49"/>
      <c r="H362" s="52"/>
      <c r="I362" s="52"/>
      <c r="J362" s="52"/>
      <c r="K362" s="61"/>
    </row>
    <row r="363" spans="3:11" x14ac:dyDescent="0.2">
      <c r="C363" s="59"/>
      <c r="E363" s="46"/>
      <c r="F363" s="51"/>
      <c r="G363" s="49"/>
      <c r="H363" s="52"/>
      <c r="I363" s="52"/>
      <c r="J363" s="52"/>
      <c r="K363" s="61"/>
    </row>
    <row r="364" spans="3:11" x14ac:dyDescent="0.2">
      <c r="C364" s="59"/>
      <c r="E364" s="46"/>
      <c r="F364" s="51"/>
      <c r="G364" s="49"/>
      <c r="H364" s="52"/>
      <c r="I364" s="52"/>
      <c r="J364" s="52"/>
      <c r="K364" s="61"/>
    </row>
    <row r="365" spans="3:11" x14ac:dyDescent="0.2">
      <c r="C365" s="59"/>
      <c r="E365" s="46"/>
      <c r="F365" s="51"/>
      <c r="G365" s="49"/>
      <c r="H365" s="52"/>
      <c r="I365" s="52"/>
      <c r="J365" s="52"/>
      <c r="K365" s="61"/>
    </row>
    <row r="366" spans="3:11" x14ac:dyDescent="0.2">
      <c r="C366" s="59"/>
      <c r="E366" s="46"/>
      <c r="F366" s="51"/>
      <c r="G366" s="49"/>
      <c r="H366" s="52"/>
      <c r="I366" s="52"/>
      <c r="J366" s="52"/>
      <c r="K366" s="61"/>
    </row>
    <row r="367" spans="3:11" x14ac:dyDescent="0.2">
      <c r="C367" s="59"/>
      <c r="E367" s="46"/>
      <c r="F367" s="51"/>
      <c r="G367" s="49"/>
      <c r="H367" s="52"/>
      <c r="I367" s="52"/>
      <c r="J367" s="52"/>
      <c r="K367" s="61"/>
    </row>
    <row r="368" spans="3:11" x14ac:dyDescent="0.2">
      <c r="C368" s="59"/>
      <c r="E368" s="46"/>
      <c r="F368" s="51"/>
      <c r="G368" s="49"/>
      <c r="H368" s="52"/>
      <c r="I368" s="52"/>
      <c r="J368" s="52"/>
      <c r="K368" s="61"/>
    </row>
    <row r="369" spans="3:11" x14ac:dyDescent="0.2">
      <c r="C369" s="59"/>
      <c r="E369" s="46"/>
      <c r="F369" s="51"/>
      <c r="G369" s="49"/>
      <c r="H369" s="52"/>
      <c r="I369" s="52"/>
      <c r="J369" s="52"/>
      <c r="K369" s="61"/>
    </row>
    <row r="370" spans="3:11" x14ac:dyDescent="0.2">
      <c r="C370" s="59"/>
      <c r="E370" s="46"/>
      <c r="F370" s="51"/>
      <c r="G370" s="49"/>
      <c r="H370" s="52"/>
      <c r="I370" s="52"/>
      <c r="J370" s="52"/>
      <c r="K370" s="61"/>
    </row>
    <row r="371" spans="3:11" x14ac:dyDescent="0.2">
      <c r="C371" s="59"/>
      <c r="E371" s="46"/>
      <c r="F371" s="51"/>
      <c r="G371" s="49"/>
      <c r="H371" s="52"/>
      <c r="I371" s="52"/>
      <c r="J371" s="52"/>
      <c r="K371" s="61"/>
    </row>
    <row r="372" spans="3:11" x14ac:dyDescent="0.2">
      <c r="C372" s="59"/>
      <c r="E372" s="46"/>
      <c r="F372" s="51"/>
      <c r="G372" s="49"/>
      <c r="H372" s="52"/>
      <c r="I372" s="52"/>
      <c r="J372" s="52"/>
      <c r="K372" s="61"/>
    </row>
    <row r="373" spans="3:11" x14ac:dyDescent="0.2">
      <c r="C373" s="59"/>
      <c r="E373" s="46"/>
      <c r="F373" s="51"/>
      <c r="G373" s="49"/>
      <c r="H373" s="52"/>
      <c r="I373" s="52"/>
      <c r="J373" s="52"/>
      <c r="K373" s="61"/>
    </row>
    <row r="374" spans="3:11" x14ac:dyDescent="0.2">
      <c r="C374" s="59"/>
      <c r="E374" s="46"/>
      <c r="F374" s="51"/>
      <c r="G374" s="49"/>
      <c r="H374" s="52"/>
      <c r="I374" s="52"/>
      <c r="J374" s="52"/>
      <c r="K374" s="61"/>
    </row>
    <row r="375" spans="3:11" x14ac:dyDescent="0.2">
      <c r="C375" s="59"/>
      <c r="E375" s="46"/>
      <c r="F375" s="51"/>
      <c r="G375" s="49"/>
      <c r="H375" s="52"/>
      <c r="I375" s="52"/>
      <c r="J375" s="52"/>
      <c r="K375" s="61"/>
    </row>
    <row r="376" spans="3:11" x14ac:dyDescent="0.2">
      <c r="C376" s="59"/>
      <c r="E376" s="46"/>
      <c r="F376" s="51"/>
      <c r="G376" s="49"/>
      <c r="H376" s="52"/>
      <c r="I376" s="52"/>
      <c r="J376" s="52"/>
      <c r="K376" s="61"/>
    </row>
    <row r="377" spans="3:11" x14ac:dyDescent="0.2">
      <c r="C377" s="59"/>
      <c r="E377" s="46"/>
      <c r="F377" s="51"/>
      <c r="G377" s="49"/>
      <c r="H377" s="52"/>
      <c r="I377" s="52"/>
      <c r="J377" s="52"/>
      <c r="K377" s="61"/>
    </row>
    <row r="378" spans="3:11" x14ac:dyDescent="0.2">
      <c r="C378" s="59"/>
      <c r="E378" s="46"/>
      <c r="F378" s="51"/>
      <c r="G378" s="49"/>
      <c r="H378" s="52"/>
      <c r="I378" s="52"/>
      <c r="J378" s="52"/>
      <c r="K378" s="61"/>
    </row>
    <row r="379" spans="3:11" x14ac:dyDescent="0.2">
      <c r="C379" s="59"/>
      <c r="E379" s="46"/>
      <c r="F379" s="51"/>
      <c r="G379" s="49"/>
      <c r="H379" s="52"/>
      <c r="I379" s="52"/>
      <c r="J379" s="52"/>
      <c r="K379" s="61"/>
    </row>
    <row r="380" spans="3:11" x14ac:dyDescent="0.2">
      <c r="C380" s="59"/>
      <c r="E380" s="46"/>
      <c r="F380" s="51"/>
      <c r="G380" s="49"/>
      <c r="H380" s="52"/>
      <c r="I380" s="52"/>
      <c r="J380" s="52"/>
      <c r="K380" s="61"/>
    </row>
    <row r="381" spans="3:11" x14ac:dyDescent="0.2">
      <c r="C381" s="59"/>
      <c r="E381" s="46"/>
      <c r="F381" s="51"/>
      <c r="G381" s="49"/>
      <c r="H381" s="52"/>
      <c r="I381" s="52"/>
      <c r="J381" s="52"/>
      <c r="K381" s="61"/>
    </row>
    <row r="382" spans="3:11" x14ac:dyDescent="0.2">
      <c r="C382" s="59"/>
      <c r="E382" s="46"/>
      <c r="F382" s="51"/>
      <c r="G382" s="49"/>
      <c r="H382" s="52"/>
      <c r="I382" s="52"/>
      <c r="J382" s="52"/>
      <c r="K382" s="61"/>
    </row>
    <row r="383" spans="3:11" x14ac:dyDescent="0.2">
      <c r="C383" s="59"/>
      <c r="E383" s="46"/>
      <c r="F383" s="51"/>
      <c r="G383" s="49"/>
      <c r="H383" s="52"/>
      <c r="I383" s="52"/>
      <c r="J383" s="52"/>
      <c r="K383" s="61"/>
    </row>
    <row r="384" spans="3:11" x14ac:dyDescent="0.2">
      <c r="C384" s="59"/>
      <c r="E384" s="46"/>
      <c r="F384" s="51"/>
      <c r="G384" s="49"/>
      <c r="H384" s="52"/>
      <c r="I384" s="52"/>
      <c r="J384" s="52"/>
      <c r="K384" s="61"/>
    </row>
    <row r="385" spans="3:11" x14ac:dyDescent="0.2">
      <c r="C385" s="59"/>
      <c r="E385" s="46"/>
      <c r="F385" s="51"/>
      <c r="G385" s="49"/>
      <c r="H385" s="52"/>
      <c r="I385" s="52"/>
      <c r="J385" s="52"/>
      <c r="K385" s="61"/>
    </row>
    <row r="386" spans="3:11" x14ac:dyDescent="0.2">
      <c r="C386" s="59"/>
      <c r="E386" s="46"/>
      <c r="F386" s="51"/>
      <c r="G386" s="49"/>
      <c r="H386" s="52"/>
      <c r="I386" s="52"/>
      <c r="J386" s="52"/>
      <c r="K386" s="61"/>
    </row>
    <row r="387" spans="3:11" x14ac:dyDescent="0.2">
      <c r="C387" s="59"/>
      <c r="E387" s="46"/>
      <c r="F387" s="51"/>
      <c r="G387" s="49"/>
      <c r="H387" s="52"/>
      <c r="I387" s="52"/>
      <c r="J387" s="52"/>
      <c r="K387" s="61"/>
    </row>
    <row r="388" spans="3:11" x14ac:dyDescent="0.2">
      <c r="C388" s="59"/>
      <c r="E388" s="46"/>
      <c r="F388" s="51"/>
      <c r="G388" s="49"/>
      <c r="H388" s="52"/>
      <c r="I388" s="52"/>
      <c r="J388" s="52"/>
      <c r="K388" s="61"/>
    </row>
    <row r="389" spans="3:11" x14ac:dyDescent="0.2">
      <c r="C389" s="59"/>
      <c r="E389" s="46"/>
      <c r="F389" s="51"/>
      <c r="G389" s="49"/>
      <c r="H389" s="52"/>
      <c r="I389" s="52"/>
      <c r="J389" s="52"/>
      <c r="K389" s="61"/>
    </row>
    <row r="390" spans="3:11" x14ac:dyDescent="0.2">
      <c r="C390" s="59"/>
      <c r="E390" s="46"/>
      <c r="F390" s="51"/>
      <c r="G390" s="49"/>
      <c r="H390" s="52"/>
      <c r="I390" s="52"/>
      <c r="J390" s="52"/>
      <c r="K390" s="61"/>
    </row>
    <row r="391" spans="3:11" x14ac:dyDescent="0.2">
      <c r="C391" s="59"/>
      <c r="E391" s="46"/>
      <c r="F391" s="51"/>
      <c r="G391" s="49"/>
      <c r="H391" s="52"/>
      <c r="I391" s="52"/>
      <c r="J391" s="52"/>
      <c r="K391" s="61"/>
    </row>
    <row r="392" spans="3:11" x14ac:dyDescent="0.2">
      <c r="C392" s="59"/>
      <c r="E392" s="46"/>
      <c r="F392" s="51"/>
      <c r="G392" s="49"/>
      <c r="H392" s="52"/>
      <c r="I392" s="52"/>
      <c r="J392" s="52"/>
      <c r="K392" s="61"/>
    </row>
    <row r="393" spans="3:11" x14ac:dyDescent="0.2">
      <c r="C393" s="59"/>
      <c r="E393" s="46"/>
      <c r="F393" s="51"/>
      <c r="G393" s="49"/>
      <c r="H393" s="52"/>
      <c r="I393" s="52"/>
      <c r="J393" s="52"/>
      <c r="K393" s="61"/>
    </row>
    <row r="394" spans="3:11" x14ac:dyDescent="0.2">
      <c r="C394" s="59"/>
      <c r="E394" s="46"/>
      <c r="F394" s="51"/>
      <c r="G394" s="49"/>
      <c r="H394" s="52"/>
      <c r="I394" s="52"/>
      <c r="J394" s="52"/>
      <c r="K394" s="61"/>
    </row>
    <row r="395" spans="3:11" x14ac:dyDescent="0.2">
      <c r="C395" s="59"/>
      <c r="E395" s="46"/>
      <c r="F395" s="51"/>
      <c r="G395" s="49"/>
      <c r="H395" s="52"/>
      <c r="I395" s="52"/>
      <c r="J395" s="52"/>
      <c r="K395" s="61"/>
    </row>
    <row r="396" spans="3:11" x14ac:dyDescent="0.2">
      <c r="C396" s="59"/>
      <c r="E396" s="46"/>
      <c r="F396" s="51"/>
      <c r="G396" s="49"/>
      <c r="H396" s="52"/>
      <c r="I396" s="52"/>
      <c r="J396" s="52"/>
      <c r="K396" s="61"/>
    </row>
    <row r="397" spans="3:11" x14ac:dyDescent="0.2">
      <c r="C397" s="59"/>
      <c r="E397" s="46"/>
      <c r="F397" s="51"/>
      <c r="G397" s="49"/>
      <c r="H397" s="52"/>
      <c r="I397" s="52"/>
      <c r="J397" s="52"/>
      <c r="K397" s="61"/>
    </row>
    <row r="398" spans="3:11" x14ac:dyDescent="0.2">
      <c r="C398" s="59"/>
      <c r="E398" s="46"/>
      <c r="F398" s="51"/>
      <c r="G398" s="49"/>
      <c r="H398" s="52"/>
      <c r="I398" s="52"/>
      <c r="J398" s="52"/>
      <c r="K398" s="61"/>
    </row>
    <row r="399" spans="3:11" x14ac:dyDescent="0.2">
      <c r="C399" s="59"/>
      <c r="E399" s="46"/>
      <c r="F399" s="51"/>
      <c r="G399" s="49"/>
      <c r="H399" s="52"/>
      <c r="I399" s="52"/>
      <c r="J399" s="52"/>
      <c r="K399" s="61"/>
    </row>
    <row r="400" spans="3:11" x14ac:dyDescent="0.2">
      <c r="C400" s="59"/>
      <c r="E400" s="46"/>
      <c r="F400" s="51"/>
      <c r="G400" s="49"/>
      <c r="H400" s="52"/>
      <c r="I400" s="52"/>
      <c r="J400" s="52"/>
      <c r="K400" s="61"/>
    </row>
    <row r="401" spans="2:11" x14ac:dyDescent="0.2">
      <c r="C401" s="59"/>
      <c r="E401" s="46"/>
      <c r="F401" s="51"/>
      <c r="G401" s="49"/>
      <c r="H401" s="52"/>
      <c r="I401" s="52"/>
      <c r="J401" s="52"/>
      <c r="K401" s="61"/>
    </row>
    <row r="402" spans="2:11" x14ac:dyDescent="0.2">
      <c r="C402" s="59"/>
      <c r="E402" s="46"/>
      <c r="F402" s="51"/>
      <c r="G402" s="49"/>
      <c r="H402" s="52"/>
      <c r="I402" s="52"/>
      <c r="J402" s="52"/>
      <c r="K402" s="61"/>
    </row>
    <row r="403" spans="2:11" x14ac:dyDescent="0.2">
      <c r="C403" s="59"/>
      <c r="E403" s="46"/>
      <c r="F403" s="51"/>
      <c r="G403" s="49"/>
      <c r="H403" s="52"/>
      <c r="I403" s="52"/>
      <c r="J403" s="52"/>
      <c r="K403" s="61"/>
    </row>
    <row r="404" spans="2:11" x14ac:dyDescent="0.2">
      <c r="C404" s="59"/>
      <c r="E404" s="46"/>
      <c r="F404" s="51"/>
      <c r="G404" s="49"/>
      <c r="H404" s="52"/>
      <c r="I404" s="52"/>
      <c r="J404" s="52"/>
      <c r="K404" s="61"/>
    </row>
    <row r="405" spans="2:11" x14ac:dyDescent="0.2">
      <c r="B405" s="79" t="s">
        <v>423</v>
      </c>
      <c r="E405" s="46"/>
      <c r="F405" s="46"/>
    </row>
    <row r="406" spans="2:11" x14ac:dyDescent="0.2">
      <c r="B406" s="46" t="s">
        <v>370</v>
      </c>
      <c r="C406" s="46" t="s">
        <v>386</v>
      </c>
      <c r="D406" s="52" t="s">
        <v>385</v>
      </c>
      <c r="E406" s="52" t="s">
        <v>416</v>
      </c>
      <c r="F406" s="48" t="s">
        <v>382</v>
      </c>
      <c r="G406" s="49" t="s">
        <v>369</v>
      </c>
    </row>
    <row r="407" spans="2:11" x14ac:dyDescent="0.2">
      <c r="B407" s="53">
        <v>43448</v>
      </c>
      <c r="C407" s="60">
        <v>0</v>
      </c>
      <c r="D407" s="46">
        <v>0</v>
      </c>
      <c r="E407" s="46"/>
      <c r="F407" s="48">
        <v>1</v>
      </c>
      <c r="G407" s="49">
        <v>0</v>
      </c>
    </row>
    <row r="408" spans="2:11" x14ac:dyDescent="0.2">
      <c r="B408" s="53">
        <v>43815</v>
      </c>
      <c r="C408" s="60">
        <v>1</v>
      </c>
      <c r="D408" s="46">
        <v>1</v>
      </c>
      <c r="E408" s="46"/>
      <c r="F408" s="48">
        <v>1.1499999999999999</v>
      </c>
      <c r="G408" s="49">
        <v>0</v>
      </c>
    </row>
    <row r="409" spans="2:11" x14ac:dyDescent="0.2">
      <c r="B409" s="53">
        <v>44179</v>
      </c>
      <c r="C409" s="60">
        <v>1</v>
      </c>
      <c r="D409" s="46">
        <v>1</v>
      </c>
      <c r="E409" s="46"/>
      <c r="F409" s="48"/>
      <c r="G409" s="49"/>
    </row>
    <row r="410" spans="2:11" x14ac:dyDescent="0.2">
      <c r="B410" s="53">
        <v>44544</v>
      </c>
      <c r="C410" s="60">
        <v>1</v>
      </c>
      <c r="D410" s="46">
        <v>1</v>
      </c>
      <c r="E410" s="46"/>
      <c r="F410" s="48"/>
      <c r="G410" s="49"/>
    </row>
    <row r="411" spans="2:11" x14ac:dyDescent="0.2">
      <c r="B411" s="53">
        <v>44909</v>
      </c>
      <c r="C411" s="60">
        <v>1</v>
      </c>
      <c r="D411" s="46">
        <v>1</v>
      </c>
      <c r="E411" s="46"/>
      <c r="F411" s="48"/>
      <c r="G411" s="49"/>
    </row>
    <row r="412" spans="2:11" x14ac:dyDescent="0.2">
      <c r="B412" s="53">
        <v>45274</v>
      </c>
      <c r="C412" s="60">
        <v>1</v>
      </c>
      <c r="D412" s="46">
        <v>1</v>
      </c>
      <c r="E412" s="46"/>
      <c r="F412" s="48"/>
      <c r="G412" s="49"/>
    </row>
    <row r="413" spans="2:11" x14ac:dyDescent="0.2">
      <c r="B413" s="53">
        <v>45642</v>
      </c>
      <c r="C413" s="46">
        <v>1</v>
      </c>
      <c r="D413" s="46">
        <v>1</v>
      </c>
    </row>
    <row r="414" spans="2:11" x14ac:dyDescent="0.2">
      <c r="B414" s="53">
        <v>46006</v>
      </c>
      <c r="C414" s="46">
        <v>1</v>
      </c>
      <c r="D414" s="46">
        <v>1</v>
      </c>
    </row>
    <row r="415" spans="2:11" x14ac:dyDescent="0.2">
      <c r="B415" s="53">
        <v>46370</v>
      </c>
      <c r="C415" s="46">
        <v>1</v>
      </c>
      <c r="D415" s="46">
        <v>1</v>
      </c>
    </row>
    <row r="416" spans="2:11" x14ac:dyDescent="0.2">
      <c r="B416" s="53">
        <v>46735</v>
      </c>
      <c r="C416" s="46">
        <v>1</v>
      </c>
      <c r="D416" s="46">
        <v>1</v>
      </c>
    </row>
    <row r="417" spans="2:4" x14ac:dyDescent="0.2">
      <c r="B417" s="53">
        <v>47101</v>
      </c>
      <c r="C417" s="46">
        <v>1</v>
      </c>
      <c r="D417" s="46">
        <v>1</v>
      </c>
    </row>
  </sheetData>
  <sheetProtection formatCells="0" formatColumns="0" formatRows="0" insertColumns="0" insertRow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cenario">
                <anchor moveWithCells="1" sizeWithCells="1">
                  <from>
                    <xdr:col>0</xdr:col>
                    <xdr:colOff>771525</xdr:colOff>
                    <xdr:row>0</xdr:row>
                    <xdr:rowOff>123825</xdr:rowOff>
                  </from>
                  <to>
                    <xdr:col>1</xdr:col>
                    <xdr:colOff>733425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N2563"/>
  <sheetViews>
    <sheetView topLeftCell="A451" zoomScaleNormal="100" workbookViewId="0">
      <selection activeCell="H139" sqref="H139"/>
    </sheetView>
  </sheetViews>
  <sheetFormatPr baseColWidth="10" defaultRowHeight="15" x14ac:dyDescent="0.25"/>
  <cols>
    <col min="1" max="1" width="14.28515625" style="10" customWidth="1"/>
    <col min="2" max="2" width="16.140625" customWidth="1"/>
    <col min="3" max="3" width="13.85546875" customWidth="1"/>
    <col min="4" max="4" width="15.140625" customWidth="1"/>
    <col min="5" max="5" width="12.85546875" customWidth="1"/>
    <col min="6" max="6" width="16.5703125" customWidth="1"/>
    <col min="15" max="15" width="14" customWidth="1"/>
  </cols>
  <sheetData>
    <row r="1" spans="1:4" x14ac:dyDescent="0.25">
      <c r="A1" s="4" t="s">
        <v>387</v>
      </c>
      <c r="B1" s="34" t="s">
        <v>388</v>
      </c>
    </row>
    <row r="2" spans="1:4" x14ac:dyDescent="0.25">
      <c r="A2" s="4" t="s">
        <v>389</v>
      </c>
      <c r="B2" s="35">
        <v>40383</v>
      </c>
    </row>
    <row r="3" spans="1:4" x14ac:dyDescent="0.25">
      <c r="A3" s="4" t="s">
        <v>390</v>
      </c>
      <c r="B3" s="35">
        <v>43489</v>
      </c>
    </row>
    <row r="4" spans="1:4" x14ac:dyDescent="0.25">
      <c r="A4" s="32"/>
      <c r="B4" s="33"/>
    </row>
    <row r="5" spans="1:4" x14ac:dyDescent="0.25">
      <c r="A5" s="32"/>
      <c r="B5" s="33"/>
    </row>
    <row r="6" spans="1:4" x14ac:dyDescent="0.25">
      <c r="B6" s="10"/>
      <c r="C6" s="1"/>
      <c r="D6" s="1"/>
    </row>
    <row r="7" spans="1:4" x14ac:dyDescent="0.25">
      <c r="B7" s="10"/>
      <c r="C7" s="1"/>
      <c r="D7" s="1"/>
    </row>
    <row r="8" spans="1:4" x14ac:dyDescent="0.25">
      <c r="B8" s="10"/>
      <c r="C8" s="1"/>
      <c r="D8" s="1"/>
    </row>
    <row r="9" spans="1:4" x14ac:dyDescent="0.25">
      <c r="B9" s="10"/>
      <c r="C9" s="1"/>
      <c r="D9" s="1"/>
    </row>
    <row r="10" spans="1:4" x14ac:dyDescent="0.25">
      <c r="B10" s="10"/>
      <c r="C10" s="1"/>
      <c r="D10" s="1"/>
    </row>
    <row r="11" spans="1:4" x14ac:dyDescent="0.25">
      <c r="B11" s="10"/>
      <c r="C11" s="1"/>
      <c r="D11" s="1"/>
    </row>
    <row r="12" spans="1:4" x14ac:dyDescent="0.25">
      <c r="B12" s="10"/>
      <c r="C12" s="1"/>
      <c r="D12" s="1"/>
    </row>
    <row r="13" spans="1:4" x14ac:dyDescent="0.25">
      <c r="B13" s="10"/>
      <c r="C13" s="1"/>
      <c r="D13" s="1"/>
    </row>
    <row r="14" spans="1:4" x14ac:dyDescent="0.25">
      <c r="B14" s="10"/>
      <c r="C14" s="1"/>
      <c r="D14" s="1"/>
    </row>
    <row r="15" spans="1:4" x14ac:dyDescent="0.25">
      <c r="B15" s="10"/>
      <c r="C15" s="1"/>
      <c r="D15" s="1"/>
    </row>
    <row r="16" spans="1:4" x14ac:dyDescent="0.25">
      <c r="B16" s="10"/>
      <c r="C16" s="1"/>
      <c r="D16" s="1"/>
    </row>
    <row r="17" spans="2:14" x14ac:dyDescent="0.25">
      <c r="B17" s="10"/>
      <c r="C17" s="1"/>
      <c r="D17" s="1"/>
    </row>
    <row r="18" spans="2:14" x14ac:dyDescent="0.25">
      <c r="B18" s="10"/>
      <c r="C18" s="1"/>
      <c r="D18" s="1"/>
    </row>
    <row r="19" spans="2:14" x14ac:dyDescent="0.25">
      <c r="B19" s="10"/>
      <c r="C19" s="1"/>
      <c r="D19" s="1"/>
    </row>
    <row r="20" spans="2:14" x14ac:dyDescent="0.25">
      <c r="B20" s="10"/>
      <c r="C20" s="1"/>
      <c r="D20" s="1"/>
    </row>
    <row r="21" spans="2:14" x14ac:dyDescent="0.25">
      <c r="B21" s="10"/>
      <c r="C21" s="1"/>
      <c r="D21" s="1"/>
    </row>
    <row r="22" spans="2:14" x14ac:dyDescent="0.25">
      <c r="B22" s="10"/>
      <c r="C22" s="1"/>
      <c r="D22" s="1"/>
    </row>
    <row r="23" spans="2:14" x14ac:dyDescent="0.25">
      <c r="B23" s="10"/>
      <c r="C23" s="1"/>
      <c r="D23" s="1"/>
    </row>
    <row r="24" spans="2:14" x14ac:dyDescent="0.25">
      <c r="B24" s="10"/>
      <c r="C24" s="1"/>
      <c r="D24" s="1"/>
    </row>
    <row r="25" spans="2:14" x14ac:dyDescent="0.25">
      <c r="B25" s="10"/>
      <c r="C25" s="1"/>
      <c r="D25" s="1"/>
    </row>
    <row r="26" spans="2:14" x14ac:dyDescent="0.25">
      <c r="B26" s="10"/>
      <c r="C26" s="1"/>
      <c r="D26" s="1"/>
    </row>
    <row r="27" spans="2:14" x14ac:dyDescent="0.25">
      <c r="B27" s="10"/>
      <c r="C27" s="1"/>
      <c r="D27" s="1"/>
    </row>
    <row r="28" spans="2:14" x14ac:dyDescent="0.25">
      <c r="B28" s="10"/>
      <c r="C28" s="1"/>
      <c r="D28" s="1"/>
    </row>
    <row r="29" spans="2:14" x14ac:dyDescent="0.25">
      <c r="B29" s="10"/>
      <c r="C29" s="1"/>
      <c r="D29" s="1"/>
    </row>
    <row r="30" spans="2:14" x14ac:dyDescent="0.25">
      <c r="B30" s="10"/>
      <c r="C30" s="1"/>
      <c r="D30" s="1"/>
    </row>
    <row r="31" spans="2:14" x14ac:dyDescent="0.25">
      <c r="B31" s="10"/>
      <c r="C31" s="1"/>
      <c r="D31" s="1"/>
    </row>
    <row r="32" spans="2:14" x14ac:dyDescent="0.25">
      <c r="B32" s="63" t="s">
        <v>391</v>
      </c>
      <c r="C32" s="63" t="s">
        <v>370</v>
      </c>
      <c r="D32" s="63" t="s">
        <v>424</v>
      </c>
      <c r="E32" s="63" t="s">
        <v>425</v>
      </c>
      <c r="F32" s="63" t="s">
        <v>391</v>
      </c>
      <c r="G32" s="63" t="s">
        <v>370</v>
      </c>
      <c r="H32" s="63" t="s">
        <v>424</v>
      </c>
      <c r="I32" s="63" t="s">
        <v>425</v>
      </c>
      <c r="J32" s="63" t="s">
        <v>426</v>
      </c>
      <c r="K32" s="65" t="s">
        <v>370</v>
      </c>
      <c r="L32" s="65" t="s">
        <v>424</v>
      </c>
      <c r="M32" t="s">
        <v>425</v>
      </c>
      <c r="N32" t="s">
        <v>426</v>
      </c>
    </row>
    <row r="33" spans="2:10" x14ac:dyDescent="0.25">
      <c r="B33" t="s">
        <v>451</v>
      </c>
      <c r="C33" s="64">
        <v>40385</v>
      </c>
      <c r="D33">
        <v>20.95</v>
      </c>
      <c r="E33">
        <v>100</v>
      </c>
      <c r="F33" t="s">
        <v>427</v>
      </c>
      <c r="G33" s="64">
        <v>40385</v>
      </c>
      <c r="H33">
        <v>118.4</v>
      </c>
      <c r="I33">
        <v>100</v>
      </c>
      <c r="J33">
        <v>100</v>
      </c>
    </row>
    <row r="34" spans="2:10" x14ac:dyDescent="0.25">
      <c r="B34" t="s">
        <v>451</v>
      </c>
      <c r="C34" s="64">
        <v>40386</v>
      </c>
      <c r="D34">
        <v>20.55</v>
      </c>
      <c r="E34">
        <v>99.980535279805352</v>
      </c>
      <c r="F34" t="s">
        <v>427</v>
      </c>
      <c r="G34" s="64">
        <v>40386</v>
      </c>
      <c r="H34">
        <v>117.13</v>
      </c>
      <c r="I34">
        <v>99.989157346538036</v>
      </c>
      <c r="J34">
        <v>99.980535279805352</v>
      </c>
    </row>
    <row r="35" spans="2:10" x14ac:dyDescent="0.25">
      <c r="B35" t="s">
        <v>451</v>
      </c>
      <c r="C35" s="64">
        <v>40387</v>
      </c>
      <c r="D35">
        <v>20.72</v>
      </c>
      <c r="E35">
        <v>99.988899613899619</v>
      </c>
      <c r="F35" t="s">
        <v>427</v>
      </c>
      <c r="G35" s="64">
        <v>40387</v>
      </c>
      <c r="H35">
        <v>117.13</v>
      </c>
      <c r="I35">
        <v>99.989157346538036</v>
      </c>
      <c r="J35">
        <v>99.988899613899619</v>
      </c>
    </row>
    <row r="36" spans="2:10" x14ac:dyDescent="0.25">
      <c r="B36" t="s">
        <v>451</v>
      </c>
      <c r="C36" s="64">
        <v>40388</v>
      </c>
      <c r="D36">
        <v>20.350000000000001</v>
      </c>
      <c r="E36">
        <v>99.970515970515976</v>
      </c>
      <c r="F36" t="s">
        <v>427</v>
      </c>
      <c r="G36" s="64">
        <v>40388</v>
      </c>
      <c r="H36">
        <v>116.86</v>
      </c>
      <c r="I36">
        <v>99.986821838096873</v>
      </c>
      <c r="J36">
        <v>99.970515970515976</v>
      </c>
    </row>
    <row r="37" spans="2:10" x14ac:dyDescent="0.25">
      <c r="B37" t="s">
        <v>451</v>
      </c>
      <c r="C37" s="64">
        <v>40389</v>
      </c>
      <c r="D37">
        <v>19.940000000000001</v>
      </c>
      <c r="E37">
        <v>99.949348044132392</v>
      </c>
      <c r="F37" t="s">
        <v>427</v>
      </c>
      <c r="G37" s="64">
        <v>40389</v>
      </c>
      <c r="H37">
        <v>117.89</v>
      </c>
      <c r="I37">
        <v>99.99567393332768</v>
      </c>
      <c r="J37">
        <v>99.949348044132392</v>
      </c>
    </row>
    <row r="38" spans="2:10" x14ac:dyDescent="0.25">
      <c r="B38" t="s">
        <v>451</v>
      </c>
      <c r="C38" s="64">
        <v>40392</v>
      </c>
      <c r="D38">
        <v>20.92</v>
      </c>
      <c r="E38">
        <v>99.998565965583168</v>
      </c>
      <c r="F38" t="s">
        <v>427</v>
      </c>
      <c r="G38" s="64">
        <v>40392</v>
      </c>
      <c r="H38">
        <v>120.07</v>
      </c>
      <c r="I38">
        <v>100.01390855334388</v>
      </c>
      <c r="J38">
        <v>99.998565965583168</v>
      </c>
    </row>
    <row r="39" spans="2:10" x14ac:dyDescent="0.25">
      <c r="B39" t="s">
        <v>451</v>
      </c>
      <c r="C39" s="64">
        <v>40393</v>
      </c>
      <c r="D39">
        <v>21.95</v>
      </c>
      <c r="E39">
        <v>100.04555808656036</v>
      </c>
      <c r="F39" t="s">
        <v>427</v>
      </c>
      <c r="G39" s="64">
        <v>40393</v>
      </c>
      <c r="H39">
        <v>122.42</v>
      </c>
      <c r="I39">
        <v>100.03283777160594</v>
      </c>
      <c r="J39">
        <v>100.03283777160594</v>
      </c>
    </row>
    <row r="40" spans="2:10" x14ac:dyDescent="0.25">
      <c r="B40" t="s">
        <v>451</v>
      </c>
      <c r="C40" s="64">
        <v>40394</v>
      </c>
      <c r="D40">
        <v>21.26</v>
      </c>
      <c r="E40">
        <v>100.0145813734713</v>
      </c>
      <c r="F40" t="s">
        <v>427</v>
      </c>
      <c r="G40" s="64">
        <v>40394</v>
      </c>
      <c r="H40">
        <v>127.58</v>
      </c>
      <c r="I40">
        <v>100.07195485185765</v>
      </c>
      <c r="J40">
        <v>100.0145813734713</v>
      </c>
    </row>
    <row r="41" spans="2:10" x14ac:dyDescent="0.25">
      <c r="B41" t="s">
        <v>451</v>
      </c>
      <c r="C41" s="64">
        <v>40395</v>
      </c>
      <c r="D41">
        <v>20.45</v>
      </c>
      <c r="E41">
        <v>99.975550122249388</v>
      </c>
      <c r="F41" t="s">
        <v>427</v>
      </c>
      <c r="G41" s="64">
        <v>40395</v>
      </c>
      <c r="H41">
        <v>127.83</v>
      </c>
      <c r="I41">
        <v>100.07376985058281</v>
      </c>
      <c r="J41">
        <v>99.975550122249388</v>
      </c>
    </row>
    <row r="42" spans="2:10" x14ac:dyDescent="0.25">
      <c r="B42" t="s">
        <v>451</v>
      </c>
      <c r="C42" s="64">
        <v>40396</v>
      </c>
      <c r="D42">
        <v>19.59</v>
      </c>
      <c r="E42">
        <v>99.930576824910673</v>
      </c>
      <c r="F42" t="s">
        <v>427</v>
      </c>
      <c r="G42" s="64">
        <v>40396</v>
      </c>
      <c r="H42">
        <v>128.32</v>
      </c>
      <c r="I42">
        <v>100.07730673316708</v>
      </c>
      <c r="J42">
        <v>99.930576824910673</v>
      </c>
    </row>
    <row r="43" spans="2:10" x14ac:dyDescent="0.25">
      <c r="B43" t="s">
        <v>451</v>
      </c>
      <c r="C43" s="64">
        <v>40399</v>
      </c>
      <c r="D43">
        <v>19.600000000000001</v>
      </c>
      <c r="E43">
        <v>99.931122448979593</v>
      </c>
      <c r="F43" t="s">
        <v>427</v>
      </c>
      <c r="G43" s="64">
        <v>40399</v>
      </c>
      <c r="H43">
        <v>128.83000000000001</v>
      </c>
      <c r="I43">
        <v>100.08095940386556</v>
      </c>
      <c r="J43">
        <v>99.931122448979593</v>
      </c>
    </row>
    <row r="44" spans="2:10" x14ac:dyDescent="0.25">
      <c r="B44" t="s">
        <v>451</v>
      </c>
      <c r="C44" s="64">
        <v>40400</v>
      </c>
      <c r="D44">
        <v>19.03</v>
      </c>
      <c r="E44">
        <v>99.899106673673145</v>
      </c>
      <c r="F44" t="s">
        <v>427</v>
      </c>
      <c r="G44" s="64">
        <v>40400</v>
      </c>
      <c r="H44">
        <v>130</v>
      </c>
      <c r="I44">
        <v>100.08923076923077</v>
      </c>
      <c r="J44">
        <v>99.899106673673145</v>
      </c>
    </row>
    <row r="45" spans="2:10" x14ac:dyDescent="0.25">
      <c r="B45" t="s">
        <v>451</v>
      </c>
      <c r="C45" s="64">
        <v>40401</v>
      </c>
      <c r="D45">
        <v>17.899999999999999</v>
      </c>
      <c r="E45">
        <v>99.82960893854748</v>
      </c>
      <c r="F45" t="s">
        <v>427</v>
      </c>
      <c r="G45" s="64">
        <v>40401</v>
      </c>
      <c r="H45">
        <v>125.89</v>
      </c>
      <c r="I45">
        <v>100.05949638573358</v>
      </c>
      <c r="J45">
        <v>99.82960893854748</v>
      </c>
    </row>
    <row r="46" spans="2:10" x14ac:dyDescent="0.25">
      <c r="B46" t="s">
        <v>451</v>
      </c>
      <c r="C46" s="64">
        <v>40402</v>
      </c>
      <c r="D46">
        <v>17.600000000000001</v>
      </c>
      <c r="E46">
        <v>99.809659090909093</v>
      </c>
      <c r="F46" t="s">
        <v>427</v>
      </c>
      <c r="G46" s="64">
        <v>40402</v>
      </c>
      <c r="H46">
        <v>126.56</v>
      </c>
      <c r="I46">
        <v>100.06447534766119</v>
      </c>
      <c r="J46">
        <v>99.809659090909093</v>
      </c>
    </row>
    <row r="47" spans="2:10" x14ac:dyDescent="0.25">
      <c r="B47" t="s">
        <v>451</v>
      </c>
      <c r="C47" s="64">
        <v>40403</v>
      </c>
      <c r="D47">
        <v>18.32</v>
      </c>
      <c r="E47">
        <v>99.856441048034938</v>
      </c>
      <c r="F47" t="s">
        <v>427</v>
      </c>
      <c r="G47" s="64">
        <v>40403</v>
      </c>
      <c r="H47">
        <v>124.69</v>
      </c>
      <c r="I47">
        <v>100.05044510385757</v>
      </c>
      <c r="J47">
        <v>99.856441048034938</v>
      </c>
    </row>
    <row r="48" spans="2:10" x14ac:dyDescent="0.25">
      <c r="B48" t="s">
        <v>451</v>
      </c>
      <c r="C48" s="64">
        <v>40406</v>
      </c>
      <c r="D48">
        <v>18.78</v>
      </c>
      <c r="E48">
        <v>99.884451544195954</v>
      </c>
      <c r="F48" t="s">
        <v>427</v>
      </c>
      <c r="G48" s="64">
        <v>40406</v>
      </c>
      <c r="H48">
        <v>126.07</v>
      </c>
      <c r="I48">
        <v>100.06083921630839</v>
      </c>
      <c r="J48">
        <v>99.884451544195954</v>
      </c>
    </row>
    <row r="49" spans="1:10" x14ac:dyDescent="0.25">
      <c r="B49" t="s">
        <v>451</v>
      </c>
      <c r="C49" s="64">
        <v>40407</v>
      </c>
      <c r="D49">
        <v>19.149999999999999</v>
      </c>
      <c r="E49">
        <v>99.906005221932119</v>
      </c>
      <c r="F49" t="s">
        <v>427</v>
      </c>
      <c r="G49" s="64">
        <v>40407</v>
      </c>
      <c r="H49">
        <v>128.86000000000001</v>
      </c>
      <c r="I49">
        <v>100.0811733664442</v>
      </c>
      <c r="J49">
        <v>99.906005221932119</v>
      </c>
    </row>
    <row r="50" spans="1:10" x14ac:dyDescent="0.25">
      <c r="A50" s="36"/>
      <c r="B50" t="s">
        <v>451</v>
      </c>
      <c r="C50" s="64">
        <v>40408</v>
      </c>
      <c r="D50">
        <v>18.77</v>
      </c>
      <c r="E50">
        <v>99.88385721896644</v>
      </c>
      <c r="F50" t="s">
        <v>427</v>
      </c>
      <c r="G50" s="64">
        <v>40408</v>
      </c>
      <c r="H50">
        <v>129.65</v>
      </c>
      <c r="I50">
        <v>100.08677207867335</v>
      </c>
      <c r="J50">
        <v>99.88385721896644</v>
      </c>
    </row>
    <row r="51" spans="1:10" x14ac:dyDescent="0.25">
      <c r="A51" s="36"/>
      <c r="B51" t="s">
        <v>451</v>
      </c>
      <c r="C51" s="64">
        <v>40409</v>
      </c>
      <c r="D51">
        <v>18.79</v>
      </c>
      <c r="E51">
        <v>99.885045236828105</v>
      </c>
      <c r="F51" t="s">
        <v>427</v>
      </c>
      <c r="G51" s="64">
        <v>40409</v>
      </c>
      <c r="H51">
        <v>127.57</v>
      </c>
      <c r="I51">
        <v>100.07188210394294</v>
      </c>
      <c r="J51">
        <v>99.885045236828105</v>
      </c>
    </row>
    <row r="52" spans="1:10" x14ac:dyDescent="0.25">
      <c r="A52" s="36"/>
      <c r="B52" t="s">
        <v>451</v>
      </c>
      <c r="C52" s="64">
        <v>40410</v>
      </c>
      <c r="D52">
        <v>19.100000000000001</v>
      </c>
      <c r="E52">
        <v>99.903141361256544</v>
      </c>
      <c r="F52" t="s">
        <v>427</v>
      </c>
      <c r="G52" s="64">
        <v>40410</v>
      </c>
      <c r="H52">
        <v>127.76</v>
      </c>
      <c r="I52">
        <v>100.07326236693801</v>
      </c>
      <c r="J52">
        <v>99.903141361256544</v>
      </c>
    </row>
    <row r="53" spans="1:10" x14ac:dyDescent="0.25">
      <c r="A53" s="36"/>
      <c r="B53" t="s">
        <v>451</v>
      </c>
      <c r="C53" s="64">
        <v>40413</v>
      </c>
      <c r="D53">
        <v>20.13</v>
      </c>
      <c r="E53">
        <v>99.959264778936912</v>
      </c>
      <c r="F53" t="s">
        <v>427</v>
      </c>
      <c r="G53" s="64">
        <v>40413</v>
      </c>
      <c r="H53">
        <v>126.6</v>
      </c>
      <c r="I53">
        <v>100.06477093206951</v>
      </c>
      <c r="J53">
        <v>99.959264778936912</v>
      </c>
    </row>
    <row r="54" spans="1:10" x14ac:dyDescent="0.25">
      <c r="A54" s="36"/>
      <c r="B54" t="s">
        <v>451</v>
      </c>
      <c r="C54" s="64">
        <v>40414</v>
      </c>
      <c r="D54">
        <v>19.2</v>
      </c>
      <c r="E54">
        <v>99.908854166666671</v>
      </c>
      <c r="F54" t="s">
        <v>427</v>
      </c>
      <c r="G54" s="64">
        <v>40414</v>
      </c>
      <c r="H54">
        <v>124.53</v>
      </c>
      <c r="I54">
        <v>100.04922508632458</v>
      </c>
      <c r="J54">
        <v>99.908854166666671</v>
      </c>
    </row>
    <row r="55" spans="1:10" x14ac:dyDescent="0.25">
      <c r="A55" s="36"/>
      <c r="B55" t="s">
        <v>451</v>
      </c>
      <c r="C55" s="64">
        <v>40415</v>
      </c>
      <c r="D55">
        <v>19.899999999999999</v>
      </c>
      <c r="E55">
        <v>99.947236180904525</v>
      </c>
      <c r="F55" t="s">
        <v>427</v>
      </c>
      <c r="G55" s="64">
        <v>40415</v>
      </c>
      <c r="H55">
        <v>126.85</v>
      </c>
      <c r="I55">
        <v>100.06661411115491</v>
      </c>
      <c r="J55">
        <v>99.947236180904525</v>
      </c>
    </row>
    <row r="56" spans="1:10" x14ac:dyDescent="0.25">
      <c r="A56" s="36"/>
      <c r="B56" t="s">
        <v>451</v>
      </c>
      <c r="C56" s="64">
        <v>40416</v>
      </c>
      <c r="D56">
        <v>19.75</v>
      </c>
      <c r="E56">
        <v>99.939240506329114</v>
      </c>
      <c r="F56" t="s">
        <v>427</v>
      </c>
      <c r="G56" s="64">
        <v>40416</v>
      </c>
      <c r="H56">
        <v>124.86</v>
      </c>
      <c r="I56">
        <v>100.05173794650008</v>
      </c>
      <c r="J56">
        <v>99.939240506329114</v>
      </c>
    </row>
    <row r="57" spans="1:10" x14ac:dyDescent="0.25">
      <c r="B57" t="s">
        <v>451</v>
      </c>
      <c r="C57" s="64">
        <v>40417</v>
      </c>
      <c r="D57">
        <v>19.7</v>
      </c>
      <c r="E57">
        <v>99.936548223350258</v>
      </c>
      <c r="F57" t="s">
        <v>427</v>
      </c>
      <c r="G57" s="64">
        <v>40417</v>
      </c>
      <c r="H57">
        <v>126.64</v>
      </c>
      <c r="I57">
        <v>100.06506632975363</v>
      </c>
      <c r="J57">
        <v>99.936548223350258</v>
      </c>
    </row>
    <row r="58" spans="1:10" x14ac:dyDescent="0.25">
      <c r="B58" t="s">
        <v>451</v>
      </c>
      <c r="C58" s="64">
        <v>40420</v>
      </c>
      <c r="D58">
        <v>19.87</v>
      </c>
      <c r="E58">
        <v>99.945646703573232</v>
      </c>
      <c r="F58" t="s">
        <v>427</v>
      </c>
      <c r="G58" s="64">
        <v>40420</v>
      </c>
      <c r="H58">
        <v>123.79</v>
      </c>
      <c r="I58">
        <v>100.04354148154133</v>
      </c>
      <c r="J58">
        <v>99.945646703573232</v>
      </c>
    </row>
    <row r="59" spans="1:10" x14ac:dyDescent="0.25">
      <c r="B59" t="s">
        <v>451</v>
      </c>
      <c r="C59" s="64">
        <v>40421</v>
      </c>
      <c r="D59">
        <v>19.48</v>
      </c>
      <c r="E59">
        <v>99.92453798767967</v>
      </c>
      <c r="F59" t="s">
        <v>427</v>
      </c>
      <c r="G59" s="64">
        <v>40421</v>
      </c>
      <c r="H59">
        <v>124.83</v>
      </c>
      <c r="I59">
        <v>100.051510053673</v>
      </c>
      <c r="J59">
        <v>99.92453798767967</v>
      </c>
    </row>
    <row r="60" spans="1:10" x14ac:dyDescent="0.25">
      <c r="B60" t="s">
        <v>451</v>
      </c>
      <c r="C60" s="64">
        <v>40422</v>
      </c>
      <c r="D60">
        <v>20.45</v>
      </c>
      <c r="E60">
        <v>99.975550122249388</v>
      </c>
      <c r="F60" t="s">
        <v>427</v>
      </c>
      <c r="G60" s="64">
        <v>40422</v>
      </c>
      <c r="H60">
        <v>132.49</v>
      </c>
      <c r="I60">
        <v>100.10634764887917</v>
      </c>
      <c r="J60">
        <v>99.975550122249388</v>
      </c>
    </row>
    <row r="61" spans="1:10" x14ac:dyDescent="0.25">
      <c r="B61" t="s">
        <v>451</v>
      </c>
      <c r="C61" s="64">
        <v>40423</v>
      </c>
      <c r="D61">
        <v>21.06</v>
      </c>
      <c r="E61">
        <v>100.00522317188984</v>
      </c>
      <c r="F61" t="s">
        <v>427</v>
      </c>
      <c r="G61" s="64">
        <v>40423</v>
      </c>
      <c r="H61">
        <v>135.21</v>
      </c>
      <c r="I61">
        <v>100.12432512388136</v>
      </c>
      <c r="J61">
        <v>100.00522317188984</v>
      </c>
    </row>
    <row r="62" spans="1:10" x14ac:dyDescent="0.25">
      <c r="B62" t="s">
        <v>451</v>
      </c>
      <c r="C62" s="64">
        <v>40424</v>
      </c>
      <c r="D62">
        <v>21.05</v>
      </c>
      <c r="E62">
        <v>100.00475059382423</v>
      </c>
      <c r="F62" t="s">
        <v>427</v>
      </c>
      <c r="G62" s="64">
        <v>40424</v>
      </c>
      <c r="H62">
        <v>138.79</v>
      </c>
      <c r="I62">
        <v>100.14691260177246</v>
      </c>
      <c r="J62">
        <v>100.00475059382423</v>
      </c>
    </row>
    <row r="63" spans="1:10" x14ac:dyDescent="0.25">
      <c r="B63" t="s">
        <v>451</v>
      </c>
      <c r="C63" s="64">
        <v>40428</v>
      </c>
      <c r="D63">
        <v>20.54</v>
      </c>
      <c r="E63">
        <v>99.980038948393386</v>
      </c>
      <c r="F63" t="s">
        <v>427</v>
      </c>
      <c r="G63" s="64">
        <v>40428</v>
      </c>
      <c r="H63">
        <v>137.22</v>
      </c>
      <c r="I63">
        <v>100.13715201865617</v>
      </c>
      <c r="J63">
        <v>99.980038948393386</v>
      </c>
    </row>
    <row r="64" spans="1:10" x14ac:dyDescent="0.25">
      <c r="B64" t="s">
        <v>451</v>
      </c>
      <c r="C64" s="64">
        <v>40429</v>
      </c>
      <c r="D64">
        <v>20.9</v>
      </c>
      <c r="E64">
        <v>99.997607655502392</v>
      </c>
      <c r="F64" t="s">
        <v>427</v>
      </c>
      <c r="G64" s="64">
        <v>40429</v>
      </c>
      <c r="H64">
        <v>139.13999999999999</v>
      </c>
      <c r="I64">
        <v>100.14905850222797</v>
      </c>
      <c r="J64">
        <v>99.997607655502392</v>
      </c>
    </row>
    <row r="65" spans="1:10" x14ac:dyDescent="0.25">
      <c r="B65" t="s">
        <v>451</v>
      </c>
      <c r="C65" s="64">
        <v>40430</v>
      </c>
      <c r="D65">
        <v>20.71</v>
      </c>
      <c r="E65">
        <v>99.988411395461128</v>
      </c>
      <c r="F65" t="s">
        <v>427</v>
      </c>
      <c r="G65" s="64">
        <v>40430</v>
      </c>
      <c r="H65">
        <v>140.38</v>
      </c>
      <c r="I65">
        <v>100.15657501068529</v>
      </c>
      <c r="J65">
        <v>99.988411395461128</v>
      </c>
    </row>
    <row r="66" spans="1:10" x14ac:dyDescent="0.25">
      <c r="B66" t="s">
        <v>451</v>
      </c>
      <c r="C66" s="64">
        <v>40431</v>
      </c>
      <c r="D66">
        <v>20.170000000000002</v>
      </c>
      <c r="E66">
        <v>99.961328705999009</v>
      </c>
      <c r="F66" t="s">
        <v>427</v>
      </c>
      <c r="G66" s="64">
        <v>40431</v>
      </c>
      <c r="H66">
        <v>142.44</v>
      </c>
      <c r="I66">
        <v>100.16877281662454</v>
      </c>
      <c r="J66">
        <v>99.961328705999009</v>
      </c>
    </row>
    <row r="67" spans="1:10" x14ac:dyDescent="0.25">
      <c r="B67" t="s">
        <v>451</v>
      </c>
      <c r="C67" s="64">
        <v>40434</v>
      </c>
      <c r="D67">
        <v>20.72</v>
      </c>
      <c r="E67">
        <v>99.988899613899619</v>
      </c>
      <c r="F67" t="s">
        <v>427</v>
      </c>
      <c r="G67" s="64">
        <v>40434</v>
      </c>
      <c r="H67">
        <v>145.07</v>
      </c>
      <c r="I67">
        <v>100.18384228303577</v>
      </c>
      <c r="J67">
        <v>99.988899613899619</v>
      </c>
    </row>
    <row r="68" spans="1:10" x14ac:dyDescent="0.25">
      <c r="B68" t="s">
        <v>451</v>
      </c>
      <c r="C68" s="64">
        <v>40435</v>
      </c>
      <c r="D68">
        <v>21.12</v>
      </c>
      <c r="E68">
        <v>100.00804924242425</v>
      </c>
      <c r="F68" t="s">
        <v>427</v>
      </c>
      <c r="G68" s="64">
        <v>40435</v>
      </c>
      <c r="H68">
        <v>145.75</v>
      </c>
      <c r="I68">
        <v>100.18765008576329</v>
      </c>
      <c r="J68">
        <v>100.00804924242425</v>
      </c>
    </row>
    <row r="69" spans="1:10" x14ac:dyDescent="0.25">
      <c r="B69" t="s">
        <v>451</v>
      </c>
      <c r="C69" s="64">
        <v>40436</v>
      </c>
      <c r="D69">
        <v>21.98</v>
      </c>
      <c r="E69">
        <v>100.04686078252958</v>
      </c>
      <c r="F69" t="s">
        <v>427</v>
      </c>
      <c r="G69" s="64">
        <v>40436</v>
      </c>
      <c r="H69">
        <v>145.44999999999999</v>
      </c>
      <c r="I69">
        <v>100.18597456170505</v>
      </c>
      <c r="J69">
        <v>100.04686078252958</v>
      </c>
    </row>
    <row r="70" spans="1:10" x14ac:dyDescent="0.25">
      <c r="B70" t="s">
        <v>451</v>
      </c>
      <c r="C70" s="64">
        <v>40437</v>
      </c>
      <c r="D70">
        <v>20.94</v>
      </c>
      <c r="E70">
        <v>99.999522445081183</v>
      </c>
      <c r="F70" t="s">
        <v>427</v>
      </c>
      <c r="G70" s="64">
        <v>40437</v>
      </c>
      <c r="H70">
        <v>148.13</v>
      </c>
      <c r="I70">
        <v>100.20070208600553</v>
      </c>
      <c r="J70">
        <v>99.999522445081183</v>
      </c>
    </row>
    <row r="71" spans="1:10" x14ac:dyDescent="0.25">
      <c r="B71" t="s">
        <v>451</v>
      </c>
      <c r="C71" s="64">
        <v>40438</v>
      </c>
      <c r="D71">
        <v>20.23</v>
      </c>
      <c r="E71">
        <v>99.964409293129023</v>
      </c>
      <c r="F71" t="s">
        <v>427</v>
      </c>
      <c r="G71" s="64">
        <v>40438</v>
      </c>
      <c r="H71">
        <v>148.32499999999999</v>
      </c>
      <c r="I71">
        <v>100.20175290746671</v>
      </c>
      <c r="J71">
        <v>99.964409293129023</v>
      </c>
    </row>
    <row r="72" spans="1:10" x14ac:dyDescent="0.25">
      <c r="B72" t="s">
        <v>451</v>
      </c>
      <c r="C72" s="64">
        <v>40441</v>
      </c>
      <c r="D72">
        <v>21.055</v>
      </c>
      <c r="E72">
        <v>100.00498693896937</v>
      </c>
      <c r="F72" t="s">
        <v>427</v>
      </c>
      <c r="G72" s="64">
        <v>40441</v>
      </c>
      <c r="H72">
        <v>151.30500000000001</v>
      </c>
      <c r="I72">
        <v>100.21747463732197</v>
      </c>
      <c r="J72">
        <v>100.00498693896937</v>
      </c>
    </row>
    <row r="73" spans="1:10" x14ac:dyDescent="0.25">
      <c r="B73" t="s">
        <v>451</v>
      </c>
      <c r="C73" s="64">
        <v>40442</v>
      </c>
      <c r="D73">
        <v>20.77</v>
      </c>
      <c r="E73">
        <v>99.991333654309102</v>
      </c>
      <c r="F73" t="s">
        <v>427</v>
      </c>
      <c r="G73" s="64">
        <v>40442</v>
      </c>
      <c r="H73">
        <v>150.72999999999999</v>
      </c>
      <c r="I73">
        <v>100.21448948450872</v>
      </c>
      <c r="J73">
        <v>99.991333654309102</v>
      </c>
    </row>
    <row r="74" spans="1:10" x14ac:dyDescent="0.25">
      <c r="B74" t="s">
        <v>451</v>
      </c>
      <c r="C74" s="64">
        <v>40443</v>
      </c>
      <c r="D74">
        <v>19.87</v>
      </c>
      <c r="E74">
        <v>99.945646703573232</v>
      </c>
      <c r="F74" t="s">
        <v>427</v>
      </c>
      <c r="G74" s="64">
        <v>40443</v>
      </c>
      <c r="H74">
        <v>151.83000000000001</v>
      </c>
      <c r="I74">
        <v>100.22018046499375</v>
      </c>
      <c r="J74">
        <v>99.945646703573232</v>
      </c>
    </row>
    <row r="75" spans="1:10" x14ac:dyDescent="0.25">
      <c r="B75" t="s">
        <v>451</v>
      </c>
      <c r="C75" s="64">
        <v>40444</v>
      </c>
      <c r="D75">
        <v>19.559999999999999</v>
      </c>
      <c r="E75">
        <v>99.928936605316977</v>
      </c>
      <c r="F75" t="s">
        <v>427</v>
      </c>
      <c r="G75" s="64">
        <v>40444</v>
      </c>
      <c r="H75">
        <v>152.85</v>
      </c>
      <c r="I75">
        <v>100.22538436375531</v>
      </c>
      <c r="J75">
        <v>99.928936605316977</v>
      </c>
    </row>
    <row r="76" spans="1:10" x14ac:dyDescent="0.25">
      <c r="B76" t="s">
        <v>451</v>
      </c>
      <c r="C76" s="64">
        <v>40445</v>
      </c>
      <c r="D76">
        <v>20.100000000000001</v>
      </c>
      <c r="E76">
        <v>99.957711442786064</v>
      </c>
      <c r="F76" t="s">
        <v>427</v>
      </c>
      <c r="G76" s="64">
        <v>40445</v>
      </c>
      <c r="H76">
        <v>160.72999999999999</v>
      </c>
      <c r="I76">
        <v>100.26336091582156</v>
      </c>
      <c r="J76">
        <v>99.957711442786064</v>
      </c>
    </row>
    <row r="77" spans="1:10" x14ac:dyDescent="0.25">
      <c r="B77" t="s">
        <v>451</v>
      </c>
      <c r="C77" s="64">
        <v>40448</v>
      </c>
      <c r="D77">
        <v>20.53</v>
      </c>
      <c r="E77">
        <v>99.979542133463227</v>
      </c>
      <c r="F77" t="s">
        <v>427</v>
      </c>
      <c r="G77" s="64">
        <v>40448</v>
      </c>
      <c r="H77">
        <v>159.37</v>
      </c>
      <c r="I77">
        <v>100.25707473175629</v>
      </c>
      <c r="J77">
        <v>99.979542133463227</v>
      </c>
    </row>
    <row r="78" spans="1:10" x14ac:dyDescent="0.25">
      <c r="B78" t="s">
        <v>451</v>
      </c>
      <c r="C78" s="64">
        <v>40449</v>
      </c>
      <c r="D78">
        <v>21.4</v>
      </c>
      <c r="E78">
        <v>100.02102803738318</v>
      </c>
      <c r="F78" t="s">
        <v>427</v>
      </c>
      <c r="G78" s="64">
        <v>40449</v>
      </c>
      <c r="H78">
        <v>159.69999999999999</v>
      </c>
      <c r="I78">
        <v>100.25860989355041</v>
      </c>
      <c r="J78">
        <v>100.02102803738318</v>
      </c>
    </row>
    <row r="79" spans="1:10" x14ac:dyDescent="0.25">
      <c r="B79" t="s">
        <v>451</v>
      </c>
      <c r="C79" s="64">
        <v>40450</v>
      </c>
      <c r="D79">
        <v>21.98</v>
      </c>
      <c r="E79">
        <v>100.04686078252958</v>
      </c>
      <c r="F79" t="s">
        <v>427</v>
      </c>
      <c r="G79" s="64">
        <v>40450</v>
      </c>
      <c r="H79">
        <v>158.99</v>
      </c>
      <c r="I79">
        <v>100.25529907541355</v>
      </c>
      <c r="J79">
        <v>100.04686078252958</v>
      </c>
    </row>
    <row r="80" spans="1:10" x14ac:dyDescent="0.25">
      <c r="A80" s="36"/>
      <c r="B80" t="s">
        <v>451</v>
      </c>
      <c r="C80" s="64">
        <v>40451</v>
      </c>
      <c r="D80">
        <v>20.405000000000001</v>
      </c>
      <c r="E80">
        <v>99.97329086008331</v>
      </c>
      <c r="F80" t="s">
        <v>427</v>
      </c>
      <c r="G80" s="64">
        <v>40451</v>
      </c>
      <c r="H80">
        <v>157.06</v>
      </c>
      <c r="I80">
        <v>100.24614796892907</v>
      </c>
      <c r="J80">
        <v>99.97329086008331</v>
      </c>
    </row>
    <row r="81" spans="1:10" x14ac:dyDescent="0.25">
      <c r="A81" s="36"/>
      <c r="B81" t="s">
        <v>451</v>
      </c>
      <c r="C81" s="64">
        <v>40452</v>
      </c>
      <c r="D81">
        <v>20.6</v>
      </c>
      <c r="E81">
        <v>99.983009708737868</v>
      </c>
      <c r="F81" t="s">
        <v>427</v>
      </c>
      <c r="G81" s="64">
        <v>40452</v>
      </c>
      <c r="H81">
        <v>153.71</v>
      </c>
      <c r="I81">
        <v>100.22971830069612</v>
      </c>
      <c r="J81">
        <v>99.983009708737868</v>
      </c>
    </row>
    <row r="82" spans="1:10" x14ac:dyDescent="0.25">
      <c r="A82" s="36"/>
      <c r="B82" t="s">
        <v>451</v>
      </c>
      <c r="C82" s="64">
        <v>40455</v>
      </c>
      <c r="D82">
        <v>20.99</v>
      </c>
      <c r="E82">
        <v>100.00190566936637</v>
      </c>
      <c r="F82" t="s">
        <v>427</v>
      </c>
      <c r="G82" s="64">
        <v>40455</v>
      </c>
      <c r="H82">
        <v>155.38999999999999</v>
      </c>
      <c r="I82">
        <v>100.23804620631958</v>
      </c>
      <c r="J82">
        <v>100.00190566936637</v>
      </c>
    </row>
    <row r="83" spans="1:10" x14ac:dyDescent="0.25">
      <c r="A83" s="36"/>
      <c r="B83" t="s">
        <v>451</v>
      </c>
      <c r="C83" s="64">
        <v>40456</v>
      </c>
      <c r="D83">
        <v>21.12</v>
      </c>
      <c r="E83">
        <v>100.00804924242425</v>
      </c>
      <c r="F83" t="s">
        <v>427</v>
      </c>
      <c r="G83" s="64">
        <v>40456</v>
      </c>
      <c r="H83">
        <v>160.87</v>
      </c>
      <c r="I83">
        <v>100.26400198918381</v>
      </c>
      <c r="J83">
        <v>100.00804924242425</v>
      </c>
    </row>
    <row r="84" spans="1:10" x14ac:dyDescent="0.25">
      <c r="A84" s="36"/>
      <c r="B84" t="s">
        <v>451</v>
      </c>
      <c r="C84" s="64">
        <v>40457</v>
      </c>
      <c r="D84">
        <v>20.46</v>
      </c>
      <c r="E84">
        <v>99.976050830889534</v>
      </c>
      <c r="F84" t="s">
        <v>427</v>
      </c>
      <c r="G84" s="64">
        <v>40457</v>
      </c>
      <c r="H84">
        <v>155.4</v>
      </c>
      <c r="I84">
        <v>100.23809523809524</v>
      </c>
      <c r="J84">
        <v>99.976050830889534</v>
      </c>
    </row>
    <row r="85" spans="1:10" x14ac:dyDescent="0.25">
      <c r="A85" s="36"/>
      <c r="B85" t="s">
        <v>451</v>
      </c>
      <c r="C85" s="64">
        <v>40458</v>
      </c>
      <c r="D85">
        <v>20.43</v>
      </c>
      <c r="E85">
        <v>99.974547234459124</v>
      </c>
      <c r="F85" t="s">
        <v>427</v>
      </c>
      <c r="G85" s="64">
        <v>40458</v>
      </c>
      <c r="H85">
        <v>156.27000000000001</v>
      </c>
      <c r="I85">
        <v>100.24233698086645</v>
      </c>
      <c r="J85">
        <v>99.974547234459124</v>
      </c>
    </row>
    <row r="86" spans="1:10" x14ac:dyDescent="0.25">
      <c r="A86" s="36"/>
      <c r="B86" t="s">
        <v>451</v>
      </c>
      <c r="C86" s="64">
        <v>40459</v>
      </c>
      <c r="D86">
        <v>20.43</v>
      </c>
      <c r="E86">
        <v>99.974547234459124</v>
      </c>
      <c r="F86" t="s">
        <v>427</v>
      </c>
      <c r="G86" s="64">
        <v>40459</v>
      </c>
      <c r="H86">
        <v>155.55000000000001</v>
      </c>
      <c r="I86">
        <v>100.23882995821279</v>
      </c>
      <c r="J86">
        <v>99.974547234459124</v>
      </c>
    </row>
    <row r="87" spans="1:10" x14ac:dyDescent="0.25">
      <c r="A87" s="36"/>
      <c r="B87" t="s">
        <v>451</v>
      </c>
      <c r="C87" s="64">
        <v>40462</v>
      </c>
      <c r="D87">
        <v>20.239999999999998</v>
      </c>
      <c r="E87">
        <v>99.964920948616594</v>
      </c>
      <c r="F87" t="s">
        <v>427</v>
      </c>
      <c r="G87" s="64">
        <v>40462</v>
      </c>
      <c r="H87">
        <v>153.03</v>
      </c>
      <c r="I87">
        <v>100.22629549761484</v>
      </c>
      <c r="J87">
        <v>99.964920948616594</v>
      </c>
    </row>
    <row r="88" spans="1:10" x14ac:dyDescent="0.25">
      <c r="A88" s="36"/>
      <c r="B88" t="s">
        <v>451</v>
      </c>
      <c r="C88" s="64">
        <v>40463</v>
      </c>
      <c r="D88">
        <v>20.239999999999998</v>
      </c>
      <c r="E88">
        <v>99.964920948616594</v>
      </c>
      <c r="F88" t="s">
        <v>427</v>
      </c>
      <c r="G88" s="64">
        <v>40463</v>
      </c>
      <c r="H88">
        <v>156.47999999999999</v>
      </c>
      <c r="I88">
        <v>100.24335378323109</v>
      </c>
      <c r="J88">
        <v>99.964920948616594</v>
      </c>
    </row>
    <row r="89" spans="1:10" x14ac:dyDescent="0.25">
      <c r="A89" s="36"/>
      <c r="B89" t="s">
        <v>451</v>
      </c>
      <c r="C89" s="64">
        <v>40464</v>
      </c>
      <c r="D89">
        <v>20.54</v>
      </c>
      <c r="E89">
        <v>99.980038948393386</v>
      </c>
      <c r="F89" t="s">
        <v>427</v>
      </c>
      <c r="G89" s="64">
        <v>40464</v>
      </c>
      <c r="H89">
        <v>155.16999999999999</v>
      </c>
      <c r="I89">
        <v>100.23696590835857</v>
      </c>
      <c r="J89">
        <v>99.980038948393386</v>
      </c>
    </row>
    <row r="90" spans="1:10" x14ac:dyDescent="0.25">
      <c r="A90" s="36"/>
      <c r="B90" t="s">
        <v>451</v>
      </c>
      <c r="C90" s="64">
        <v>40465</v>
      </c>
      <c r="D90">
        <v>20.75</v>
      </c>
      <c r="E90">
        <v>99.990361445783137</v>
      </c>
      <c r="F90" t="s">
        <v>427</v>
      </c>
      <c r="G90" s="64">
        <v>40465</v>
      </c>
      <c r="H90">
        <v>155.53</v>
      </c>
      <c r="I90">
        <v>100.23873207741272</v>
      </c>
      <c r="J90">
        <v>99.990361445783137</v>
      </c>
    </row>
    <row r="91" spans="1:10" x14ac:dyDescent="0.25">
      <c r="A91" s="36"/>
      <c r="B91" t="s">
        <v>451</v>
      </c>
      <c r="C91" s="64">
        <v>40466</v>
      </c>
      <c r="D91">
        <v>20.54</v>
      </c>
      <c r="E91">
        <v>99.980038948393386</v>
      </c>
      <c r="F91" t="s">
        <v>427</v>
      </c>
      <c r="G91" s="64">
        <v>40466</v>
      </c>
      <c r="H91">
        <v>164.64</v>
      </c>
      <c r="I91">
        <v>100.28085519922254</v>
      </c>
      <c r="J91">
        <v>99.980038948393386</v>
      </c>
    </row>
    <row r="92" spans="1:10" x14ac:dyDescent="0.25">
      <c r="A92" s="36"/>
      <c r="B92" t="s">
        <v>451</v>
      </c>
      <c r="C92" s="64">
        <v>40469</v>
      </c>
      <c r="D92">
        <v>20.23</v>
      </c>
      <c r="E92">
        <v>99.964409293129023</v>
      </c>
      <c r="F92" t="s">
        <v>427</v>
      </c>
      <c r="G92" s="64">
        <v>40469</v>
      </c>
      <c r="H92">
        <v>163.56</v>
      </c>
      <c r="I92">
        <v>100.27610662753729</v>
      </c>
      <c r="J92">
        <v>99.964409293129023</v>
      </c>
    </row>
    <row r="93" spans="1:10" x14ac:dyDescent="0.25">
      <c r="A93" s="36"/>
      <c r="B93" t="s">
        <v>451</v>
      </c>
      <c r="C93" s="64">
        <v>40470</v>
      </c>
      <c r="D93">
        <v>20.05</v>
      </c>
      <c r="E93">
        <v>99.955112219451365</v>
      </c>
      <c r="F93" t="s">
        <v>427</v>
      </c>
      <c r="G93" s="64">
        <v>40470</v>
      </c>
      <c r="H93">
        <v>158.66999999999999</v>
      </c>
      <c r="I93">
        <v>100.25379718913469</v>
      </c>
      <c r="J93">
        <v>99.955112219451365</v>
      </c>
    </row>
    <row r="94" spans="1:10" x14ac:dyDescent="0.25">
      <c r="A94" s="36"/>
      <c r="B94" t="s">
        <v>451</v>
      </c>
      <c r="C94" s="64">
        <v>40471</v>
      </c>
      <c r="D94">
        <v>20.65</v>
      </c>
      <c r="E94">
        <v>99.985472154963674</v>
      </c>
      <c r="F94" t="s">
        <v>427</v>
      </c>
      <c r="G94" s="64">
        <v>40471</v>
      </c>
      <c r="H94">
        <v>158.66999999999999</v>
      </c>
      <c r="I94">
        <v>100.25379718913469</v>
      </c>
      <c r="J94">
        <v>99.985472154963674</v>
      </c>
    </row>
    <row r="95" spans="1:10" x14ac:dyDescent="0.25">
      <c r="A95" s="36"/>
      <c r="B95" t="s">
        <v>451</v>
      </c>
      <c r="C95" s="64">
        <v>40472</v>
      </c>
      <c r="D95">
        <v>20.75</v>
      </c>
      <c r="E95">
        <v>99.990361445783137</v>
      </c>
      <c r="F95" t="s">
        <v>427</v>
      </c>
      <c r="G95" s="64">
        <v>40472</v>
      </c>
      <c r="H95">
        <v>164.97</v>
      </c>
      <c r="I95">
        <v>100.28229375037886</v>
      </c>
      <c r="J95">
        <v>99.990361445783137</v>
      </c>
    </row>
    <row r="96" spans="1:10" x14ac:dyDescent="0.25">
      <c r="A96" s="36"/>
      <c r="B96" t="s">
        <v>451</v>
      </c>
      <c r="C96" s="64">
        <v>40473</v>
      </c>
      <c r="D96">
        <v>20.72</v>
      </c>
      <c r="E96">
        <v>99.988899613899619</v>
      </c>
      <c r="F96" t="s">
        <v>427</v>
      </c>
      <c r="G96" s="64">
        <v>40473</v>
      </c>
      <c r="H96">
        <v>169.13</v>
      </c>
      <c r="I96">
        <v>100.2999467864956</v>
      </c>
      <c r="J96">
        <v>99.988899613899619</v>
      </c>
    </row>
    <row r="97" spans="1:10" x14ac:dyDescent="0.25">
      <c r="A97" s="36"/>
      <c r="B97" t="s">
        <v>451</v>
      </c>
      <c r="C97" s="64">
        <v>40476</v>
      </c>
      <c r="D97">
        <v>20.85</v>
      </c>
      <c r="E97">
        <v>99.995203836930457</v>
      </c>
      <c r="F97" t="s">
        <v>427</v>
      </c>
      <c r="G97" s="64">
        <v>40476</v>
      </c>
      <c r="H97">
        <v>169</v>
      </c>
      <c r="I97">
        <v>100.29940828402367</v>
      </c>
      <c r="J97">
        <v>99.995203836930457</v>
      </c>
    </row>
    <row r="98" spans="1:10" x14ac:dyDescent="0.25">
      <c r="A98" s="36"/>
      <c r="B98" t="s">
        <v>451</v>
      </c>
      <c r="C98" s="64">
        <v>40477</v>
      </c>
      <c r="D98">
        <v>21.36</v>
      </c>
      <c r="E98">
        <v>100.01919475655431</v>
      </c>
      <c r="F98" t="s">
        <v>427</v>
      </c>
      <c r="G98" s="64">
        <v>40477</v>
      </c>
      <c r="H98">
        <v>169.95</v>
      </c>
      <c r="I98">
        <v>100.303324507208</v>
      </c>
      <c r="J98">
        <v>100.01919475655431</v>
      </c>
    </row>
    <row r="99" spans="1:10" x14ac:dyDescent="0.25">
      <c r="A99" s="36"/>
      <c r="B99" t="s">
        <v>451</v>
      </c>
      <c r="C99" s="64">
        <v>40478</v>
      </c>
      <c r="D99">
        <v>21</v>
      </c>
      <c r="E99">
        <v>100.00238095238095</v>
      </c>
      <c r="F99" t="s">
        <v>427</v>
      </c>
      <c r="G99" s="64">
        <v>40478</v>
      </c>
      <c r="H99">
        <v>167.51</v>
      </c>
      <c r="I99">
        <v>100.29317652677452</v>
      </c>
      <c r="J99">
        <v>100.00238095238095</v>
      </c>
    </row>
    <row r="100" spans="1:10" x14ac:dyDescent="0.25">
      <c r="A100" s="36"/>
      <c r="B100" t="s">
        <v>451</v>
      </c>
      <c r="C100" s="64">
        <v>40479</v>
      </c>
      <c r="D100">
        <v>21.19</v>
      </c>
      <c r="E100">
        <v>100.01132609721567</v>
      </c>
      <c r="F100" t="s">
        <v>427</v>
      </c>
      <c r="G100" s="64">
        <v>40479</v>
      </c>
      <c r="H100">
        <v>166.84</v>
      </c>
      <c r="I100">
        <v>100.29033804842963</v>
      </c>
      <c r="J100">
        <v>100.01132609721567</v>
      </c>
    </row>
    <row r="101" spans="1:10" x14ac:dyDescent="0.25">
      <c r="A101" s="36"/>
      <c r="B101" t="s">
        <v>451</v>
      </c>
      <c r="C101" s="64">
        <v>40480</v>
      </c>
      <c r="D101">
        <v>21.84</v>
      </c>
      <c r="E101">
        <v>100.04075091575092</v>
      </c>
      <c r="F101" t="s">
        <v>427</v>
      </c>
      <c r="G101" s="64">
        <v>40480</v>
      </c>
      <c r="H101">
        <v>165.23</v>
      </c>
      <c r="I101">
        <v>100.28342310718392</v>
      </c>
      <c r="J101">
        <v>100.04075091575092</v>
      </c>
    </row>
    <row r="102" spans="1:10" x14ac:dyDescent="0.25">
      <c r="A102" s="36"/>
      <c r="B102" t="s">
        <v>451</v>
      </c>
      <c r="C102" s="64">
        <v>40483</v>
      </c>
      <c r="D102">
        <v>21.41</v>
      </c>
      <c r="E102">
        <v>100.02148528724895</v>
      </c>
      <c r="F102" t="s">
        <v>427</v>
      </c>
      <c r="G102" s="64">
        <v>40483</v>
      </c>
      <c r="H102">
        <v>162.58000000000001</v>
      </c>
      <c r="I102">
        <v>100.27174314183786</v>
      </c>
      <c r="J102">
        <v>100.02148528724895</v>
      </c>
    </row>
    <row r="103" spans="1:10" x14ac:dyDescent="0.25">
      <c r="A103" s="36"/>
      <c r="B103" t="s">
        <v>451</v>
      </c>
      <c r="C103" s="64">
        <v>40484</v>
      </c>
      <c r="D103">
        <v>21.25</v>
      </c>
      <c r="E103">
        <v>100.01411764705882</v>
      </c>
      <c r="F103" t="s">
        <v>427</v>
      </c>
      <c r="G103" s="64">
        <v>40484</v>
      </c>
      <c r="H103">
        <v>164.61</v>
      </c>
      <c r="I103">
        <v>100.28072413583622</v>
      </c>
      <c r="J103">
        <v>100.01411764705882</v>
      </c>
    </row>
    <row r="104" spans="1:10" x14ac:dyDescent="0.25">
      <c r="A104" s="36"/>
      <c r="B104" t="s">
        <v>451</v>
      </c>
      <c r="C104" s="64">
        <v>40485</v>
      </c>
      <c r="D104">
        <v>21.77</v>
      </c>
      <c r="E104">
        <v>100.03766651355076</v>
      </c>
      <c r="F104" t="s">
        <v>427</v>
      </c>
      <c r="G104" s="64">
        <v>40485</v>
      </c>
      <c r="H104">
        <v>168.47</v>
      </c>
      <c r="I104">
        <v>100.29720425001484</v>
      </c>
      <c r="J104">
        <v>100.03766651355076</v>
      </c>
    </row>
    <row r="105" spans="1:10" x14ac:dyDescent="0.25">
      <c r="A105" s="36"/>
      <c r="B105" t="s">
        <v>451</v>
      </c>
      <c r="C105" s="64">
        <v>40486</v>
      </c>
      <c r="D105">
        <v>24.9</v>
      </c>
      <c r="E105">
        <v>100.15863453815261</v>
      </c>
      <c r="F105" t="s">
        <v>427</v>
      </c>
      <c r="G105" s="64">
        <v>40486</v>
      </c>
      <c r="H105">
        <v>168.93</v>
      </c>
      <c r="I105">
        <v>100.29911797786065</v>
      </c>
      <c r="J105">
        <v>100.15863453815261</v>
      </c>
    </row>
    <row r="106" spans="1:10" x14ac:dyDescent="0.25">
      <c r="A106" s="36"/>
      <c r="B106" t="s">
        <v>451</v>
      </c>
      <c r="C106" s="64">
        <v>40487</v>
      </c>
      <c r="D106">
        <v>24.44</v>
      </c>
      <c r="E106">
        <v>100.14279869067103</v>
      </c>
      <c r="F106" t="s">
        <v>427</v>
      </c>
      <c r="G106" s="64">
        <v>40487</v>
      </c>
      <c r="H106">
        <v>170.77</v>
      </c>
      <c r="I106">
        <v>100.30666978977573</v>
      </c>
      <c r="J106">
        <v>100.14279869067103</v>
      </c>
    </row>
    <row r="107" spans="1:10" x14ac:dyDescent="0.25">
      <c r="A107" s="36"/>
      <c r="B107" t="s">
        <v>451</v>
      </c>
      <c r="C107" s="64">
        <v>40490</v>
      </c>
      <c r="D107">
        <v>24.98</v>
      </c>
      <c r="E107">
        <v>100.16132906325061</v>
      </c>
      <c r="F107" t="s">
        <v>427</v>
      </c>
      <c r="G107" s="64">
        <v>40490</v>
      </c>
      <c r="H107">
        <v>171.99</v>
      </c>
      <c r="I107">
        <v>100.31158788301646</v>
      </c>
      <c r="J107">
        <v>100.16132906325061</v>
      </c>
    </row>
    <row r="108" spans="1:10" x14ac:dyDescent="0.25">
      <c r="A108" s="36"/>
      <c r="B108" t="s">
        <v>451</v>
      </c>
      <c r="C108" s="64">
        <v>40491</v>
      </c>
      <c r="D108">
        <v>24.63</v>
      </c>
      <c r="E108">
        <v>100.14941128704831</v>
      </c>
      <c r="F108" t="s">
        <v>427</v>
      </c>
      <c r="G108" s="64">
        <v>40491</v>
      </c>
      <c r="H108">
        <v>170.27</v>
      </c>
      <c r="I108">
        <v>100.30463381687908</v>
      </c>
      <c r="J108">
        <v>100.14941128704831</v>
      </c>
    </row>
    <row r="109" spans="1:10" x14ac:dyDescent="0.25">
      <c r="A109" s="36"/>
      <c r="B109" t="s">
        <v>451</v>
      </c>
      <c r="C109" s="64">
        <v>40492</v>
      </c>
      <c r="D109">
        <v>29.36</v>
      </c>
      <c r="E109">
        <v>100.28644414168937</v>
      </c>
      <c r="F109" t="s">
        <v>427</v>
      </c>
      <c r="G109" s="64">
        <v>40492</v>
      </c>
      <c r="H109">
        <v>173.33</v>
      </c>
      <c r="I109">
        <v>100.31690994057578</v>
      </c>
      <c r="J109">
        <v>100.28644414168937</v>
      </c>
    </row>
    <row r="110" spans="1:10" x14ac:dyDescent="0.25">
      <c r="A110" s="36"/>
      <c r="B110" t="s">
        <v>451</v>
      </c>
      <c r="C110" s="64">
        <v>40493</v>
      </c>
      <c r="D110">
        <v>28.035</v>
      </c>
      <c r="E110">
        <v>100.25271981451756</v>
      </c>
      <c r="F110" t="s">
        <v>427</v>
      </c>
      <c r="G110" s="64">
        <v>40493</v>
      </c>
      <c r="H110">
        <v>170.37</v>
      </c>
      <c r="I110">
        <v>100.30504196748254</v>
      </c>
      <c r="J110">
        <v>100.25271981451756</v>
      </c>
    </row>
    <row r="111" spans="1:10" x14ac:dyDescent="0.25">
      <c r="A111" s="36"/>
      <c r="B111" t="s">
        <v>451</v>
      </c>
      <c r="C111" s="64">
        <v>40494</v>
      </c>
      <c r="D111">
        <v>29.84</v>
      </c>
      <c r="E111">
        <v>100.29792225201072</v>
      </c>
      <c r="F111" t="s">
        <v>427</v>
      </c>
      <c r="G111" s="64">
        <v>40494</v>
      </c>
      <c r="H111">
        <v>165.68</v>
      </c>
      <c r="I111">
        <v>100.28536938676967</v>
      </c>
      <c r="J111">
        <v>100.28536938676967</v>
      </c>
    </row>
    <row r="112" spans="1:10" x14ac:dyDescent="0.25">
      <c r="A112" s="36"/>
      <c r="B112" t="s">
        <v>451</v>
      </c>
      <c r="C112" s="64">
        <v>40497</v>
      </c>
      <c r="D112">
        <v>30.8</v>
      </c>
      <c r="E112">
        <v>100.3198051948052</v>
      </c>
      <c r="F112" t="s">
        <v>427</v>
      </c>
      <c r="G112" s="64">
        <v>40497</v>
      </c>
      <c r="H112">
        <v>158.9</v>
      </c>
      <c r="I112">
        <v>100.25487728130899</v>
      </c>
      <c r="J112">
        <v>100.25487728130899</v>
      </c>
    </row>
    <row r="113" spans="1:10" x14ac:dyDescent="0.25">
      <c r="A113" s="36"/>
      <c r="B113" t="s">
        <v>451</v>
      </c>
      <c r="C113" s="64">
        <v>40498</v>
      </c>
      <c r="D113">
        <v>29.67</v>
      </c>
      <c r="E113">
        <v>100.29389956184698</v>
      </c>
      <c r="F113" t="s">
        <v>427</v>
      </c>
      <c r="G113" s="64">
        <v>40498</v>
      </c>
      <c r="H113">
        <v>157.78</v>
      </c>
      <c r="I113">
        <v>100.24958803397135</v>
      </c>
      <c r="J113">
        <v>100.24958803397135</v>
      </c>
    </row>
    <row r="114" spans="1:10" x14ac:dyDescent="0.25">
      <c r="A114" s="36"/>
      <c r="B114" t="s">
        <v>451</v>
      </c>
      <c r="C114" s="64">
        <v>40499</v>
      </c>
      <c r="D114">
        <v>29.49</v>
      </c>
      <c r="E114">
        <v>100.28958969142082</v>
      </c>
      <c r="F114" t="s">
        <v>427</v>
      </c>
      <c r="G114" s="64">
        <v>40499</v>
      </c>
      <c r="H114">
        <v>158.35</v>
      </c>
      <c r="I114">
        <v>100.25228923271234</v>
      </c>
      <c r="J114">
        <v>100.25228923271234</v>
      </c>
    </row>
    <row r="115" spans="1:10" x14ac:dyDescent="0.25">
      <c r="A115" s="36"/>
      <c r="B115" t="s">
        <v>451</v>
      </c>
      <c r="C115" s="64">
        <v>40500</v>
      </c>
      <c r="D115">
        <v>29.89</v>
      </c>
      <c r="E115">
        <v>100.29909668785547</v>
      </c>
      <c r="F115" t="s">
        <v>427</v>
      </c>
      <c r="G115" s="64">
        <v>40500</v>
      </c>
      <c r="H115">
        <v>164.17</v>
      </c>
      <c r="I115">
        <v>100.27879636961686</v>
      </c>
      <c r="J115">
        <v>100.27879636961686</v>
      </c>
    </row>
    <row r="116" spans="1:10" x14ac:dyDescent="0.25">
      <c r="A116" s="36"/>
      <c r="B116" t="s">
        <v>451</v>
      </c>
      <c r="C116" s="64">
        <v>40501</v>
      </c>
      <c r="D116">
        <v>30.99</v>
      </c>
      <c r="E116">
        <v>100.32397547595998</v>
      </c>
      <c r="F116" t="s">
        <v>427</v>
      </c>
      <c r="G116" s="64">
        <v>40501</v>
      </c>
      <c r="H116">
        <v>164.82</v>
      </c>
      <c r="I116">
        <v>100.2816405775998</v>
      </c>
      <c r="J116">
        <v>100.2816405775998</v>
      </c>
    </row>
    <row r="117" spans="1:10" x14ac:dyDescent="0.25">
      <c r="A117" s="36"/>
      <c r="B117" t="s">
        <v>451</v>
      </c>
      <c r="C117" s="64">
        <v>40504</v>
      </c>
      <c r="D117">
        <v>33.4</v>
      </c>
      <c r="E117">
        <v>100.37275449101796</v>
      </c>
      <c r="F117" t="s">
        <v>427</v>
      </c>
      <c r="G117" s="64">
        <v>40504</v>
      </c>
      <c r="H117">
        <v>170.39</v>
      </c>
      <c r="I117">
        <v>100.30512354011385</v>
      </c>
      <c r="J117">
        <v>100.30512354011385</v>
      </c>
    </row>
    <row r="118" spans="1:10" x14ac:dyDescent="0.25">
      <c r="A118" s="36"/>
      <c r="B118" t="s">
        <v>451</v>
      </c>
      <c r="C118" s="64">
        <v>40505</v>
      </c>
      <c r="D118">
        <v>34.57</v>
      </c>
      <c r="E118">
        <v>100.3939832224472</v>
      </c>
      <c r="F118" t="s">
        <v>427</v>
      </c>
      <c r="G118" s="64">
        <v>40505</v>
      </c>
      <c r="H118">
        <v>168.2</v>
      </c>
      <c r="I118">
        <v>100.29607609988109</v>
      </c>
      <c r="J118">
        <v>100.29607609988109</v>
      </c>
    </row>
    <row r="119" spans="1:10" x14ac:dyDescent="0.25">
      <c r="A119" s="36"/>
      <c r="B119" t="s">
        <v>451</v>
      </c>
      <c r="C119" s="64">
        <v>40506</v>
      </c>
      <c r="D119">
        <v>35.47</v>
      </c>
      <c r="E119">
        <v>100.40936002255427</v>
      </c>
      <c r="F119" t="s">
        <v>427</v>
      </c>
      <c r="G119" s="64">
        <v>40506</v>
      </c>
      <c r="H119">
        <v>177.25</v>
      </c>
      <c r="I119">
        <v>100.33201692524683</v>
      </c>
      <c r="J119">
        <v>100.33201692524683</v>
      </c>
    </row>
    <row r="120" spans="1:10" x14ac:dyDescent="0.25">
      <c r="A120" s="36"/>
      <c r="B120" t="s">
        <v>451</v>
      </c>
      <c r="C120" s="64">
        <v>40508</v>
      </c>
      <c r="D120">
        <v>35.32</v>
      </c>
      <c r="E120">
        <v>100.40685164212911</v>
      </c>
      <c r="F120" t="s">
        <v>427</v>
      </c>
      <c r="G120" s="64">
        <v>40508</v>
      </c>
      <c r="H120">
        <v>177.5</v>
      </c>
      <c r="I120">
        <v>100.33295774647887</v>
      </c>
      <c r="J120">
        <v>100.33295774647887</v>
      </c>
    </row>
    <row r="121" spans="1:10" x14ac:dyDescent="0.25">
      <c r="A121" s="36"/>
      <c r="B121" t="s">
        <v>451</v>
      </c>
      <c r="C121" s="64">
        <v>40511</v>
      </c>
      <c r="D121">
        <v>34.33</v>
      </c>
      <c r="E121">
        <v>100.3897465773376</v>
      </c>
      <c r="F121" t="s">
        <v>427</v>
      </c>
      <c r="G121" s="64">
        <v>40511</v>
      </c>
      <c r="H121">
        <v>179.49</v>
      </c>
      <c r="I121">
        <v>100.34035322302078</v>
      </c>
      <c r="J121">
        <v>100.34035322302078</v>
      </c>
    </row>
    <row r="122" spans="1:10" x14ac:dyDescent="0.25">
      <c r="A122" s="36"/>
      <c r="B122" t="s">
        <v>451</v>
      </c>
      <c r="C122" s="64">
        <v>40512</v>
      </c>
      <c r="D122">
        <v>35.33</v>
      </c>
      <c r="E122">
        <v>100.40701953014435</v>
      </c>
      <c r="F122" t="s">
        <v>427</v>
      </c>
      <c r="G122" s="64">
        <v>40512</v>
      </c>
      <c r="H122">
        <v>175.4</v>
      </c>
      <c r="I122">
        <v>100.32497149372863</v>
      </c>
      <c r="J122">
        <v>100.32497149372863</v>
      </c>
    </row>
    <row r="123" spans="1:10" x14ac:dyDescent="0.25">
      <c r="A123" s="36"/>
      <c r="B123" t="s">
        <v>451</v>
      </c>
      <c r="C123" s="64">
        <v>40513</v>
      </c>
      <c r="D123">
        <v>34.35</v>
      </c>
      <c r="E123">
        <v>100.3901018922853</v>
      </c>
      <c r="F123" t="s">
        <v>427</v>
      </c>
      <c r="G123" s="64">
        <v>40513</v>
      </c>
      <c r="H123">
        <v>176.55</v>
      </c>
      <c r="I123">
        <v>100.32936845086378</v>
      </c>
      <c r="J123">
        <v>100.32936845086378</v>
      </c>
    </row>
    <row r="124" spans="1:10" x14ac:dyDescent="0.25">
      <c r="A124" s="36"/>
      <c r="B124" t="s">
        <v>451</v>
      </c>
      <c r="C124" s="64">
        <v>40514</v>
      </c>
      <c r="D124">
        <v>32.35</v>
      </c>
      <c r="E124">
        <v>100.35239567233384</v>
      </c>
      <c r="F124" t="s">
        <v>427</v>
      </c>
      <c r="G124" s="64">
        <v>40514</v>
      </c>
      <c r="H124">
        <v>176.53</v>
      </c>
      <c r="I124">
        <v>100.32929247153459</v>
      </c>
      <c r="J124">
        <v>100.32929247153459</v>
      </c>
    </row>
    <row r="125" spans="1:10" x14ac:dyDescent="0.25">
      <c r="A125" s="36"/>
      <c r="B125" t="s">
        <v>451</v>
      </c>
      <c r="C125" s="64">
        <v>40515</v>
      </c>
      <c r="D125">
        <v>31.49</v>
      </c>
      <c r="E125">
        <v>100.33470943156557</v>
      </c>
      <c r="F125" t="s">
        <v>427</v>
      </c>
      <c r="G125" s="64">
        <v>40515</v>
      </c>
      <c r="H125">
        <v>175.68</v>
      </c>
      <c r="I125">
        <v>100.32604735883424</v>
      </c>
      <c r="J125">
        <v>100.32604735883424</v>
      </c>
    </row>
    <row r="126" spans="1:10" x14ac:dyDescent="0.25">
      <c r="A126" s="36"/>
      <c r="B126" t="s">
        <v>451</v>
      </c>
      <c r="C126" s="64">
        <v>40518</v>
      </c>
      <c r="D126">
        <v>30.31</v>
      </c>
      <c r="E126">
        <v>100.308808973936</v>
      </c>
      <c r="F126" t="s">
        <v>427</v>
      </c>
      <c r="G126" s="64">
        <v>40518</v>
      </c>
      <c r="H126">
        <v>178.05</v>
      </c>
      <c r="I126">
        <v>100.33501825329964</v>
      </c>
      <c r="J126">
        <v>100.308808973936</v>
      </c>
    </row>
    <row r="127" spans="1:10" x14ac:dyDescent="0.25">
      <c r="A127" s="36"/>
      <c r="B127" t="s">
        <v>451</v>
      </c>
      <c r="C127" s="64">
        <v>40519</v>
      </c>
      <c r="D127">
        <v>31.56</v>
      </c>
      <c r="E127">
        <v>100.33618504435995</v>
      </c>
      <c r="F127" t="s">
        <v>427</v>
      </c>
      <c r="G127" s="64">
        <v>40519</v>
      </c>
      <c r="H127">
        <v>176.77</v>
      </c>
      <c r="I127">
        <v>100.3302030887594</v>
      </c>
      <c r="J127">
        <v>100.3302030887594</v>
      </c>
    </row>
    <row r="128" spans="1:10" x14ac:dyDescent="0.25">
      <c r="A128" s="36"/>
      <c r="B128" t="s">
        <v>451</v>
      </c>
      <c r="C128" s="64">
        <v>40520</v>
      </c>
      <c r="D128">
        <v>32.369999999999997</v>
      </c>
      <c r="E128">
        <v>100.35279579857892</v>
      </c>
      <c r="F128" t="s">
        <v>427</v>
      </c>
      <c r="G128" s="64">
        <v>40520</v>
      </c>
      <c r="H128">
        <v>176.29</v>
      </c>
      <c r="I128">
        <v>100.32837937489364</v>
      </c>
      <c r="J128">
        <v>100.32837937489364</v>
      </c>
    </row>
    <row r="129" spans="1:10" x14ac:dyDescent="0.25">
      <c r="A129" s="36"/>
      <c r="B129" t="s">
        <v>451</v>
      </c>
      <c r="C129" s="64">
        <v>40521</v>
      </c>
      <c r="D129">
        <v>32.049999999999997</v>
      </c>
      <c r="E129">
        <v>100.34633385335414</v>
      </c>
      <c r="F129" t="s">
        <v>427</v>
      </c>
      <c r="G129" s="64">
        <v>40521</v>
      </c>
      <c r="H129">
        <v>174.85</v>
      </c>
      <c r="I129">
        <v>100.32284815556191</v>
      </c>
      <c r="J129">
        <v>100.32284815556191</v>
      </c>
    </row>
    <row r="130" spans="1:10" x14ac:dyDescent="0.25">
      <c r="A130" s="36"/>
      <c r="B130" t="s">
        <v>451</v>
      </c>
      <c r="C130" s="64">
        <v>40522</v>
      </c>
      <c r="D130">
        <v>31.52</v>
      </c>
      <c r="E130">
        <v>100.3353426395939</v>
      </c>
      <c r="F130" t="s">
        <v>427</v>
      </c>
      <c r="G130" s="64">
        <v>40522</v>
      </c>
      <c r="H130">
        <v>175.62</v>
      </c>
      <c r="I130">
        <v>100.32581710511332</v>
      </c>
      <c r="J130">
        <v>100.32581710511332</v>
      </c>
    </row>
    <row r="131" spans="1:10" x14ac:dyDescent="0.25">
      <c r="A131" s="36"/>
      <c r="B131" t="s">
        <v>451</v>
      </c>
      <c r="C131" s="64">
        <v>40525</v>
      </c>
      <c r="D131">
        <v>30.55</v>
      </c>
      <c r="E131">
        <v>100.31423895253683</v>
      </c>
      <c r="F131" t="s">
        <v>427</v>
      </c>
      <c r="G131" s="64">
        <v>40525</v>
      </c>
      <c r="H131">
        <v>174.25</v>
      </c>
      <c r="I131">
        <v>100.32051649928265</v>
      </c>
      <c r="J131">
        <v>100.31423895253683</v>
      </c>
    </row>
    <row r="132" spans="1:10" x14ac:dyDescent="0.25">
      <c r="A132" s="36"/>
      <c r="B132" t="s">
        <v>451</v>
      </c>
      <c r="C132" s="64">
        <v>40526</v>
      </c>
      <c r="D132">
        <v>28.53</v>
      </c>
      <c r="E132">
        <v>100.26568524360323</v>
      </c>
      <c r="F132" t="s">
        <v>427</v>
      </c>
      <c r="G132" s="64">
        <v>40526</v>
      </c>
      <c r="H132">
        <v>173.94</v>
      </c>
      <c r="I132">
        <v>100.31930550764632</v>
      </c>
      <c r="J132">
        <v>100.26568524360323</v>
      </c>
    </row>
    <row r="133" spans="1:10" x14ac:dyDescent="0.25">
      <c r="A133" s="36"/>
      <c r="B133" t="s">
        <v>451</v>
      </c>
      <c r="C133" s="64">
        <v>40527</v>
      </c>
      <c r="D133">
        <v>29.6</v>
      </c>
      <c r="E133">
        <v>100.29222972972973</v>
      </c>
      <c r="F133" t="s">
        <v>427</v>
      </c>
      <c r="G133" s="64">
        <v>40527</v>
      </c>
      <c r="H133">
        <v>175.57</v>
      </c>
      <c r="I133">
        <v>100.32562510679502</v>
      </c>
      <c r="J133">
        <v>100.29222972972973</v>
      </c>
    </row>
    <row r="134" spans="1:10" x14ac:dyDescent="0.25">
      <c r="A134" s="36"/>
      <c r="B134" t="s">
        <v>451</v>
      </c>
      <c r="C134" s="64">
        <v>40528</v>
      </c>
      <c r="D134">
        <v>30.81</v>
      </c>
      <c r="E134">
        <v>100.32002596559559</v>
      </c>
      <c r="F134" t="s">
        <v>427</v>
      </c>
      <c r="G134" s="64">
        <v>40528</v>
      </c>
      <c r="H134">
        <v>178.04</v>
      </c>
      <c r="I134">
        <v>100.33498090316783</v>
      </c>
      <c r="J134">
        <v>100.32002596559559</v>
      </c>
    </row>
    <row r="135" spans="1:10" x14ac:dyDescent="0.25">
      <c r="A135" s="36"/>
      <c r="B135" t="s">
        <v>451</v>
      </c>
      <c r="C135" s="64">
        <v>40529</v>
      </c>
      <c r="D135">
        <v>31.36</v>
      </c>
      <c r="E135">
        <v>100.33195153061224</v>
      </c>
      <c r="F135" t="s">
        <v>427</v>
      </c>
      <c r="G135" s="64">
        <v>40529</v>
      </c>
      <c r="H135">
        <v>177.58</v>
      </c>
      <c r="I135">
        <v>100.33325824980291</v>
      </c>
      <c r="J135">
        <v>100.33195153061224</v>
      </c>
    </row>
    <row r="136" spans="1:10" x14ac:dyDescent="0.25">
      <c r="A136" s="36"/>
      <c r="B136" t="s">
        <v>451</v>
      </c>
      <c r="C136" s="64">
        <v>40532</v>
      </c>
      <c r="D136">
        <v>31.7</v>
      </c>
      <c r="E136">
        <v>100.3391167192429</v>
      </c>
      <c r="F136" t="s">
        <v>427</v>
      </c>
      <c r="G136" s="64">
        <v>40532</v>
      </c>
      <c r="H136">
        <v>183.29</v>
      </c>
      <c r="I136">
        <v>100.35402913415898</v>
      </c>
      <c r="J136">
        <v>100.3391167192429</v>
      </c>
    </row>
    <row r="137" spans="1:10" x14ac:dyDescent="0.25">
      <c r="A137" s="36"/>
      <c r="B137" t="s">
        <v>451</v>
      </c>
      <c r="C137" s="64">
        <v>40533</v>
      </c>
      <c r="D137">
        <v>32.26</v>
      </c>
      <c r="E137">
        <v>100.35058896466212</v>
      </c>
      <c r="F137" t="s">
        <v>427</v>
      </c>
      <c r="G137" s="64">
        <v>40533</v>
      </c>
      <c r="H137">
        <v>184.75</v>
      </c>
      <c r="I137">
        <v>100.35913396481732</v>
      </c>
      <c r="J137">
        <v>100.35058896466212</v>
      </c>
    </row>
    <row r="138" spans="1:10" x14ac:dyDescent="0.25">
      <c r="A138" s="36"/>
      <c r="B138" t="s">
        <v>451</v>
      </c>
      <c r="C138" s="64">
        <v>40534</v>
      </c>
      <c r="D138">
        <v>32.630000000000003</v>
      </c>
      <c r="E138">
        <v>100.35795280416794</v>
      </c>
      <c r="F138" t="s">
        <v>427</v>
      </c>
      <c r="G138" s="64">
        <v>40534</v>
      </c>
      <c r="H138">
        <v>184.76</v>
      </c>
      <c r="I138">
        <v>100.35916865122321</v>
      </c>
      <c r="J138">
        <v>100.35795280416794</v>
      </c>
    </row>
    <row r="139" spans="1:10" x14ac:dyDescent="0.25">
      <c r="A139" s="36"/>
      <c r="B139" t="s">
        <v>451</v>
      </c>
      <c r="C139" s="64">
        <v>40535</v>
      </c>
      <c r="D139">
        <v>30.09</v>
      </c>
      <c r="E139">
        <v>100.30375540046528</v>
      </c>
      <c r="F139" t="s">
        <v>427</v>
      </c>
      <c r="G139" s="64">
        <v>40535</v>
      </c>
      <c r="H139">
        <v>182.59</v>
      </c>
      <c r="I139">
        <v>100.3515526589627</v>
      </c>
      <c r="J139">
        <v>100.30375540046528</v>
      </c>
    </row>
    <row r="140" spans="1:10" x14ac:dyDescent="0.25">
      <c r="A140" s="36"/>
      <c r="B140" t="s">
        <v>451</v>
      </c>
      <c r="C140" s="64">
        <v>40539</v>
      </c>
      <c r="D140">
        <v>25.548999999999999</v>
      </c>
      <c r="E140">
        <v>100.18000704528554</v>
      </c>
      <c r="F140" t="s">
        <v>427</v>
      </c>
      <c r="G140" s="64">
        <v>40539</v>
      </c>
      <c r="H140">
        <v>182.14</v>
      </c>
      <c r="I140">
        <v>100.3499505874602</v>
      </c>
      <c r="J140">
        <v>100.18000704528554</v>
      </c>
    </row>
    <row r="141" spans="1:10" x14ac:dyDescent="0.25">
      <c r="A141" s="36"/>
      <c r="B141" t="s">
        <v>451</v>
      </c>
      <c r="C141" s="64">
        <v>40540</v>
      </c>
      <c r="D141">
        <v>26.41</v>
      </c>
      <c r="E141">
        <v>100.20673987126088</v>
      </c>
      <c r="F141" t="s">
        <v>427</v>
      </c>
      <c r="G141" s="64">
        <v>40540</v>
      </c>
      <c r="H141">
        <v>181.09</v>
      </c>
      <c r="I141">
        <v>100.34618145673421</v>
      </c>
      <c r="J141">
        <v>100.20673987126088</v>
      </c>
    </row>
    <row r="142" spans="1:10" x14ac:dyDescent="0.25">
      <c r="A142" s="36"/>
      <c r="B142" t="s">
        <v>451</v>
      </c>
      <c r="C142" s="64">
        <v>40541</v>
      </c>
      <c r="D142">
        <v>27.73</v>
      </c>
      <c r="E142">
        <v>100.2445005409304</v>
      </c>
      <c r="F142" t="s">
        <v>427</v>
      </c>
      <c r="G142" s="64">
        <v>40541</v>
      </c>
      <c r="H142">
        <v>183.37</v>
      </c>
      <c r="I142">
        <v>100.35431095599063</v>
      </c>
      <c r="J142">
        <v>100.2445005409304</v>
      </c>
    </row>
    <row r="143" spans="1:10" x14ac:dyDescent="0.25">
      <c r="A143" s="36"/>
      <c r="B143" t="s">
        <v>451</v>
      </c>
      <c r="C143" s="64">
        <v>40542</v>
      </c>
      <c r="D143">
        <v>26.5</v>
      </c>
      <c r="E143">
        <v>100.20943396226416</v>
      </c>
      <c r="F143" t="s">
        <v>427</v>
      </c>
      <c r="G143" s="64">
        <v>40542</v>
      </c>
      <c r="H143">
        <v>182.75</v>
      </c>
      <c r="I143">
        <v>100.35212038303693</v>
      </c>
      <c r="J143">
        <v>100.20943396226416</v>
      </c>
    </row>
    <row r="144" spans="1:10" x14ac:dyDescent="0.25">
      <c r="A144" s="36"/>
      <c r="B144" t="s">
        <v>451</v>
      </c>
      <c r="C144" s="64">
        <v>40543</v>
      </c>
      <c r="D144">
        <v>26.63</v>
      </c>
      <c r="E144">
        <v>100.21329327825761</v>
      </c>
      <c r="F144" t="s">
        <v>427</v>
      </c>
      <c r="G144" s="64">
        <v>40543</v>
      </c>
      <c r="H144">
        <v>180</v>
      </c>
      <c r="I144">
        <v>100.34222222222222</v>
      </c>
      <c r="J144">
        <v>100.21329327825761</v>
      </c>
    </row>
    <row r="145" spans="1:10" x14ac:dyDescent="0.25">
      <c r="A145" s="36"/>
      <c r="B145" t="s">
        <v>451</v>
      </c>
      <c r="C145" s="64">
        <v>40546</v>
      </c>
      <c r="D145">
        <v>26.62</v>
      </c>
      <c r="E145">
        <v>100.21299774605559</v>
      </c>
      <c r="F145" t="s">
        <v>427</v>
      </c>
      <c r="G145" s="64">
        <v>40546</v>
      </c>
      <c r="H145">
        <v>184.22</v>
      </c>
      <c r="I145">
        <v>100.35729019650418</v>
      </c>
      <c r="J145">
        <v>100.21299774605559</v>
      </c>
    </row>
    <row r="146" spans="1:10" x14ac:dyDescent="0.25">
      <c r="A146" s="36"/>
      <c r="B146" t="s">
        <v>451</v>
      </c>
      <c r="C146" s="64">
        <v>40547</v>
      </c>
      <c r="D146">
        <v>26.67</v>
      </c>
      <c r="E146">
        <v>100.21447319085114</v>
      </c>
      <c r="F146" t="s">
        <v>427</v>
      </c>
      <c r="G146" s="64">
        <v>40547</v>
      </c>
      <c r="H146">
        <v>185.01</v>
      </c>
      <c r="I146">
        <v>100.36003459272472</v>
      </c>
      <c r="J146">
        <v>100.21447319085114</v>
      </c>
    </row>
    <row r="147" spans="1:10" x14ac:dyDescent="0.25">
      <c r="A147" s="36"/>
      <c r="B147" t="s">
        <v>451</v>
      </c>
      <c r="C147" s="64">
        <v>40548</v>
      </c>
      <c r="D147">
        <v>26.83</v>
      </c>
      <c r="E147">
        <v>100.21915765933656</v>
      </c>
      <c r="F147" t="s">
        <v>427</v>
      </c>
      <c r="G147" s="64">
        <v>40548</v>
      </c>
      <c r="H147">
        <v>187.42</v>
      </c>
      <c r="I147">
        <v>100.36826379255149</v>
      </c>
      <c r="J147">
        <v>100.21915765933656</v>
      </c>
    </row>
    <row r="148" spans="1:10" x14ac:dyDescent="0.25">
      <c r="A148" s="36"/>
      <c r="B148" t="s">
        <v>451</v>
      </c>
      <c r="C148" s="64">
        <v>40549</v>
      </c>
      <c r="D148">
        <v>27.88</v>
      </c>
      <c r="E148">
        <v>100.24856527977045</v>
      </c>
      <c r="F148" t="s">
        <v>427</v>
      </c>
      <c r="G148" s="64">
        <v>40549</v>
      </c>
      <c r="H148">
        <v>185.86</v>
      </c>
      <c r="I148">
        <v>100.36296136877219</v>
      </c>
      <c r="J148">
        <v>100.24856527977045</v>
      </c>
    </row>
    <row r="149" spans="1:10" x14ac:dyDescent="0.25">
      <c r="A149" s="36"/>
      <c r="B149" t="s">
        <v>451</v>
      </c>
      <c r="C149" s="64">
        <v>40550</v>
      </c>
      <c r="D149">
        <v>28.24</v>
      </c>
      <c r="E149">
        <v>100.25814447592067</v>
      </c>
      <c r="F149" t="s">
        <v>427</v>
      </c>
      <c r="G149" s="64">
        <v>40550</v>
      </c>
      <c r="H149">
        <v>185.49</v>
      </c>
      <c r="I149">
        <v>100.36169065717829</v>
      </c>
      <c r="J149">
        <v>100.25814447592067</v>
      </c>
    </row>
    <row r="150" spans="1:10" x14ac:dyDescent="0.25">
      <c r="A150" s="36"/>
      <c r="B150" t="s">
        <v>451</v>
      </c>
      <c r="C150" s="64">
        <v>40553</v>
      </c>
      <c r="D150">
        <v>28.45</v>
      </c>
      <c r="E150">
        <v>100.26362038664324</v>
      </c>
      <c r="F150" t="s">
        <v>427</v>
      </c>
      <c r="G150" s="64">
        <v>40553</v>
      </c>
      <c r="H150">
        <v>184.68</v>
      </c>
      <c r="I150">
        <v>100.35889105479748</v>
      </c>
      <c r="J150">
        <v>100.26362038664324</v>
      </c>
    </row>
    <row r="151" spans="1:10" x14ac:dyDescent="0.25">
      <c r="A151" s="36"/>
      <c r="B151" t="s">
        <v>451</v>
      </c>
      <c r="C151" s="64">
        <v>40554</v>
      </c>
      <c r="D151">
        <v>26.96</v>
      </c>
      <c r="E151">
        <v>100.22292284866469</v>
      </c>
      <c r="F151" t="s">
        <v>427</v>
      </c>
      <c r="G151" s="64">
        <v>40554</v>
      </c>
      <c r="H151">
        <v>184.34</v>
      </c>
      <c r="I151">
        <v>100.3577085819681</v>
      </c>
      <c r="J151">
        <v>100.22292284866469</v>
      </c>
    </row>
    <row r="152" spans="1:10" x14ac:dyDescent="0.25">
      <c r="A152" s="36"/>
      <c r="B152" t="s">
        <v>451</v>
      </c>
      <c r="C152" s="64">
        <v>40555</v>
      </c>
      <c r="D152">
        <v>26.96</v>
      </c>
      <c r="E152">
        <v>100.22292284866469</v>
      </c>
      <c r="F152" t="s">
        <v>427</v>
      </c>
      <c r="G152" s="64">
        <v>40555</v>
      </c>
      <c r="H152">
        <v>184.08</v>
      </c>
      <c r="I152">
        <v>100.3568013906997</v>
      </c>
      <c r="J152">
        <v>100.22292284866469</v>
      </c>
    </row>
    <row r="153" spans="1:10" x14ac:dyDescent="0.25">
      <c r="A153" s="36"/>
      <c r="B153" t="s">
        <v>451</v>
      </c>
      <c r="C153" s="64">
        <v>40556</v>
      </c>
      <c r="D153">
        <v>26.22</v>
      </c>
      <c r="E153">
        <v>100.20099160945843</v>
      </c>
      <c r="F153" t="s">
        <v>427</v>
      </c>
      <c r="G153" s="64">
        <v>40556</v>
      </c>
      <c r="H153">
        <v>185.53</v>
      </c>
      <c r="I153">
        <v>100.36182827575055</v>
      </c>
      <c r="J153">
        <v>100.20099160945843</v>
      </c>
    </row>
    <row r="154" spans="1:10" x14ac:dyDescent="0.25">
      <c r="A154" s="36"/>
      <c r="B154" t="s">
        <v>451</v>
      </c>
      <c r="C154" s="64">
        <v>40557</v>
      </c>
      <c r="D154">
        <v>25.75</v>
      </c>
      <c r="E154">
        <v>100.18640776699029</v>
      </c>
      <c r="F154" t="s">
        <v>427</v>
      </c>
      <c r="G154" s="64">
        <v>40557</v>
      </c>
      <c r="H154">
        <v>188.75</v>
      </c>
      <c r="I154">
        <v>100.37271523178808</v>
      </c>
      <c r="J154">
        <v>100.18640776699029</v>
      </c>
    </row>
    <row r="155" spans="1:10" x14ac:dyDescent="0.25">
      <c r="A155" s="36"/>
      <c r="B155" t="s">
        <v>451</v>
      </c>
      <c r="C155" s="64">
        <v>40561</v>
      </c>
      <c r="D155">
        <v>25.64</v>
      </c>
      <c r="E155">
        <v>100.18291731669267</v>
      </c>
      <c r="F155" t="s">
        <v>427</v>
      </c>
      <c r="G155" s="64">
        <v>40561</v>
      </c>
      <c r="H155">
        <v>191.25</v>
      </c>
      <c r="I155">
        <v>100.38091503267974</v>
      </c>
      <c r="J155">
        <v>100.18291731669267</v>
      </c>
    </row>
    <row r="156" spans="1:10" x14ac:dyDescent="0.25">
      <c r="A156" s="36"/>
      <c r="B156" t="s">
        <v>451</v>
      </c>
      <c r="C156" s="64">
        <v>40562</v>
      </c>
      <c r="D156">
        <v>24.03</v>
      </c>
      <c r="E156">
        <v>100.12817311693716</v>
      </c>
      <c r="F156" t="s">
        <v>427</v>
      </c>
      <c r="G156" s="64">
        <v>40562</v>
      </c>
      <c r="H156">
        <v>186.87</v>
      </c>
      <c r="I156">
        <v>100.36640445229304</v>
      </c>
      <c r="J156">
        <v>100.12817311693716</v>
      </c>
    </row>
    <row r="157" spans="1:10" x14ac:dyDescent="0.25">
      <c r="A157" s="36"/>
      <c r="B157" t="s">
        <v>451</v>
      </c>
      <c r="C157" s="64">
        <v>40563</v>
      </c>
      <c r="D157">
        <v>22.62</v>
      </c>
      <c r="E157">
        <v>100.07382847038019</v>
      </c>
      <c r="F157" t="s">
        <v>427</v>
      </c>
      <c r="G157" s="64">
        <v>40563</v>
      </c>
      <c r="H157">
        <v>181.96</v>
      </c>
      <c r="I157">
        <v>100.3493075401187</v>
      </c>
      <c r="J157">
        <v>100.07382847038019</v>
      </c>
    </row>
    <row r="158" spans="1:10" x14ac:dyDescent="0.25">
      <c r="A158" s="36"/>
      <c r="B158" t="s">
        <v>451</v>
      </c>
      <c r="C158" s="64">
        <v>40564</v>
      </c>
      <c r="D158">
        <v>23.04</v>
      </c>
      <c r="E158">
        <v>100.09071180555556</v>
      </c>
      <c r="F158" t="s">
        <v>427</v>
      </c>
      <c r="G158" s="64">
        <v>40564</v>
      </c>
      <c r="H158">
        <v>177.42</v>
      </c>
      <c r="I158">
        <v>100.33265697215647</v>
      </c>
      <c r="J158">
        <v>100.09071180555556</v>
      </c>
    </row>
    <row r="159" spans="1:10" x14ac:dyDescent="0.25">
      <c r="A159" s="36"/>
      <c r="B159" t="s">
        <v>451</v>
      </c>
      <c r="C159" s="64">
        <v>40567</v>
      </c>
      <c r="D159">
        <v>24.49</v>
      </c>
      <c r="E159">
        <v>100.1445487954267</v>
      </c>
      <c r="F159" t="s">
        <v>427</v>
      </c>
      <c r="G159" s="64">
        <v>40567</v>
      </c>
      <c r="H159">
        <v>176.85</v>
      </c>
      <c r="I159">
        <v>100.33050607859768</v>
      </c>
      <c r="J159">
        <v>100.1445487954267</v>
      </c>
    </row>
    <row r="160" spans="1:10" x14ac:dyDescent="0.25">
      <c r="A160" s="36"/>
      <c r="B160" t="s">
        <v>451</v>
      </c>
      <c r="C160" s="64">
        <v>40568</v>
      </c>
      <c r="D160">
        <v>24.68</v>
      </c>
      <c r="E160">
        <v>100.15113452188007</v>
      </c>
      <c r="F160" t="s">
        <v>427</v>
      </c>
      <c r="G160" s="64">
        <v>40568</v>
      </c>
      <c r="H160">
        <v>176.7</v>
      </c>
      <c r="I160">
        <v>100.3299377475948</v>
      </c>
      <c r="J160">
        <v>100.15113452188007</v>
      </c>
    </row>
    <row r="161" spans="1:10" x14ac:dyDescent="0.25">
      <c r="A161" s="36"/>
      <c r="B161" t="s">
        <v>451</v>
      </c>
      <c r="C161" s="64">
        <v>40569</v>
      </c>
      <c r="D161">
        <v>24.75</v>
      </c>
      <c r="E161">
        <v>100.15353535353535</v>
      </c>
      <c r="F161" t="s">
        <v>427</v>
      </c>
      <c r="G161" s="64">
        <v>40569</v>
      </c>
      <c r="H161">
        <v>175.39</v>
      </c>
      <c r="I161">
        <v>100.32493300644279</v>
      </c>
      <c r="J161">
        <v>100.15353535353535</v>
      </c>
    </row>
    <row r="162" spans="1:10" x14ac:dyDescent="0.25">
      <c r="A162" s="36"/>
      <c r="B162" t="s">
        <v>451</v>
      </c>
      <c r="C162" s="64">
        <v>40570</v>
      </c>
      <c r="D162">
        <v>24.92</v>
      </c>
      <c r="E162">
        <v>100.15930979133226</v>
      </c>
      <c r="F162" t="s">
        <v>427</v>
      </c>
      <c r="G162" s="64">
        <v>40570</v>
      </c>
      <c r="H162">
        <v>184.45</v>
      </c>
      <c r="I162">
        <v>100.35809162374628</v>
      </c>
      <c r="J162">
        <v>100.15930979133226</v>
      </c>
    </row>
    <row r="163" spans="1:10" x14ac:dyDescent="0.25">
      <c r="A163" s="36"/>
      <c r="B163" t="s">
        <v>451</v>
      </c>
      <c r="C163" s="64">
        <v>40571</v>
      </c>
      <c r="D163">
        <v>24.01</v>
      </c>
      <c r="E163">
        <v>100.12744689712619</v>
      </c>
      <c r="F163" t="s">
        <v>427</v>
      </c>
      <c r="G163" s="64">
        <v>40571</v>
      </c>
      <c r="H163">
        <v>171.14</v>
      </c>
      <c r="I163">
        <v>100.3081687507304</v>
      </c>
      <c r="J163">
        <v>100.12744689712619</v>
      </c>
    </row>
    <row r="164" spans="1:10" x14ac:dyDescent="0.25">
      <c r="A164" s="36"/>
      <c r="B164" t="s">
        <v>451</v>
      </c>
      <c r="C164" s="64">
        <v>40574</v>
      </c>
      <c r="D164">
        <v>24.1</v>
      </c>
      <c r="E164">
        <v>100.13070539419087</v>
      </c>
      <c r="F164" t="s">
        <v>427</v>
      </c>
      <c r="G164" s="64">
        <v>40574</v>
      </c>
      <c r="H164">
        <v>169.64</v>
      </c>
      <c r="I164">
        <v>100.302051402971</v>
      </c>
      <c r="J164">
        <v>100.13070539419087</v>
      </c>
    </row>
    <row r="165" spans="1:10" x14ac:dyDescent="0.25">
      <c r="A165" s="36"/>
      <c r="B165" t="s">
        <v>451</v>
      </c>
      <c r="C165" s="64">
        <v>40575</v>
      </c>
      <c r="D165">
        <v>23.91</v>
      </c>
      <c r="E165">
        <v>100.12379757423672</v>
      </c>
      <c r="F165" t="s">
        <v>427</v>
      </c>
      <c r="G165" s="64">
        <v>40575</v>
      </c>
      <c r="H165">
        <v>172.11</v>
      </c>
      <c r="I165">
        <v>100.31206786357562</v>
      </c>
      <c r="J165">
        <v>100.12379757423672</v>
      </c>
    </row>
    <row r="166" spans="1:10" x14ac:dyDescent="0.25">
      <c r="A166" s="36"/>
      <c r="B166" t="s">
        <v>451</v>
      </c>
      <c r="C166" s="64">
        <v>40576</v>
      </c>
      <c r="D166">
        <v>23.94</v>
      </c>
      <c r="E166">
        <v>100.12489557226399</v>
      </c>
      <c r="F166" t="s">
        <v>427</v>
      </c>
      <c r="G166" s="64">
        <v>40576</v>
      </c>
      <c r="H166">
        <v>173.53</v>
      </c>
      <c r="I166">
        <v>100.31769722814499</v>
      </c>
      <c r="J166">
        <v>100.12489557226399</v>
      </c>
    </row>
    <row r="167" spans="1:10" x14ac:dyDescent="0.25">
      <c r="A167" s="36"/>
      <c r="B167" t="s">
        <v>451</v>
      </c>
      <c r="C167" s="64">
        <v>40577</v>
      </c>
      <c r="D167">
        <v>23.63</v>
      </c>
      <c r="E167">
        <v>100.11341515023275</v>
      </c>
      <c r="F167" t="s">
        <v>427</v>
      </c>
      <c r="G167" s="64">
        <v>40577</v>
      </c>
      <c r="H167">
        <v>173.71</v>
      </c>
      <c r="I167">
        <v>100.31840423694663</v>
      </c>
      <c r="J167">
        <v>100.11341515023275</v>
      </c>
    </row>
    <row r="168" spans="1:10" x14ac:dyDescent="0.25">
      <c r="A168" s="36"/>
      <c r="B168" t="s">
        <v>451</v>
      </c>
      <c r="C168" s="64">
        <v>40578</v>
      </c>
      <c r="D168">
        <v>23.46</v>
      </c>
      <c r="E168">
        <v>100.10699062233589</v>
      </c>
      <c r="F168" t="s">
        <v>427</v>
      </c>
      <c r="G168" s="64">
        <v>40578</v>
      </c>
      <c r="H168">
        <v>175.93</v>
      </c>
      <c r="I168">
        <v>100.32700505883021</v>
      </c>
      <c r="J168">
        <v>100.10699062233589</v>
      </c>
    </row>
    <row r="169" spans="1:10" x14ac:dyDescent="0.25">
      <c r="A169" s="36"/>
      <c r="B169" t="s">
        <v>451</v>
      </c>
      <c r="C169" s="64">
        <v>40581</v>
      </c>
      <c r="D169">
        <v>23.07</v>
      </c>
      <c r="E169">
        <v>100.09189423493714</v>
      </c>
      <c r="F169" t="s">
        <v>427</v>
      </c>
      <c r="G169" s="64">
        <v>40581</v>
      </c>
      <c r="H169">
        <v>176.43</v>
      </c>
      <c r="I169">
        <v>100.32891231649945</v>
      </c>
      <c r="J169">
        <v>100.09189423493714</v>
      </c>
    </row>
    <row r="170" spans="1:10" x14ac:dyDescent="0.25">
      <c r="A170" s="36"/>
      <c r="B170" t="s">
        <v>451</v>
      </c>
      <c r="C170" s="64">
        <v>40582</v>
      </c>
      <c r="D170">
        <v>24.49</v>
      </c>
      <c r="E170">
        <v>100.1445487954267</v>
      </c>
      <c r="F170" t="s">
        <v>427</v>
      </c>
      <c r="G170" s="64">
        <v>40582</v>
      </c>
      <c r="H170">
        <v>183.06</v>
      </c>
      <c r="I170">
        <v>100.35321752430897</v>
      </c>
      <c r="J170">
        <v>100.1445487954267</v>
      </c>
    </row>
    <row r="171" spans="1:10" x14ac:dyDescent="0.25">
      <c r="A171" s="36"/>
      <c r="B171" t="s">
        <v>451</v>
      </c>
      <c r="C171" s="64">
        <v>40583</v>
      </c>
      <c r="D171">
        <v>23.21</v>
      </c>
      <c r="E171">
        <v>100.0973718224903</v>
      </c>
      <c r="F171" t="s">
        <v>427</v>
      </c>
      <c r="G171" s="64">
        <v>40583</v>
      </c>
      <c r="H171">
        <v>185.3</v>
      </c>
      <c r="I171">
        <v>100.3610361575823</v>
      </c>
      <c r="J171">
        <v>100.0973718224903</v>
      </c>
    </row>
    <row r="172" spans="1:10" x14ac:dyDescent="0.25">
      <c r="A172" s="36"/>
      <c r="B172" t="s">
        <v>451</v>
      </c>
      <c r="C172" s="64">
        <v>40584</v>
      </c>
      <c r="D172">
        <v>23.215</v>
      </c>
      <c r="E172">
        <v>100.09756622873142</v>
      </c>
      <c r="F172" t="s">
        <v>427</v>
      </c>
      <c r="G172" s="64">
        <v>40584</v>
      </c>
      <c r="H172">
        <v>186.21</v>
      </c>
      <c r="I172">
        <v>100.36415874550239</v>
      </c>
      <c r="J172">
        <v>100.09756622873142</v>
      </c>
    </row>
    <row r="173" spans="1:10" x14ac:dyDescent="0.25">
      <c r="A173" s="36"/>
      <c r="B173" t="s">
        <v>451</v>
      </c>
      <c r="C173" s="64">
        <v>40585</v>
      </c>
      <c r="D173">
        <v>23.25</v>
      </c>
      <c r="E173">
        <v>100.09892473118279</v>
      </c>
      <c r="F173" t="s">
        <v>427</v>
      </c>
      <c r="G173" s="64">
        <v>40585</v>
      </c>
      <c r="H173">
        <v>189.25</v>
      </c>
      <c r="I173">
        <v>100.37437252311757</v>
      </c>
      <c r="J173">
        <v>100.09892473118279</v>
      </c>
    </row>
    <row r="174" spans="1:10" x14ac:dyDescent="0.25">
      <c r="A174" s="36"/>
      <c r="B174" t="s">
        <v>451</v>
      </c>
      <c r="C174" s="64">
        <v>40588</v>
      </c>
      <c r="D174">
        <v>23.08</v>
      </c>
      <c r="E174">
        <v>100.092287694974</v>
      </c>
      <c r="F174" t="s">
        <v>427</v>
      </c>
      <c r="G174" s="64">
        <v>40588</v>
      </c>
      <c r="H174">
        <v>190.42</v>
      </c>
      <c r="I174">
        <v>100.3782165738893</v>
      </c>
      <c r="J174">
        <v>100.092287694974</v>
      </c>
    </row>
    <row r="175" spans="1:10" x14ac:dyDescent="0.25">
      <c r="A175" s="36"/>
      <c r="B175" t="s">
        <v>451</v>
      </c>
      <c r="C175" s="64">
        <v>40589</v>
      </c>
      <c r="D175">
        <v>22.84</v>
      </c>
      <c r="E175">
        <v>100.08274956217163</v>
      </c>
      <c r="F175" t="s">
        <v>427</v>
      </c>
      <c r="G175" s="64">
        <v>40589</v>
      </c>
      <c r="H175">
        <v>189.03</v>
      </c>
      <c r="I175">
        <v>100.37364439506956</v>
      </c>
      <c r="J175">
        <v>100.08274956217163</v>
      </c>
    </row>
    <row r="176" spans="1:10" x14ac:dyDescent="0.25">
      <c r="A176" s="36"/>
      <c r="B176" t="s">
        <v>451</v>
      </c>
      <c r="C176" s="64">
        <v>40590</v>
      </c>
      <c r="D176">
        <v>24.73</v>
      </c>
      <c r="E176">
        <v>100.15285078851598</v>
      </c>
      <c r="F176" t="s">
        <v>427</v>
      </c>
      <c r="G176" s="64">
        <v>40590</v>
      </c>
      <c r="H176">
        <v>186.62</v>
      </c>
      <c r="I176">
        <v>100.36555567463294</v>
      </c>
      <c r="J176">
        <v>100.15285078851598</v>
      </c>
    </row>
    <row r="177" spans="1:10" x14ac:dyDescent="0.25">
      <c r="A177" s="36"/>
      <c r="B177" t="s">
        <v>451</v>
      </c>
      <c r="C177" s="64">
        <v>40591</v>
      </c>
      <c r="D177">
        <v>23.6</v>
      </c>
      <c r="E177">
        <v>100.11228813559322</v>
      </c>
      <c r="F177" t="s">
        <v>427</v>
      </c>
      <c r="G177" s="64">
        <v>40591</v>
      </c>
      <c r="H177">
        <v>187.76</v>
      </c>
      <c r="I177">
        <v>100.36940775458031</v>
      </c>
      <c r="J177">
        <v>100.11228813559322</v>
      </c>
    </row>
    <row r="178" spans="1:10" x14ac:dyDescent="0.25">
      <c r="A178" s="36"/>
      <c r="B178" t="s">
        <v>451</v>
      </c>
      <c r="C178" s="64">
        <v>40592</v>
      </c>
      <c r="D178">
        <v>23.18</v>
      </c>
      <c r="E178">
        <v>100.09620362381364</v>
      </c>
      <c r="F178" t="s">
        <v>427</v>
      </c>
      <c r="G178" s="64">
        <v>40592</v>
      </c>
      <c r="H178">
        <v>186.5</v>
      </c>
      <c r="I178">
        <v>100.36514745308311</v>
      </c>
      <c r="J178">
        <v>100.09620362381364</v>
      </c>
    </row>
    <row r="179" spans="1:10" x14ac:dyDescent="0.25">
      <c r="A179" s="36"/>
      <c r="B179" t="s">
        <v>451</v>
      </c>
      <c r="C179" s="64">
        <v>40596</v>
      </c>
      <c r="D179">
        <v>21.87</v>
      </c>
      <c r="E179">
        <v>100.04206675811614</v>
      </c>
      <c r="F179" t="s">
        <v>427</v>
      </c>
      <c r="G179" s="64">
        <v>40596</v>
      </c>
      <c r="H179">
        <v>180.42</v>
      </c>
      <c r="I179">
        <v>100.34375346413923</v>
      </c>
      <c r="J179">
        <v>100.04206675811614</v>
      </c>
    </row>
    <row r="180" spans="1:10" x14ac:dyDescent="0.25">
      <c r="A180" s="36"/>
      <c r="B180" t="s">
        <v>451</v>
      </c>
      <c r="C180" s="64">
        <v>40597</v>
      </c>
      <c r="D180">
        <v>21.83</v>
      </c>
      <c r="E180">
        <v>100.04031149793862</v>
      </c>
      <c r="F180" t="s">
        <v>427</v>
      </c>
      <c r="G180" s="64">
        <v>40597</v>
      </c>
      <c r="H180">
        <v>176.68</v>
      </c>
      <c r="I180">
        <v>100.32986189721531</v>
      </c>
      <c r="J180">
        <v>100.04031149793862</v>
      </c>
    </row>
    <row r="181" spans="1:10" x14ac:dyDescent="0.25">
      <c r="A181" s="36"/>
      <c r="B181" t="s">
        <v>451</v>
      </c>
      <c r="C181" s="64">
        <v>40598</v>
      </c>
      <c r="D181">
        <v>22.53</v>
      </c>
      <c r="E181">
        <v>100.07012871726587</v>
      </c>
      <c r="F181" t="s">
        <v>427</v>
      </c>
      <c r="G181" s="64">
        <v>40598</v>
      </c>
      <c r="H181">
        <v>177.75</v>
      </c>
      <c r="I181">
        <v>100.3338959212377</v>
      </c>
      <c r="J181">
        <v>100.07012871726587</v>
      </c>
    </row>
    <row r="182" spans="1:10" x14ac:dyDescent="0.25">
      <c r="A182" s="36"/>
      <c r="B182" t="s">
        <v>451</v>
      </c>
      <c r="C182" s="64">
        <v>40599</v>
      </c>
      <c r="D182">
        <v>23.61</v>
      </c>
      <c r="E182">
        <v>100.1126641253706</v>
      </c>
      <c r="F182" t="s">
        <v>427</v>
      </c>
      <c r="G182" s="64">
        <v>40599</v>
      </c>
      <c r="H182">
        <v>177.24</v>
      </c>
      <c r="I182">
        <v>100.33197923719251</v>
      </c>
      <c r="J182">
        <v>100.1126641253706</v>
      </c>
    </row>
    <row r="183" spans="1:10" x14ac:dyDescent="0.25">
      <c r="A183" s="36"/>
      <c r="B183" t="s">
        <v>451</v>
      </c>
      <c r="C183" s="64">
        <v>40602</v>
      </c>
      <c r="D183">
        <v>23.89</v>
      </c>
      <c r="E183">
        <v>100.12306404353286</v>
      </c>
      <c r="F183" t="s">
        <v>427</v>
      </c>
      <c r="G183" s="64">
        <v>40602</v>
      </c>
      <c r="H183">
        <v>173.29</v>
      </c>
      <c r="I183">
        <v>100.31675226498932</v>
      </c>
      <c r="J183">
        <v>100.12306404353286</v>
      </c>
    </row>
    <row r="184" spans="1:10" x14ac:dyDescent="0.25">
      <c r="A184" s="36"/>
      <c r="B184" t="s">
        <v>451</v>
      </c>
      <c r="C184" s="64">
        <v>40603</v>
      </c>
      <c r="D184">
        <v>23.94</v>
      </c>
      <c r="E184">
        <v>100.12489557226399</v>
      </c>
      <c r="F184" t="s">
        <v>427</v>
      </c>
      <c r="G184" s="64">
        <v>40603</v>
      </c>
      <c r="H184">
        <v>169.44</v>
      </c>
      <c r="I184">
        <v>100.30122757318225</v>
      </c>
      <c r="J184">
        <v>100.12489557226399</v>
      </c>
    </row>
    <row r="185" spans="1:10" x14ac:dyDescent="0.25">
      <c r="A185" s="36"/>
      <c r="B185" t="s">
        <v>451</v>
      </c>
      <c r="C185" s="64">
        <v>40604</v>
      </c>
      <c r="D185">
        <v>24.02</v>
      </c>
      <c r="E185">
        <v>100.1278101582015</v>
      </c>
      <c r="F185" t="s">
        <v>427</v>
      </c>
      <c r="G185" s="64">
        <v>40604</v>
      </c>
      <c r="H185">
        <v>172.02</v>
      </c>
      <c r="I185">
        <v>100.3117079409371</v>
      </c>
      <c r="J185">
        <v>100.1278101582015</v>
      </c>
    </row>
    <row r="186" spans="1:10" x14ac:dyDescent="0.25">
      <c r="A186" s="36"/>
      <c r="B186" t="s">
        <v>451</v>
      </c>
      <c r="C186" s="64">
        <v>40605</v>
      </c>
      <c r="D186">
        <v>24.36</v>
      </c>
      <c r="E186">
        <v>100.13998357963875</v>
      </c>
      <c r="F186" t="s">
        <v>427</v>
      </c>
      <c r="G186" s="64">
        <v>40605</v>
      </c>
      <c r="H186">
        <v>172.79</v>
      </c>
      <c r="I186">
        <v>100.31477516059957</v>
      </c>
      <c r="J186">
        <v>100.13998357963875</v>
      </c>
    </row>
    <row r="187" spans="1:10" x14ac:dyDescent="0.25">
      <c r="A187" s="36"/>
      <c r="B187" t="s">
        <v>451</v>
      </c>
      <c r="C187" s="64">
        <v>40606</v>
      </c>
      <c r="D187">
        <v>24.95</v>
      </c>
      <c r="E187">
        <v>100.16032064128257</v>
      </c>
      <c r="F187" t="s">
        <v>427</v>
      </c>
      <c r="G187" s="64">
        <v>40606</v>
      </c>
      <c r="H187">
        <v>171.67</v>
      </c>
      <c r="I187">
        <v>100.31030465427855</v>
      </c>
      <c r="J187">
        <v>100.16032064128257</v>
      </c>
    </row>
    <row r="188" spans="1:10" x14ac:dyDescent="0.25">
      <c r="A188" s="36"/>
      <c r="B188" t="s">
        <v>451</v>
      </c>
      <c r="C188" s="64">
        <v>40609</v>
      </c>
      <c r="D188">
        <v>24.94</v>
      </c>
      <c r="E188">
        <v>100.15998396150762</v>
      </c>
      <c r="F188" t="s">
        <v>427</v>
      </c>
      <c r="G188" s="64">
        <v>40609</v>
      </c>
      <c r="H188">
        <v>169.08</v>
      </c>
      <c r="I188">
        <v>100.29973976815708</v>
      </c>
      <c r="J188">
        <v>100.15998396150762</v>
      </c>
    </row>
    <row r="189" spans="1:10" x14ac:dyDescent="0.25">
      <c r="A189" s="36"/>
      <c r="B189" t="s">
        <v>451</v>
      </c>
      <c r="C189" s="64">
        <v>40610</v>
      </c>
      <c r="D189">
        <v>24.66</v>
      </c>
      <c r="E189">
        <v>100.15044606650446</v>
      </c>
      <c r="F189" t="s">
        <v>427</v>
      </c>
      <c r="G189" s="64">
        <v>40610</v>
      </c>
      <c r="H189">
        <v>166.89</v>
      </c>
      <c r="I189">
        <v>100.29055066211276</v>
      </c>
      <c r="J189">
        <v>100.15044606650446</v>
      </c>
    </row>
    <row r="190" spans="1:10" x14ac:dyDescent="0.25">
      <c r="A190" s="36"/>
      <c r="B190" t="s">
        <v>451</v>
      </c>
      <c r="C190" s="64">
        <v>40611</v>
      </c>
      <c r="D190">
        <v>24.72</v>
      </c>
      <c r="E190">
        <v>100.15250809061489</v>
      </c>
      <c r="F190" t="s">
        <v>427</v>
      </c>
      <c r="G190" s="64">
        <v>40611</v>
      </c>
      <c r="H190">
        <v>169.05</v>
      </c>
      <c r="I190">
        <v>100.29961549837326</v>
      </c>
      <c r="J190">
        <v>100.15250809061489</v>
      </c>
    </row>
    <row r="191" spans="1:10" x14ac:dyDescent="0.25">
      <c r="A191" s="36"/>
      <c r="B191" t="s">
        <v>451</v>
      </c>
      <c r="C191" s="64">
        <v>40612</v>
      </c>
      <c r="D191">
        <v>24.01</v>
      </c>
      <c r="E191">
        <v>100.12744689712619</v>
      </c>
      <c r="F191" t="s">
        <v>427</v>
      </c>
      <c r="G191" s="64">
        <v>40612</v>
      </c>
      <c r="H191">
        <v>166.14</v>
      </c>
      <c r="I191">
        <v>100.28734801974238</v>
      </c>
      <c r="J191">
        <v>100.12744689712619</v>
      </c>
    </row>
    <row r="192" spans="1:10" x14ac:dyDescent="0.25">
      <c r="A192" s="36"/>
      <c r="B192" t="s">
        <v>451</v>
      </c>
      <c r="C192" s="64">
        <v>40613</v>
      </c>
      <c r="D192">
        <v>24.07</v>
      </c>
      <c r="E192">
        <v>100.12962193601994</v>
      </c>
      <c r="F192" t="s">
        <v>427</v>
      </c>
      <c r="G192" s="64">
        <v>40613</v>
      </c>
      <c r="H192">
        <v>168.07</v>
      </c>
      <c r="I192">
        <v>100.29553162372821</v>
      </c>
      <c r="J192">
        <v>100.12962193601994</v>
      </c>
    </row>
    <row r="193" spans="1:10" x14ac:dyDescent="0.25">
      <c r="A193" s="36"/>
      <c r="B193" t="s">
        <v>451</v>
      </c>
      <c r="C193" s="64">
        <v>40616</v>
      </c>
      <c r="D193">
        <v>23.25</v>
      </c>
      <c r="E193">
        <v>100.09892473118279</v>
      </c>
      <c r="F193" t="s">
        <v>427</v>
      </c>
      <c r="G193" s="64">
        <v>40616</v>
      </c>
      <c r="H193">
        <v>166.73</v>
      </c>
      <c r="I193">
        <v>100.2898698494572</v>
      </c>
      <c r="J193">
        <v>100.09892473118279</v>
      </c>
    </row>
    <row r="194" spans="1:10" x14ac:dyDescent="0.25">
      <c r="A194" s="36"/>
      <c r="B194" t="s">
        <v>451</v>
      </c>
      <c r="C194" s="64">
        <v>40617</v>
      </c>
      <c r="D194">
        <v>22.95</v>
      </c>
      <c r="E194">
        <v>100.08714596949891</v>
      </c>
      <c r="F194" t="s">
        <v>427</v>
      </c>
      <c r="G194" s="64">
        <v>40617</v>
      </c>
      <c r="H194">
        <v>165.08</v>
      </c>
      <c r="I194">
        <v>100.2827719893385</v>
      </c>
      <c r="J194">
        <v>100.08714596949891</v>
      </c>
    </row>
    <row r="195" spans="1:10" x14ac:dyDescent="0.25">
      <c r="A195" s="36"/>
      <c r="B195" t="s">
        <v>451</v>
      </c>
      <c r="C195" s="64">
        <v>40618</v>
      </c>
      <c r="D195">
        <v>22.82</v>
      </c>
      <c r="E195">
        <v>100.08194566170026</v>
      </c>
      <c r="F195" t="s">
        <v>427</v>
      </c>
      <c r="G195" s="64">
        <v>40618</v>
      </c>
      <c r="H195">
        <v>164.7</v>
      </c>
      <c r="I195">
        <v>100.28111718275653</v>
      </c>
      <c r="J195">
        <v>100.08194566170026</v>
      </c>
    </row>
    <row r="196" spans="1:10" x14ac:dyDescent="0.25">
      <c r="A196" s="36"/>
      <c r="B196" t="s">
        <v>451</v>
      </c>
      <c r="C196" s="64">
        <v>40619</v>
      </c>
      <c r="D196">
        <v>22.81</v>
      </c>
      <c r="E196">
        <v>100.08154318281456</v>
      </c>
      <c r="F196" t="s">
        <v>427</v>
      </c>
      <c r="G196" s="64">
        <v>40619</v>
      </c>
      <c r="H196">
        <v>160.97</v>
      </c>
      <c r="I196">
        <v>100.26445921600298</v>
      </c>
      <c r="J196">
        <v>100.08154318281456</v>
      </c>
    </row>
    <row r="197" spans="1:10" x14ac:dyDescent="0.25">
      <c r="A197" s="36"/>
      <c r="B197" t="s">
        <v>451</v>
      </c>
      <c r="C197" s="64">
        <v>40620</v>
      </c>
      <c r="D197">
        <v>22.96</v>
      </c>
      <c r="E197">
        <v>100.08754355400697</v>
      </c>
      <c r="F197" t="s">
        <v>427</v>
      </c>
      <c r="G197" s="64">
        <v>40620</v>
      </c>
      <c r="H197">
        <v>161.82</v>
      </c>
      <c r="I197">
        <v>100.2683228278334</v>
      </c>
      <c r="J197">
        <v>100.08754355400697</v>
      </c>
    </row>
    <row r="198" spans="1:10" x14ac:dyDescent="0.25">
      <c r="A198" s="36"/>
      <c r="B198" t="s">
        <v>451</v>
      </c>
      <c r="C198" s="64">
        <v>40623</v>
      </c>
      <c r="D198">
        <v>22.73</v>
      </c>
      <c r="E198">
        <v>100.07831060272767</v>
      </c>
      <c r="F198" t="s">
        <v>427</v>
      </c>
      <c r="G198" s="64">
        <v>40623</v>
      </c>
      <c r="H198">
        <v>164.52500000000001</v>
      </c>
      <c r="I198">
        <v>100.28035253001063</v>
      </c>
      <c r="J198">
        <v>100.07831060272767</v>
      </c>
    </row>
    <row r="199" spans="1:10" x14ac:dyDescent="0.25">
      <c r="A199" s="36"/>
      <c r="B199" t="s">
        <v>451</v>
      </c>
      <c r="C199" s="64">
        <v>40624</v>
      </c>
      <c r="D199">
        <v>22.19</v>
      </c>
      <c r="E199">
        <v>100.05588102748986</v>
      </c>
      <c r="F199" t="s">
        <v>427</v>
      </c>
      <c r="G199" s="64">
        <v>40624</v>
      </c>
      <c r="H199">
        <v>162.6</v>
      </c>
      <c r="I199">
        <v>100.27183271832719</v>
      </c>
      <c r="J199">
        <v>100.05588102748986</v>
      </c>
    </row>
    <row r="200" spans="1:10" x14ac:dyDescent="0.25">
      <c r="A200" s="36"/>
      <c r="B200" t="s">
        <v>451</v>
      </c>
      <c r="C200" s="64">
        <v>40625</v>
      </c>
      <c r="D200">
        <v>22.21</v>
      </c>
      <c r="E200">
        <v>100.05673120216119</v>
      </c>
      <c r="F200" t="s">
        <v>427</v>
      </c>
      <c r="G200" s="64">
        <v>40625</v>
      </c>
      <c r="H200">
        <v>165.32</v>
      </c>
      <c r="I200">
        <v>100.28381321074281</v>
      </c>
      <c r="J200">
        <v>100.05673120216119</v>
      </c>
    </row>
    <row r="201" spans="1:10" x14ac:dyDescent="0.25">
      <c r="A201" s="36"/>
      <c r="B201" t="s">
        <v>451</v>
      </c>
      <c r="C201" s="64">
        <v>40626</v>
      </c>
      <c r="D201">
        <v>22.33</v>
      </c>
      <c r="E201">
        <v>100.06180026869681</v>
      </c>
      <c r="F201" t="s">
        <v>427</v>
      </c>
      <c r="G201" s="64">
        <v>40626</v>
      </c>
      <c r="H201">
        <v>171.1</v>
      </c>
      <c r="I201">
        <v>100.30800701344243</v>
      </c>
      <c r="J201">
        <v>100.06180026869681</v>
      </c>
    </row>
    <row r="202" spans="1:10" x14ac:dyDescent="0.25">
      <c r="A202" s="36"/>
      <c r="B202" t="s">
        <v>451</v>
      </c>
      <c r="C202" s="64">
        <v>40627</v>
      </c>
      <c r="D202">
        <v>22.75</v>
      </c>
      <c r="E202">
        <v>100.07912087912088</v>
      </c>
      <c r="F202" t="s">
        <v>427</v>
      </c>
      <c r="G202" s="64">
        <v>40627</v>
      </c>
      <c r="H202">
        <v>170.98</v>
      </c>
      <c r="I202">
        <v>100.30752134752602</v>
      </c>
      <c r="J202">
        <v>100.07912087912088</v>
      </c>
    </row>
    <row r="203" spans="1:10" x14ac:dyDescent="0.25">
      <c r="A203" s="36"/>
      <c r="B203" t="s">
        <v>451</v>
      </c>
      <c r="C203" s="64">
        <v>40630</v>
      </c>
      <c r="D203">
        <v>23.25</v>
      </c>
      <c r="E203">
        <v>100.09892473118279</v>
      </c>
      <c r="F203" t="s">
        <v>427</v>
      </c>
      <c r="G203" s="64">
        <v>40630</v>
      </c>
      <c r="H203">
        <v>169.35</v>
      </c>
      <c r="I203">
        <v>100.30085621493947</v>
      </c>
      <c r="J203">
        <v>100.09892473118279</v>
      </c>
    </row>
    <row r="204" spans="1:10" x14ac:dyDescent="0.25">
      <c r="A204" s="36"/>
      <c r="B204" t="s">
        <v>451</v>
      </c>
      <c r="C204" s="64">
        <v>40631</v>
      </c>
      <c r="D204">
        <v>23.92</v>
      </c>
      <c r="E204">
        <v>100.12416387959867</v>
      </c>
      <c r="F204" t="s">
        <v>427</v>
      </c>
      <c r="G204" s="64">
        <v>40631</v>
      </c>
      <c r="H204">
        <v>174.62</v>
      </c>
      <c r="I204">
        <v>100.32195624785248</v>
      </c>
      <c r="J204">
        <v>100.12416387959867</v>
      </c>
    </row>
    <row r="205" spans="1:10" x14ac:dyDescent="0.25">
      <c r="A205" s="36"/>
      <c r="B205" t="s">
        <v>451</v>
      </c>
      <c r="C205" s="64">
        <v>40632</v>
      </c>
      <c r="D205">
        <v>23.71</v>
      </c>
      <c r="E205">
        <v>100.11640657950232</v>
      </c>
      <c r="F205" t="s">
        <v>427</v>
      </c>
      <c r="G205" s="64">
        <v>40632</v>
      </c>
      <c r="H205">
        <v>179.42</v>
      </c>
      <c r="I205">
        <v>100.34009586445212</v>
      </c>
      <c r="J205">
        <v>100.11640657950232</v>
      </c>
    </row>
    <row r="206" spans="1:10" x14ac:dyDescent="0.25">
      <c r="A206" s="36"/>
      <c r="B206" t="s">
        <v>451</v>
      </c>
      <c r="C206" s="64">
        <v>40633</v>
      </c>
      <c r="D206">
        <v>27.75</v>
      </c>
      <c r="E206">
        <v>100.24504504504505</v>
      </c>
      <c r="F206" t="s">
        <v>427</v>
      </c>
      <c r="G206" s="64">
        <v>40633</v>
      </c>
      <c r="H206">
        <v>180.13</v>
      </c>
      <c r="I206">
        <v>100.3426969410981</v>
      </c>
      <c r="J206">
        <v>100.24504504504505</v>
      </c>
    </row>
    <row r="207" spans="1:10" x14ac:dyDescent="0.25">
      <c r="A207" s="36"/>
      <c r="B207" t="s">
        <v>451</v>
      </c>
      <c r="C207" s="64">
        <v>40634</v>
      </c>
      <c r="D207">
        <v>26.66</v>
      </c>
      <c r="E207">
        <v>100.21417854463616</v>
      </c>
      <c r="F207" t="s">
        <v>427</v>
      </c>
      <c r="G207" s="64">
        <v>40634</v>
      </c>
      <c r="H207">
        <v>180.13</v>
      </c>
      <c r="I207">
        <v>100.3426969410981</v>
      </c>
      <c r="J207">
        <v>100.21417854463616</v>
      </c>
    </row>
    <row r="208" spans="1:10" x14ac:dyDescent="0.25">
      <c r="A208" s="36"/>
      <c r="B208" t="s">
        <v>451</v>
      </c>
      <c r="C208" s="64">
        <v>40637</v>
      </c>
      <c r="D208">
        <v>25.83</v>
      </c>
      <c r="E208">
        <v>100.18892760356175</v>
      </c>
      <c r="F208" t="s">
        <v>427</v>
      </c>
      <c r="G208" s="64">
        <v>40637</v>
      </c>
      <c r="H208">
        <v>182.94</v>
      </c>
      <c r="I208">
        <v>100.35279326555154</v>
      </c>
      <c r="J208">
        <v>100.18892760356175</v>
      </c>
    </row>
    <row r="209" spans="1:10" x14ac:dyDescent="0.25">
      <c r="A209" s="36"/>
      <c r="B209" t="s">
        <v>451</v>
      </c>
      <c r="C209" s="64">
        <v>40638</v>
      </c>
      <c r="D209">
        <v>26.7</v>
      </c>
      <c r="E209">
        <v>100.21535580524345</v>
      </c>
      <c r="F209" t="s">
        <v>427</v>
      </c>
      <c r="G209" s="64">
        <v>40638</v>
      </c>
      <c r="H209">
        <v>185.29</v>
      </c>
      <c r="I209">
        <v>100.36100167305305</v>
      </c>
      <c r="J209">
        <v>100.21535580524345</v>
      </c>
    </row>
    <row r="210" spans="1:10" x14ac:dyDescent="0.25">
      <c r="A210" s="36"/>
      <c r="B210" t="s">
        <v>451</v>
      </c>
      <c r="C210" s="64">
        <v>40639</v>
      </c>
      <c r="D210">
        <v>26.49</v>
      </c>
      <c r="E210">
        <v>100.20913552283881</v>
      </c>
      <c r="F210" t="s">
        <v>427</v>
      </c>
      <c r="G210" s="64">
        <v>40639</v>
      </c>
      <c r="H210">
        <v>182.76</v>
      </c>
      <c r="I210">
        <v>100.35215583278617</v>
      </c>
      <c r="J210">
        <v>100.20913552283881</v>
      </c>
    </row>
    <row r="211" spans="1:10" x14ac:dyDescent="0.25">
      <c r="A211" s="36"/>
      <c r="B211" t="s">
        <v>451</v>
      </c>
      <c r="C211" s="64">
        <v>40640</v>
      </c>
      <c r="D211">
        <v>27.24</v>
      </c>
      <c r="E211">
        <v>100.23091042584434</v>
      </c>
      <c r="F211" t="s">
        <v>427</v>
      </c>
      <c r="G211" s="64">
        <v>40640</v>
      </c>
      <c r="H211">
        <v>184.91</v>
      </c>
      <c r="I211">
        <v>100.3596884971067</v>
      </c>
      <c r="J211">
        <v>100.23091042584434</v>
      </c>
    </row>
    <row r="212" spans="1:10" x14ac:dyDescent="0.25">
      <c r="A212" s="36"/>
      <c r="B212" t="s">
        <v>451</v>
      </c>
      <c r="C212" s="64">
        <v>40641</v>
      </c>
      <c r="D212">
        <v>26.49</v>
      </c>
      <c r="E212">
        <v>100.20913552283881</v>
      </c>
      <c r="F212" t="s">
        <v>427</v>
      </c>
      <c r="G212" s="64">
        <v>40641</v>
      </c>
      <c r="H212">
        <v>184.71</v>
      </c>
      <c r="I212">
        <v>100.35899518163608</v>
      </c>
      <c r="J212">
        <v>100.20913552283881</v>
      </c>
    </row>
    <row r="213" spans="1:10" x14ac:dyDescent="0.25">
      <c r="A213" s="36"/>
      <c r="B213" t="s">
        <v>451</v>
      </c>
      <c r="C213" s="64">
        <v>40644</v>
      </c>
      <c r="D213">
        <v>25.27</v>
      </c>
      <c r="E213">
        <v>100.17095370003958</v>
      </c>
      <c r="F213" t="s">
        <v>427</v>
      </c>
      <c r="G213" s="64">
        <v>40644</v>
      </c>
      <c r="H213">
        <v>184.04</v>
      </c>
      <c r="I213">
        <v>100.35666159530537</v>
      </c>
      <c r="J213">
        <v>100.17095370003958</v>
      </c>
    </row>
    <row r="214" spans="1:10" x14ac:dyDescent="0.25">
      <c r="A214" s="36"/>
      <c r="B214" t="s">
        <v>451</v>
      </c>
      <c r="C214" s="64">
        <v>40645</v>
      </c>
      <c r="D214">
        <v>24.65</v>
      </c>
      <c r="E214">
        <v>100.1501014198783</v>
      </c>
      <c r="F214" t="s">
        <v>427</v>
      </c>
      <c r="G214" s="64">
        <v>40645</v>
      </c>
      <c r="H214">
        <v>180.48</v>
      </c>
      <c r="I214">
        <v>100.34397163120568</v>
      </c>
      <c r="J214">
        <v>100.1501014198783</v>
      </c>
    </row>
    <row r="215" spans="1:10" x14ac:dyDescent="0.25">
      <c r="A215" s="36"/>
      <c r="B215" t="s">
        <v>451</v>
      </c>
      <c r="C215" s="64">
        <v>40646</v>
      </c>
      <c r="D215">
        <v>24.93</v>
      </c>
      <c r="E215">
        <v>100.15964701163257</v>
      </c>
      <c r="F215" t="s">
        <v>427</v>
      </c>
      <c r="G215" s="64">
        <v>40646</v>
      </c>
      <c r="H215">
        <v>182.29</v>
      </c>
      <c r="I215">
        <v>100.35048549015305</v>
      </c>
      <c r="J215">
        <v>100.15964701163257</v>
      </c>
    </row>
    <row r="216" spans="1:10" x14ac:dyDescent="0.25">
      <c r="A216" s="36"/>
      <c r="B216" t="s">
        <v>451</v>
      </c>
      <c r="C216" s="64">
        <v>40647</v>
      </c>
      <c r="D216">
        <v>25.14</v>
      </c>
      <c r="E216">
        <v>100.16666666666667</v>
      </c>
      <c r="F216" t="s">
        <v>427</v>
      </c>
      <c r="G216" s="64">
        <v>40647</v>
      </c>
      <c r="H216">
        <v>181.82</v>
      </c>
      <c r="I216">
        <v>100.34880651193488</v>
      </c>
      <c r="J216">
        <v>100.16666666666667</v>
      </c>
    </row>
    <row r="217" spans="1:10" x14ac:dyDescent="0.25">
      <c r="A217" s="36"/>
      <c r="B217" t="s">
        <v>451</v>
      </c>
      <c r="C217" s="64">
        <v>40648</v>
      </c>
      <c r="D217">
        <v>25.58</v>
      </c>
      <c r="E217">
        <v>100.18100078186083</v>
      </c>
      <c r="F217" t="s">
        <v>427</v>
      </c>
      <c r="G217" s="64">
        <v>40648</v>
      </c>
      <c r="H217">
        <v>180.01</v>
      </c>
      <c r="I217">
        <v>100.34225876340203</v>
      </c>
      <c r="J217">
        <v>100.18100078186083</v>
      </c>
    </row>
    <row r="218" spans="1:10" x14ac:dyDescent="0.25">
      <c r="A218" s="36"/>
      <c r="B218" t="s">
        <v>451</v>
      </c>
      <c r="C218" s="64">
        <v>40651</v>
      </c>
      <c r="D218">
        <v>25.03</v>
      </c>
      <c r="E218">
        <v>100.16300439472633</v>
      </c>
      <c r="F218" t="s">
        <v>427</v>
      </c>
      <c r="G218" s="64">
        <v>40651</v>
      </c>
      <c r="H218">
        <v>178.34</v>
      </c>
      <c r="I218">
        <v>100.33609958506224</v>
      </c>
      <c r="J218">
        <v>100.16300439472633</v>
      </c>
    </row>
    <row r="219" spans="1:10" x14ac:dyDescent="0.25">
      <c r="A219" s="36"/>
      <c r="B219" t="s">
        <v>451</v>
      </c>
      <c r="C219" s="64">
        <v>40652</v>
      </c>
      <c r="D219">
        <v>25.16</v>
      </c>
      <c r="E219">
        <v>100.16732909379968</v>
      </c>
      <c r="F219" t="s">
        <v>427</v>
      </c>
      <c r="G219" s="64">
        <v>40652</v>
      </c>
      <c r="H219">
        <v>178.82</v>
      </c>
      <c r="I219">
        <v>100.33788166871715</v>
      </c>
      <c r="J219">
        <v>100.16732909379968</v>
      </c>
    </row>
    <row r="220" spans="1:10" x14ac:dyDescent="0.25">
      <c r="A220" s="36"/>
      <c r="B220" t="s">
        <v>451</v>
      </c>
      <c r="C220" s="64">
        <v>40653</v>
      </c>
      <c r="D220">
        <v>25.75</v>
      </c>
      <c r="E220">
        <v>100.18640776699029</v>
      </c>
      <c r="F220" t="s">
        <v>427</v>
      </c>
      <c r="G220" s="64">
        <v>40653</v>
      </c>
      <c r="H220">
        <v>183.87</v>
      </c>
      <c r="I220">
        <v>100.35606678631642</v>
      </c>
      <c r="J220">
        <v>100.18640776699029</v>
      </c>
    </row>
    <row r="221" spans="1:10" x14ac:dyDescent="0.25">
      <c r="A221" s="36"/>
      <c r="B221" t="s">
        <v>451</v>
      </c>
      <c r="C221" s="64">
        <v>40654</v>
      </c>
      <c r="D221">
        <v>26.74</v>
      </c>
      <c r="E221">
        <v>100.21652954375467</v>
      </c>
      <c r="F221" t="s">
        <v>427</v>
      </c>
      <c r="G221" s="64">
        <v>40654</v>
      </c>
      <c r="H221">
        <v>185.89</v>
      </c>
      <c r="I221">
        <v>100.36306417773952</v>
      </c>
      <c r="J221">
        <v>100.21652954375467</v>
      </c>
    </row>
    <row r="222" spans="1:10" x14ac:dyDescent="0.25">
      <c r="A222" s="36"/>
      <c r="B222" t="s">
        <v>451</v>
      </c>
      <c r="C222" s="64">
        <v>40658</v>
      </c>
      <c r="D222">
        <v>26.39</v>
      </c>
      <c r="E222">
        <v>100.20613868889731</v>
      </c>
      <c r="F222" t="s">
        <v>427</v>
      </c>
      <c r="G222" s="64">
        <v>40658</v>
      </c>
      <c r="H222">
        <v>185.42</v>
      </c>
      <c r="I222">
        <v>100.36144968180348</v>
      </c>
      <c r="J222">
        <v>100.20613868889731</v>
      </c>
    </row>
    <row r="223" spans="1:10" x14ac:dyDescent="0.25">
      <c r="A223" s="36"/>
      <c r="B223" t="s">
        <v>451</v>
      </c>
      <c r="C223" s="64">
        <v>40659</v>
      </c>
      <c r="D223">
        <v>26.93</v>
      </c>
      <c r="E223">
        <v>100.22205718529521</v>
      </c>
      <c r="F223" t="s">
        <v>427</v>
      </c>
      <c r="G223" s="64">
        <v>40659</v>
      </c>
      <c r="H223">
        <v>182.3</v>
      </c>
      <c r="I223">
        <v>100.35052111903455</v>
      </c>
      <c r="J223">
        <v>100.22205718529521</v>
      </c>
    </row>
    <row r="224" spans="1:10" x14ac:dyDescent="0.25">
      <c r="A224" s="36"/>
      <c r="B224" t="s">
        <v>451</v>
      </c>
      <c r="C224" s="64">
        <v>40660</v>
      </c>
      <c r="D224">
        <v>27.08</v>
      </c>
      <c r="E224">
        <v>100.22636632200886</v>
      </c>
      <c r="F224" t="s">
        <v>427</v>
      </c>
      <c r="G224" s="64">
        <v>40660</v>
      </c>
      <c r="H224">
        <v>196.63</v>
      </c>
      <c r="I224">
        <v>100.39785383715608</v>
      </c>
      <c r="J224">
        <v>100.22636632200886</v>
      </c>
    </row>
    <row r="225" spans="1:10" x14ac:dyDescent="0.25">
      <c r="A225" s="36"/>
      <c r="B225" t="s">
        <v>451</v>
      </c>
      <c r="C225" s="64">
        <v>40661</v>
      </c>
      <c r="D225">
        <v>27.66</v>
      </c>
      <c r="E225">
        <v>100.24258857556038</v>
      </c>
      <c r="F225" t="s">
        <v>427</v>
      </c>
      <c r="G225" s="64">
        <v>40661</v>
      </c>
      <c r="H225">
        <v>195.07</v>
      </c>
      <c r="I225">
        <v>100.39303839647306</v>
      </c>
      <c r="J225">
        <v>100.24258857556038</v>
      </c>
    </row>
    <row r="226" spans="1:10" x14ac:dyDescent="0.25">
      <c r="A226" s="36"/>
      <c r="B226" t="s">
        <v>451</v>
      </c>
      <c r="C226" s="64">
        <v>40662</v>
      </c>
      <c r="D226">
        <v>27.6</v>
      </c>
      <c r="E226">
        <v>100.2409420289855</v>
      </c>
      <c r="F226" t="s">
        <v>427</v>
      </c>
      <c r="G226" s="64">
        <v>40662</v>
      </c>
      <c r="H226">
        <v>195.81</v>
      </c>
      <c r="I226">
        <v>100.39533220979521</v>
      </c>
      <c r="J226">
        <v>100.2409420289855</v>
      </c>
    </row>
    <row r="227" spans="1:10" x14ac:dyDescent="0.25">
      <c r="A227" s="36"/>
      <c r="B227" t="s">
        <v>451</v>
      </c>
      <c r="C227" s="64">
        <v>40665</v>
      </c>
      <c r="D227">
        <v>27.45</v>
      </c>
      <c r="E227">
        <v>100.2367941712204</v>
      </c>
      <c r="F227" t="s">
        <v>427</v>
      </c>
      <c r="G227" s="64">
        <v>40665</v>
      </c>
      <c r="H227">
        <v>201.19</v>
      </c>
      <c r="I227">
        <v>100.41150156568418</v>
      </c>
      <c r="J227">
        <v>100.2367941712204</v>
      </c>
    </row>
    <row r="228" spans="1:10" x14ac:dyDescent="0.25">
      <c r="A228" s="36"/>
      <c r="B228" t="s">
        <v>451</v>
      </c>
      <c r="C228" s="64">
        <v>40666</v>
      </c>
      <c r="D228">
        <v>26.87</v>
      </c>
      <c r="E228">
        <v>100.22032005954597</v>
      </c>
      <c r="F228" t="s">
        <v>427</v>
      </c>
      <c r="G228" s="64">
        <v>40666</v>
      </c>
      <c r="H228">
        <v>198.45</v>
      </c>
      <c r="I228">
        <v>100.40337616528093</v>
      </c>
      <c r="J228">
        <v>100.22032005954597</v>
      </c>
    </row>
    <row r="229" spans="1:10" x14ac:dyDescent="0.25">
      <c r="A229" s="36"/>
      <c r="B229" t="s">
        <v>451</v>
      </c>
      <c r="C229" s="64">
        <v>40667</v>
      </c>
      <c r="D229">
        <v>26.69</v>
      </c>
      <c r="E229">
        <v>100.21506182090671</v>
      </c>
      <c r="F229" t="s">
        <v>427</v>
      </c>
      <c r="G229" s="64">
        <v>40667</v>
      </c>
      <c r="H229">
        <v>199.97</v>
      </c>
      <c r="I229">
        <v>100.40791118667801</v>
      </c>
      <c r="J229">
        <v>100.21506182090671</v>
      </c>
    </row>
    <row r="230" spans="1:10" x14ac:dyDescent="0.25">
      <c r="A230" s="36"/>
      <c r="B230" t="s">
        <v>451</v>
      </c>
      <c r="C230" s="64">
        <v>40668</v>
      </c>
      <c r="D230">
        <v>26.44</v>
      </c>
      <c r="E230">
        <v>100.20763993948563</v>
      </c>
      <c r="F230" t="s">
        <v>427</v>
      </c>
      <c r="G230" s="64">
        <v>40668</v>
      </c>
      <c r="H230">
        <v>197.11</v>
      </c>
      <c r="I230">
        <v>100.39932017655117</v>
      </c>
      <c r="J230">
        <v>100.20763993948563</v>
      </c>
    </row>
    <row r="231" spans="1:10" x14ac:dyDescent="0.25">
      <c r="A231" s="36"/>
      <c r="B231" t="s">
        <v>451</v>
      </c>
      <c r="C231" s="64">
        <v>40669</v>
      </c>
      <c r="D231">
        <v>27.12</v>
      </c>
      <c r="E231">
        <v>100.22750737463127</v>
      </c>
      <c r="F231" t="s">
        <v>427</v>
      </c>
      <c r="G231" s="64">
        <v>40669</v>
      </c>
      <c r="H231">
        <v>197.6</v>
      </c>
      <c r="I231">
        <v>100.40080971659918</v>
      </c>
      <c r="J231">
        <v>100.22750737463127</v>
      </c>
    </row>
    <row r="232" spans="1:10" x14ac:dyDescent="0.25">
      <c r="A232" s="36"/>
      <c r="B232" t="s">
        <v>451</v>
      </c>
      <c r="C232" s="64">
        <v>40672</v>
      </c>
      <c r="D232">
        <v>27.91</v>
      </c>
      <c r="E232">
        <v>100.24937298459334</v>
      </c>
      <c r="F232" t="s">
        <v>427</v>
      </c>
      <c r="G232" s="64">
        <v>40672</v>
      </c>
      <c r="H232">
        <v>200.8</v>
      </c>
      <c r="I232">
        <v>100.41035856573706</v>
      </c>
      <c r="J232">
        <v>100.24937298459334</v>
      </c>
    </row>
    <row r="233" spans="1:10" x14ac:dyDescent="0.25">
      <c r="A233" s="36"/>
      <c r="B233" t="s">
        <v>451</v>
      </c>
      <c r="C233" s="64">
        <v>40673</v>
      </c>
      <c r="D233">
        <v>28.33</v>
      </c>
      <c r="E233">
        <v>100.26050123543946</v>
      </c>
      <c r="F233" t="s">
        <v>427</v>
      </c>
      <c r="G233" s="64">
        <v>40673</v>
      </c>
      <c r="H233">
        <v>203.94</v>
      </c>
      <c r="I233">
        <v>100.41943708934001</v>
      </c>
      <c r="J233">
        <v>100.26050123543946</v>
      </c>
    </row>
    <row r="234" spans="1:10" x14ac:dyDescent="0.25">
      <c r="A234" s="36"/>
      <c r="B234" t="s">
        <v>451</v>
      </c>
      <c r="C234" s="64">
        <v>40674</v>
      </c>
      <c r="D234">
        <v>27.07</v>
      </c>
      <c r="E234">
        <v>100.2260805319542</v>
      </c>
      <c r="F234" t="s">
        <v>427</v>
      </c>
      <c r="G234" s="64">
        <v>40674</v>
      </c>
      <c r="H234">
        <v>204.38</v>
      </c>
      <c r="I234">
        <v>100.4206869556708</v>
      </c>
      <c r="J234">
        <v>100.2260805319542</v>
      </c>
    </row>
    <row r="235" spans="1:10" x14ac:dyDescent="0.25">
      <c r="A235" s="36"/>
      <c r="B235" t="s">
        <v>451</v>
      </c>
      <c r="C235" s="64">
        <v>40675</v>
      </c>
      <c r="D235">
        <v>27.67</v>
      </c>
      <c r="E235">
        <v>100.2428623057463</v>
      </c>
      <c r="F235" t="s">
        <v>427</v>
      </c>
      <c r="G235" s="64">
        <v>40675</v>
      </c>
      <c r="H235">
        <v>206.07</v>
      </c>
      <c r="I235">
        <v>100.42543795797545</v>
      </c>
      <c r="J235">
        <v>100.2428623057463</v>
      </c>
    </row>
    <row r="236" spans="1:10" x14ac:dyDescent="0.25">
      <c r="A236" s="36"/>
      <c r="B236" t="s">
        <v>451</v>
      </c>
      <c r="C236" s="64">
        <v>40676</v>
      </c>
      <c r="D236">
        <v>27.55</v>
      </c>
      <c r="E236">
        <v>100.23956442831216</v>
      </c>
      <c r="F236" t="s">
        <v>427</v>
      </c>
      <c r="G236" s="64">
        <v>40676</v>
      </c>
      <c r="H236">
        <v>202.56</v>
      </c>
      <c r="I236">
        <v>100.41548183254345</v>
      </c>
      <c r="J236">
        <v>100.23956442831216</v>
      </c>
    </row>
    <row r="237" spans="1:10" x14ac:dyDescent="0.25">
      <c r="A237" s="36"/>
      <c r="B237" t="s">
        <v>451</v>
      </c>
      <c r="C237" s="64">
        <v>40679</v>
      </c>
      <c r="D237">
        <v>26.6</v>
      </c>
      <c r="E237">
        <v>100.2124060150376</v>
      </c>
      <c r="F237" t="s">
        <v>427</v>
      </c>
      <c r="G237" s="64">
        <v>40679</v>
      </c>
      <c r="H237">
        <v>192.51</v>
      </c>
      <c r="I237">
        <v>100.38496701470054</v>
      </c>
      <c r="J237">
        <v>100.2124060150376</v>
      </c>
    </row>
    <row r="238" spans="1:10" x14ac:dyDescent="0.25">
      <c r="A238" s="36"/>
      <c r="B238" t="s">
        <v>451</v>
      </c>
      <c r="C238" s="64">
        <v>40680</v>
      </c>
      <c r="D238">
        <v>25.96</v>
      </c>
      <c r="E238">
        <v>100.19298921417565</v>
      </c>
      <c r="F238" t="s">
        <v>427</v>
      </c>
      <c r="G238" s="64">
        <v>40680</v>
      </c>
      <c r="H238">
        <v>194.81</v>
      </c>
      <c r="I238">
        <v>100.39222832503465</v>
      </c>
      <c r="J238">
        <v>100.19298921417565</v>
      </c>
    </row>
    <row r="239" spans="1:10" x14ac:dyDescent="0.25">
      <c r="A239" s="36"/>
      <c r="B239" t="s">
        <v>451</v>
      </c>
      <c r="C239" s="64">
        <v>40681</v>
      </c>
      <c r="D239">
        <v>26.35</v>
      </c>
      <c r="E239">
        <v>100.20493358633776</v>
      </c>
      <c r="F239" t="s">
        <v>427</v>
      </c>
      <c r="G239" s="64">
        <v>40681</v>
      </c>
      <c r="H239">
        <v>197.09</v>
      </c>
      <c r="I239">
        <v>100.39925922167538</v>
      </c>
      <c r="J239">
        <v>100.20493358633776</v>
      </c>
    </row>
    <row r="240" spans="1:10" x14ac:dyDescent="0.25">
      <c r="A240" s="36"/>
      <c r="B240" t="s">
        <v>451</v>
      </c>
      <c r="C240" s="64">
        <v>40682</v>
      </c>
      <c r="D240">
        <v>28.2</v>
      </c>
      <c r="E240">
        <v>100.25709219858156</v>
      </c>
      <c r="F240" t="s">
        <v>427</v>
      </c>
      <c r="G240" s="64">
        <v>40682</v>
      </c>
      <c r="H240">
        <v>198.80500000000001</v>
      </c>
      <c r="I240">
        <v>100.4044415381907</v>
      </c>
      <c r="J240">
        <v>100.25709219858156</v>
      </c>
    </row>
    <row r="241" spans="1:10" x14ac:dyDescent="0.25">
      <c r="A241" s="36"/>
      <c r="B241" t="s">
        <v>451</v>
      </c>
      <c r="C241" s="64">
        <v>40683</v>
      </c>
      <c r="D241">
        <v>27.97</v>
      </c>
      <c r="E241">
        <v>100.25098319628174</v>
      </c>
      <c r="F241" t="s">
        <v>427</v>
      </c>
      <c r="G241" s="64">
        <v>40683</v>
      </c>
      <c r="H241">
        <v>198.65</v>
      </c>
      <c r="I241">
        <v>100.40397684369493</v>
      </c>
      <c r="J241">
        <v>100.25098319628174</v>
      </c>
    </row>
    <row r="242" spans="1:10" x14ac:dyDescent="0.25">
      <c r="A242" s="36"/>
      <c r="B242" t="s">
        <v>451</v>
      </c>
      <c r="C242" s="64">
        <v>40686</v>
      </c>
      <c r="D242">
        <v>26.82</v>
      </c>
      <c r="E242">
        <v>100.21886651752423</v>
      </c>
      <c r="F242" t="s">
        <v>427</v>
      </c>
      <c r="G242" s="64">
        <v>40686</v>
      </c>
      <c r="H242">
        <v>196.22</v>
      </c>
      <c r="I242">
        <v>100.39659565793497</v>
      </c>
      <c r="J242">
        <v>100.21886651752423</v>
      </c>
    </row>
    <row r="243" spans="1:10" x14ac:dyDescent="0.25">
      <c r="A243" s="36"/>
      <c r="B243" t="s">
        <v>451</v>
      </c>
      <c r="C243" s="64">
        <v>40687</v>
      </c>
      <c r="D243">
        <v>26.72</v>
      </c>
      <c r="E243">
        <v>100.21594311377245</v>
      </c>
      <c r="F243" t="s">
        <v>427</v>
      </c>
      <c r="G243" s="64">
        <v>40687</v>
      </c>
      <c r="H243">
        <v>193.27</v>
      </c>
      <c r="I243">
        <v>100.38738552284369</v>
      </c>
      <c r="J243">
        <v>100.21594311377245</v>
      </c>
    </row>
    <row r="244" spans="1:10" x14ac:dyDescent="0.25">
      <c r="A244" s="36"/>
      <c r="B244" t="s">
        <v>451</v>
      </c>
      <c r="C244" s="64">
        <v>40688</v>
      </c>
      <c r="D244">
        <v>28.98</v>
      </c>
      <c r="E244">
        <v>100.27708764665286</v>
      </c>
      <c r="F244" t="s">
        <v>427</v>
      </c>
      <c r="G244" s="64">
        <v>40688</v>
      </c>
      <c r="H244">
        <v>192.26</v>
      </c>
      <c r="I244">
        <v>100.38416727348383</v>
      </c>
      <c r="J244">
        <v>100.27708764665286</v>
      </c>
    </row>
    <row r="245" spans="1:10" x14ac:dyDescent="0.25">
      <c r="A245" s="36"/>
      <c r="B245" t="s">
        <v>451</v>
      </c>
      <c r="C245" s="64">
        <v>40689</v>
      </c>
      <c r="D245">
        <v>29.48</v>
      </c>
      <c r="E245">
        <v>100.2893487109905</v>
      </c>
      <c r="F245" t="s">
        <v>427</v>
      </c>
      <c r="G245" s="64">
        <v>40689</v>
      </c>
      <c r="H245">
        <v>195</v>
      </c>
      <c r="I245">
        <v>100.39282051282051</v>
      </c>
      <c r="J245">
        <v>100.2893487109905</v>
      </c>
    </row>
    <row r="246" spans="1:10" x14ac:dyDescent="0.25">
      <c r="A246" s="36"/>
      <c r="B246" t="s">
        <v>451</v>
      </c>
      <c r="C246" s="64">
        <v>40690</v>
      </c>
      <c r="D246">
        <v>29.55</v>
      </c>
      <c r="E246">
        <v>100.29103214890017</v>
      </c>
      <c r="F246" t="s">
        <v>427</v>
      </c>
      <c r="G246" s="64">
        <v>40690</v>
      </c>
      <c r="H246">
        <v>194.13</v>
      </c>
      <c r="I246">
        <v>100.39009941791583</v>
      </c>
      <c r="J246">
        <v>100.29103214890017</v>
      </c>
    </row>
    <row r="247" spans="1:10" x14ac:dyDescent="0.25">
      <c r="A247" s="36"/>
      <c r="B247" t="s">
        <v>451</v>
      </c>
      <c r="C247" s="64">
        <v>40694</v>
      </c>
      <c r="D247">
        <v>30.14</v>
      </c>
      <c r="E247">
        <v>100.3049104180491</v>
      </c>
      <c r="F247" t="s">
        <v>427</v>
      </c>
      <c r="G247" s="64">
        <v>40694</v>
      </c>
      <c r="H247">
        <v>196.69</v>
      </c>
      <c r="I247">
        <v>100.39803752097208</v>
      </c>
      <c r="J247">
        <v>100.3049104180491</v>
      </c>
    </row>
    <row r="248" spans="1:10" x14ac:dyDescent="0.25">
      <c r="A248" s="36"/>
      <c r="B248" t="s">
        <v>451</v>
      </c>
      <c r="C248" s="64">
        <v>40695</v>
      </c>
      <c r="D248">
        <v>28.516999999999999</v>
      </c>
      <c r="E248">
        <v>100.26535049268857</v>
      </c>
      <c r="F248" t="s">
        <v>427</v>
      </c>
      <c r="G248" s="64">
        <v>40695</v>
      </c>
      <c r="H248">
        <v>192.39500000000001</v>
      </c>
      <c r="I248">
        <v>100.38459939187609</v>
      </c>
      <c r="J248">
        <v>100.26535049268857</v>
      </c>
    </row>
    <row r="249" spans="1:10" x14ac:dyDescent="0.25">
      <c r="A249" s="36"/>
      <c r="B249" t="s">
        <v>451</v>
      </c>
      <c r="C249" s="64">
        <v>40696</v>
      </c>
      <c r="D249">
        <v>28.76</v>
      </c>
      <c r="E249">
        <v>100.27155771905424</v>
      </c>
      <c r="F249" t="s">
        <v>427</v>
      </c>
      <c r="G249" s="64">
        <v>40696</v>
      </c>
      <c r="H249">
        <v>193.65</v>
      </c>
      <c r="I249">
        <v>100.38858765814614</v>
      </c>
      <c r="J249">
        <v>100.27155771905424</v>
      </c>
    </row>
    <row r="250" spans="1:10" x14ac:dyDescent="0.25">
      <c r="A250" s="36"/>
      <c r="B250" t="s">
        <v>451</v>
      </c>
      <c r="C250" s="64">
        <v>40697</v>
      </c>
      <c r="D250">
        <v>30.13</v>
      </c>
      <c r="E250">
        <v>100.3046797212081</v>
      </c>
      <c r="F250" t="s">
        <v>427</v>
      </c>
      <c r="G250" s="64">
        <v>40697</v>
      </c>
      <c r="H250">
        <v>188.32</v>
      </c>
      <c r="I250">
        <v>100.3712829226848</v>
      </c>
      <c r="J250">
        <v>100.3046797212081</v>
      </c>
    </row>
    <row r="251" spans="1:10" x14ac:dyDescent="0.25">
      <c r="A251" s="36"/>
      <c r="B251" t="s">
        <v>451</v>
      </c>
      <c r="C251" s="64">
        <v>40700</v>
      </c>
      <c r="D251">
        <v>28.7</v>
      </c>
      <c r="E251">
        <v>100.27003484320558</v>
      </c>
      <c r="F251" t="s">
        <v>427</v>
      </c>
      <c r="G251" s="64">
        <v>40700</v>
      </c>
      <c r="H251">
        <v>185.69</v>
      </c>
      <c r="I251">
        <v>100.36237815714362</v>
      </c>
      <c r="J251">
        <v>100.27003484320558</v>
      </c>
    </row>
    <row r="252" spans="1:10" x14ac:dyDescent="0.25">
      <c r="A252" s="36"/>
      <c r="B252" t="s">
        <v>451</v>
      </c>
      <c r="C252" s="64">
        <v>40701</v>
      </c>
      <c r="D252">
        <v>28.37</v>
      </c>
      <c r="E252">
        <v>100.26154388438492</v>
      </c>
      <c r="F252" t="s">
        <v>427</v>
      </c>
      <c r="G252" s="64">
        <v>40701</v>
      </c>
      <c r="H252">
        <v>187.55</v>
      </c>
      <c r="I252">
        <v>100.36870167955212</v>
      </c>
      <c r="J252">
        <v>100.26154388438492</v>
      </c>
    </row>
    <row r="253" spans="1:10" x14ac:dyDescent="0.25">
      <c r="A253" s="36"/>
      <c r="B253" t="s">
        <v>451</v>
      </c>
      <c r="C253" s="64">
        <v>40702</v>
      </c>
      <c r="D253">
        <v>27.12</v>
      </c>
      <c r="E253">
        <v>100.22750737463127</v>
      </c>
      <c r="F253" t="s">
        <v>427</v>
      </c>
      <c r="G253" s="64">
        <v>40702</v>
      </c>
      <c r="H253">
        <v>188.05</v>
      </c>
      <c r="I253">
        <v>100.37038021802712</v>
      </c>
      <c r="J253">
        <v>100.22750737463127</v>
      </c>
    </row>
    <row r="254" spans="1:10" x14ac:dyDescent="0.25">
      <c r="A254" s="36"/>
      <c r="B254" t="s">
        <v>451</v>
      </c>
      <c r="C254" s="64">
        <v>40703</v>
      </c>
      <c r="D254">
        <v>27.62</v>
      </c>
      <c r="E254">
        <v>100.24149167270095</v>
      </c>
      <c r="F254" t="s">
        <v>427</v>
      </c>
      <c r="G254" s="64">
        <v>40703</v>
      </c>
      <c r="H254">
        <v>189.68</v>
      </c>
      <c r="I254">
        <v>100.37579080556728</v>
      </c>
      <c r="J254">
        <v>100.24149167270095</v>
      </c>
    </row>
    <row r="255" spans="1:10" x14ac:dyDescent="0.25">
      <c r="A255" s="36"/>
      <c r="B255" t="s">
        <v>451</v>
      </c>
      <c r="C255" s="64">
        <v>40704</v>
      </c>
      <c r="D255">
        <v>27.86</v>
      </c>
      <c r="E255">
        <v>100.24802584350323</v>
      </c>
      <c r="F255" t="s">
        <v>427</v>
      </c>
      <c r="G255" s="64">
        <v>40704</v>
      </c>
      <c r="H255">
        <v>186.53</v>
      </c>
      <c r="I255">
        <v>100.36524955771189</v>
      </c>
      <c r="J255">
        <v>100.24802584350323</v>
      </c>
    </row>
    <row r="256" spans="1:10" x14ac:dyDescent="0.25">
      <c r="A256" s="36"/>
      <c r="B256" t="s">
        <v>451</v>
      </c>
      <c r="C256" s="64">
        <v>40707</v>
      </c>
      <c r="D256">
        <v>28.43</v>
      </c>
      <c r="E256">
        <v>100.2631023566655</v>
      </c>
      <c r="F256" t="s">
        <v>427</v>
      </c>
      <c r="G256" s="64">
        <v>40707</v>
      </c>
      <c r="H256">
        <v>186.29</v>
      </c>
      <c r="I256">
        <v>100.3644317998819</v>
      </c>
      <c r="J256">
        <v>100.2631023566655</v>
      </c>
    </row>
    <row r="257" spans="1:10" x14ac:dyDescent="0.25">
      <c r="A257" s="36"/>
      <c r="B257" t="s">
        <v>451</v>
      </c>
      <c r="C257" s="64">
        <v>40708</v>
      </c>
      <c r="D257">
        <v>28.6</v>
      </c>
      <c r="E257">
        <v>100.26748251748252</v>
      </c>
      <c r="F257" t="s">
        <v>427</v>
      </c>
      <c r="G257" s="64">
        <v>40708</v>
      </c>
      <c r="H257">
        <v>189.96</v>
      </c>
      <c r="I257">
        <v>100.37671088650242</v>
      </c>
      <c r="J257">
        <v>100.26748251748252</v>
      </c>
    </row>
    <row r="258" spans="1:10" x14ac:dyDescent="0.25">
      <c r="A258" s="36"/>
      <c r="B258" t="s">
        <v>451</v>
      </c>
      <c r="C258" s="64">
        <v>40709</v>
      </c>
      <c r="D258">
        <v>27.32</v>
      </c>
      <c r="E258">
        <v>100.23316251830161</v>
      </c>
      <c r="F258" t="s">
        <v>427</v>
      </c>
      <c r="G258" s="64">
        <v>40709</v>
      </c>
      <c r="H258">
        <v>185.98</v>
      </c>
      <c r="I258">
        <v>100.36337240563502</v>
      </c>
      <c r="J258">
        <v>100.23316251830161</v>
      </c>
    </row>
    <row r="259" spans="1:10" x14ac:dyDescent="0.25">
      <c r="A259" s="36"/>
      <c r="B259" t="s">
        <v>451</v>
      </c>
      <c r="C259" s="64">
        <v>40710</v>
      </c>
      <c r="D259">
        <v>26.5</v>
      </c>
      <c r="E259">
        <v>100.20943396226416</v>
      </c>
      <c r="F259" t="s">
        <v>427</v>
      </c>
      <c r="G259" s="64">
        <v>40710</v>
      </c>
      <c r="H259">
        <v>183.65</v>
      </c>
      <c r="I259">
        <v>100.35529539885653</v>
      </c>
      <c r="J259">
        <v>100.20943396226416</v>
      </c>
    </row>
    <row r="260" spans="1:10" x14ac:dyDescent="0.25">
      <c r="A260" s="36"/>
      <c r="B260" t="s">
        <v>451</v>
      </c>
      <c r="C260" s="64">
        <v>40711</v>
      </c>
      <c r="D260">
        <v>26.5</v>
      </c>
      <c r="E260">
        <v>100.20943396226416</v>
      </c>
      <c r="F260" t="s">
        <v>427</v>
      </c>
      <c r="G260" s="64">
        <v>40711</v>
      </c>
      <c r="H260">
        <v>186.37</v>
      </c>
      <c r="I260">
        <v>100.36470461984224</v>
      </c>
      <c r="J260">
        <v>100.20943396226416</v>
      </c>
    </row>
    <row r="261" spans="1:10" x14ac:dyDescent="0.25">
      <c r="A261" s="36"/>
      <c r="B261" t="s">
        <v>451</v>
      </c>
      <c r="C261" s="64">
        <v>40714</v>
      </c>
      <c r="D261">
        <v>26.01</v>
      </c>
      <c r="E261">
        <v>100.19454056132257</v>
      </c>
      <c r="F261" t="s">
        <v>427</v>
      </c>
      <c r="G261" s="64">
        <v>40714</v>
      </c>
      <c r="H261">
        <v>187.72</v>
      </c>
      <c r="I261">
        <v>100.36927338589389</v>
      </c>
      <c r="J261">
        <v>100.19454056132257</v>
      </c>
    </row>
    <row r="262" spans="1:10" x14ac:dyDescent="0.25">
      <c r="A262" s="36"/>
      <c r="B262" t="s">
        <v>451</v>
      </c>
      <c r="C262" s="64">
        <v>40715</v>
      </c>
      <c r="D262">
        <v>27.53</v>
      </c>
      <c r="E262">
        <v>100.23901198692336</v>
      </c>
      <c r="F262" t="s">
        <v>427</v>
      </c>
      <c r="G262" s="64">
        <v>40715</v>
      </c>
      <c r="H262">
        <v>194.23</v>
      </c>
      <c r="I262">
        <v>100.39041342737991</v>
      </c>
      <c r="J262">
        <v>100.23901198692336</v>
      </c>
    </row>
    <row r="263" spans="1:10" x14ac:dyDescent="0.25">
      <c r="A263" s="36"/>
      <c r="B263" t="s">
        <v>451</v>
      </c>
      <c r="C263" s="64">
        <v>40716</v>
      </c>
      <c r="D263">
        <v>27.21</v>
      </c>
      <c r="E263">
        <v>100.2300624770305</v>
      </c>
      <c r="F263" t="s">
        <v>427</v>
      </c>
      <c r="G263" s="64">
        <v>40716</v>
      </c>
      <c r="H263">
        <v>191.63</v>
      </c>
      <c r="I263">
        <v>100.3821426707718</v>
      </c>
      <c r="J263">
        <v>100.2300624770305</v>
      </c>
    </row>
    <row r="264" spans="1:10" x14ac:dyDescent="0.25">
      <c r="A264" s="36"/>
      <c r="B264" t="s">
        <v>451</v>
      </c>
      <c r="C264" s="64">
        <v>40717</v>
      </c>
      <c r="D264">
        <v>27.71</v>
      </c>
      <c r="E264">
        <v>100.24395525081198</v>
      </c>
      <c r="F264" t="s">
        <v>427</v>
      </c>
      <c r="G264" s="64">
        <v>40717</v>
      </c>
      <c r="H264">
        <v>194.16</v>
      </c>
      <c r="I264">
        <v>100.39019365471776</v>
      </c>
      <c r="J264">
        <v>100.24395525081198</v>
      </c>
    </row>
    <row r="265" spans="1:10" x14ac:dyDescent="0.25">
      <c r="A265" s="36"/>
      <c r="B265" t="s">
        <v>451</v>
      </c>
      <c r="C265" s="64">
        <v>40718</v>
      </c>
      <c r="D265">
        <v>27.565000000000001</v>
      </c>
      <c r="E265">
        <v>100.23997823326683</v>
      </c>
      <c r="F265" t="s">
        <v>427</v>
      </c>
      <c r="G265" s="64">
        <v>40718</v>
      </c>
      <c r="H265">
        <v>192.55</v>
      </c>
      <c r="I265">
        <v>100.38509478057648</v>
      </c>
      <c r="J265">
        <v>100.23997823326683</v>
      </c>
    </row>
    <row r="266" spans="1:10" x14ac:dyDescent="0.25">
      <c r="A266" s="36"/>
      <c r="B266" t="s">
        <v>451</v>
      </c>
      <c r="C266" s="64">
        <v>40721</v>
      </c>
      <c r="D266">
        <v>27.46</v>
      </c>
      <c r="E266">
        <v>100.23707210487983</v>
      </c>
      <c r="F266" t="s">
        <v>427</v>
      </c>
      <c r="G266" s="64">
        <v>40721</v>
      </c>
      <c r="H266">
        <v>201.25</v>
      </c>
      <c r="I266">
        <v>100.41167701863354</v>
      </c>
      <c r="J266">
        <v>100.23707210487983</v>
      </c>
    </row>
    <row r="267" spans="1:10" x14ac:dyDescent="0.25">
      <c r="A267" s="36"/>
      <c r="B267" t="s">
        <v>451</v>
      </c>
      <c r="C267" s="64">
        <v>40722</v>
      </c>
      <c r="D267">
        <v>28.11</v>
      </c>
      <c r="E267">
        <v>100.25471362504447</v>
      </c>
      <c r="F267" t="s">
        <v>427</v>
      </c>
      <c r="G267" s="64">
        <v>40722</v>
      </c>
      <c r="H267">
        <v>202.35</v>
      </c>
      <c r="I267">
        <v>100.41487521620954</v>
      </c>
      <c r="J267">
        <v>100.25471362504447</v>
      </c>
    </row>
    <row r="268" spans="1:10" x14ac:dyDescent="0.25">
      <c r="A268" s="36"/>
      <c r="B268" t="s">
        <v>451</v>
      </c>
      <c r="C268" s="64">
        <v>40723</v>
      </c>
      <c r="D268">
        <v>28.29</v>
      </c>
      <c r="E268">
        <v>100.25945563803464</v>
      </c>
      <c r="F268" t="s">
        <v>427</v>
      </c>
      <c r="G268" s="64">
        <v>40723</v>
      </c>
      <c r="H268">
        <v>204.18</v>
      </c>
      <c r="I268">
        <v>100.42011950239984</v>
      </c>
      <c r="J268">
        <v>100.25945563803464</v>
      </c>
    </row>
    <row r="269" spans="1:10" x14ac:dyDescent="0.25">
      <c r="A269" s="36"/>
      <c r="B269" t="s">
        <v>451</v>
      </c>
      <c r="C269" s="64">
        <v>40724</v>
      </c>
      <c r="D269">
        <v>29.13</v>
      </c>
      <c r="E269">
        <v>100.2808101613457</v>
      </c>
      <c r="F269" t="s">
        <v>427</v>
      </c>
      <c r="G269" s="64">
        <v>40724</v>
      </c>
      <c r="H269">
        <v>204.49</v>
      </c>
      <c r="I269">
        <v>100.42099858183774</v>
      </c>
      <c r="J269">
        <v>100.2808101613457</v>
      </c>
    </row>
    <row r="270" spans="1:10" x14ac:dyDescent="0.25">
      <c r="A270" s="36"/>
      <c r="B270" t="s">
        <v>451</v>
      </c>
      <c r="C270" s="64">
        <v>40725</v>
      </c>
      <c r="D270">
        <v>29.02</v>
      </c>
      <c r="E270">
        <v>100.27808407994486</v>
      </c>
      <c r="F270" t="s">
        <v>427</v>
      </c>
      <c r="G270" s="64">
        <v>40725</v>
      </c>
      <c r="H270">
        <v>209.49</v>
      </c>
      <c r="I270">
        <v>100.43481789106879</v>
      </c>
      <c r="J270">
        <v>100.27808407994486</v>
      </c>
    </row>
    <row r="271" spans="1:10" x14ac:dyDescent="0.25">
      <c r="A271" s="36"/>
      <c r="B271" t="s">
        <v>451</v>
      </c>
      <c r="C271" s="64">
        <v>40729</v>
      </c>
      <c r="D271">
        <v>29.14</v>
      </c>
      <c r="E271">
        <v>100.28105696636925</v>
      </c>
      <c r="F271" t="s">
        <v>427</v>
      </c>
      <c r="G271" s="64">
        <v>40729</v>
      </c>
      <c r="H271">
        <v>213.19</v>
      </c>
      <c r="I271">
        <v>100.44462685867067</v>
      </c>
      <c r="J271">
        <v>100.28105696636925</v>
      </c>
    </row>
    <row r="272" spans="1:10" x14ac:dyDescent="0.25">
      <c r="A272" s="36"/>
      <c r="B272" t="s">
        <v>451</v>
      </c>
      <c r="C272" s="64">
        <v>40730</v>
      </c>
      <c r="D272">
        <v>28.96</v>
      </c>
      <c r="E272">
        <v>100.27658839779005</v>
      </c>
      <c r="F272" t="s">
        <v>427</v>
      </c>
      <c r="G272" s="64">
        <v>40730</v>
      </c>
      <c r="H272">
        <v>214.19</v>
      </c>
      <c r="I272">
        <v>100.44721975815864</v>
      </c>
      <c r="J272">
        <v>100.27658839779005</v>
      </c>
    </row>
    <row r="273" spans="1:10" x14ac:dyDescent="0.25">
      <c r="A273" s="36"/>
      <c r="B273" t="s">
        <v>451</v>
      </c>
      <c r="C273" s="64">
        <v>40731</v>
      </c>
      <c r="D273">
        <v>29.73</v>
      </c>
      <c r="E273">
        <v>100.29532458795829</v>
      </c>
      <c r="F273" t="s">
        <v>427</v>
      </c>
      <c r="G273" s="64">
        <v>40731</v>
      </c>
      <c r="H273">
        <v>216.74</v>
      </c>
      <c r="I273">
        <v>100.4537233551721</v>
      </c>
      <c r="J273">
        <v>100.29532458795829</v>
      </c>
    </row>
    <row r="274" spans="1:10" x14ac:dyDescent="0.25">
      <c r="A274" s="36"/>
      <c r="B274" t="s">
        <v>451</v>
      </c>
      <c r="C274" s="64">
        <v>40732</v>
      </c>
      <c r="D274">
        <v>28.81</v>
      </c>
      <c r="E274">
        <v>100.27282193682748</v>
      </c>
      <c r="F274" t="s">
        <v>427</v>
      </c>
      <c r="G274" s="64">
        <v>40732</v>
      </c>
      <c r="H274">
        <v>218.28</v>
      </c>
      <c r="I274">
        <v>100.45757742349276</v>
      </c>
      <c r="J274">
        <v>100.27282193682748</v>
      </c>
    </row>
    <row r="275" spans="1:10" x14ac:dyDescent="0.25">
      <c r="A275" s="36"/>
      <c r="B275" t="s">
        <v>451</v>
      </c>
      <c r="C275" s="64">
        <v>40735</v>
      </c>
      <c r="D275">
        <v>28.35</v>
      </c>
      <c r="E275">
        <v>100.2610229276896</v>
      </c>
      <c r="F275" t="s">
        <v>427</v>
      </c>
      <c r="G275" s="64">
        <v>40735</v>
      </c>
      <c r="H275">
        <v>212.55</v>
      </c>
      <c r="I275">
        <v>100.44295459891791</v>
      </c>
      <c r="J275">
        <v>100.2610229276896</v>
      </c>
    </row>
    <row r="276" spans="1:10" x14ac:dyDescent="0.25">
      <c r="A276" s="36"/>
      <c r="B276" t="s">
        <v>451</v>
      </c>
      <c r="C276" s="64">
        <v>40736</v>
      </c>
      <c r="D276">
        <v>28.17</v>
      </c>
      <c r="E276">
        <v>100.25630102946397</v>
      </c>
      <c r="F276" t="s">
        <v>427</v>
      </c>
      <c r="G276" s="64">
        <v>40736</v>
      </c>
      <c r="H276">
        <v>211.23</v>
      </c>
      <c r="I276">
        <v>100.43947355962695</v>
      </c>
      <c r="J276">
        <v>100.25630102946397</v>
      </c>
    </row>
    <row r="277" spans="1:10" x14ac:dyDescent="0.25">
      <c r="A277" s="36"/>
      <c r="B277" t="s">
        <v>451</v>
      </c>
      <c r="C277" s="64">
        <v>40737</v>
      </c>
      <c r="D277">
        <v>28.64</v>
      </c>
      <c r="E277">
        <v>100.26850558659218</v>
      </c>
      <c r="F277" t="s">
        <v>427</v>
      </c>
      <c r="G277" s="64">
        <v>40737</v>
      </c>
      <c r="H277">
        <v>213.5</v>
      </c>
      <c r="I277">
        <v>100.44543325526932</v>
      </c>
      <c r="J277">
        <v>100.26850558659218</v>
      </c>
    </row>
    <row r="278" spans="1:10" x14ac:dyDescent="0.25">
      <c r="A278" s="36"/>
      <c r="B278" t="s">
        <v>451</v>
      </c>
      <c r="C278" s="64">
        <v>40738</v>
      </c>
      <c r="D278">
        <v>27.61</v>
      </c>
      <c r="E278">
        <v>100.24121695038029</v>
      </c>
      <c r="F278" t="s">
        <v>427</v>
      </c>
      <c r="G278" s="64">
        <v>40738</v>
      </c>
      <c r="H278">
        <v>210.38</v>
      </c>
      <c r="I278">
        <v>100.43720886015781</v>
      </c>
      <c r="J278">
        <v>100.24121695038029</v>
      </c>
    </row>
    <row r="279" spans="1:10" x14ac:dyDescent="0.25">
      <c r="A279" s="36"/>
      <c r="B279" t="s">
        <v>451</v>
      </c>
      <c r="C279" s="64">
        <v>40739</v>
      </c>
      <c r="D279">
        <v>27.58</v>
      </c>
      <c r="E279">
        <v>100.24039158810733</v>
      </c>
      <c r="F279" t="s">
        <v>427</v>
      </c>
      <c r="G279" s="64">
        <v>40739</v>
      </c>
      <c r="H279">
        <v>212.87</v>
      </c>
      <c r="I279">
        <v>100.44379198571899</v>
      </c>
      <c r="J279">
        <v>100.24039158810733</v>
      </c>
    </row>
    <row r="280" spans="1:10" x14ac:dyDescent="0.25">
      <c r="A280" s="36"/>
      <c r="B280" t="s">
        <v>451</v>
      </c>
      <c r="C280" s="64">
        <v>40742</v>
      </c>
      <c r="D280">
        <v>27.23</v>
      </c>
      <c r="E280">
        <v>100.23062798384134</v>
      </c>
      <c r="F280" t="s">
        <v>427</v>
      </c>
      <c r="G280" s="64">
        <v>40742</v>
      </c>
      <c r="H280">
        <v>211.53</v>
      </c>
      <c r="I280">
        <v>100.4402685198317</v>
      </c>
      <c r="J280">
        <v>100.23062798384134</v>
      </c>
    </row>
    <row r="281" spans="1:10" x14ac:dyDescent="0.25">
      <c r="A281" s="36"/>
      <c r="B281" t="s">
        <v>451</v>
      </c>
      <c r="C281" s="64">
        <v>40743</v>
      </c>
      <c r="D281">
        <v>27.89</v>
      </c>
      <c r="E281">
        <v>100.24883470778056</v>
      </c>
      <c r="F281" t="s">
        <v>427</v>
      </c>
      <c r="G281" s="64">
        <v>40743</v>
      </c>
      <c r="H281">
        <v>218.06</v>
      </c>
      <c r="I281">
        <v>100.45703017518115</v>
      </c>
      <c r="J281">
        <v>100.24883470778056</v>
      </c>
    </row>
    <row r="282" spans="1:10" x14ac:dyDescent="0.25">
      <c r="A282" s="36"/>
      <c r="B282" t="s">
        <v>451</v>
      </c>
      <c r="C282" s="64">
        <v>40744</v>
      </c>
      <c r="D282">
        <v>28.69</v>
      </c>
      <c r="E282">
        <v>100.26978041129313</v>
      </c>
      <c r="F282" t="s">
        <v>427</v>
      </c>
      <c r="G282" s="64">
        <v>40744</v>
      </c>
      <c r="H282">
        <v>215.55</v>
      </c>
      <c r="I282">
        <v>100.45070749246115</v>
      </c>
      <c r="J282">
        <v>100.26978041129313</v>
      </c>
    </row>
    <row r="283" spans="1:10" x14ac:dyDescent="0.25">
      <c r="A283" s="36"/>
      <c r="B283" t="s">
        <v>451</v>
      </c>
      <c r="C283" s="64">
        <v>40745</v>
      </c>
      <c r="D283">
        <v>28.7</v>
      </c>
      <c r="E283">
        <v>100.27003484320558</v>
      </c>
      <c r="F283" t="s">
        <v>427</v>
      </c>
      <c r="G283" s="64">
        <v>40745</v>
      </c>
      <c r="H283">
        <v>213.21</v>
      </c>
      <c r="I283">
        <v>100.44467895502088</v>
      </c>
      <c r="J283">
        <v>100.27003484320558</v>
      </c>
    </row>
    <row r="284" spans="1:10" x14ac:dyDescent="0.25">
      <c r="A284" s="36"/>
      <c r="B284" t="s">
        <v>451</v>
      </c>
      <c r="C284" s="64">
        <v>40746</v>
      </c>
      <c r="D284">
        <v>29.29</v>
      </c>
      <c r="E284">
        <v>100.28473881870946</v>
      </c>
      <c r="F284" t="s">
        <v>427</v>
      </c>
      <c r="G284" s="64">
        <v>40746</v>
      </c>
      <c r="H284">
        <v>216.52</v>
      </c>
      <c r="I284">
        <v>100.45316829854055</v>
      </c>
      <c r="J284">
        <v>100.28473881870946</v>
      </c>
    </row>
    <row r="285" spans="1:10" x14ac:dyDescent="0.25">
      <c r="A285" s="36"/>
      <c r="B285" t="s">
        <v>451</v>
      </c>
      <c r="C285" s="64">
        <v>40749</v>
      </c>
      <c r="D285">
        <v>28.49</v>
      </c>
      <c r="E285">
        <v>100.26465426465427</v>
      </c>
      <c r="F285" t="s">
        <v>427</v>
      </c>
      <c r="G285" s="64">
        <v>40749</v>
      </c>
      <c r="H285">
        <v>213.49</v>
      </c>
      <c r="I285">
        <v>100.44540727902947</v>
      </c>
      <c r="J285">
        <v>100.26465426465427</v>
      </c>
    </row>
    <row r="286" spans="1:10" x14ac:dyDescent="0.25">
      <c r="A286" s="36"/>
      <c r="B286" t="s">
        <v>451</v>
      </c>
      <c r="C286" s="64">
        <v>40750</v>
      </c>
      <c r="D286">
        <v>28</v>
      </c>
      <c r="E286">
        <v>100.25178571428572</v>
      </c>
      <c r="F286" t="s">
        <v>427</v>
      </c>
      <c r="G286" s="64">
        <v>40750</v>
      </c>
      <c r="H286">
        <v>214.18</v>
      </c>
      <c r="I286">
        <v>100.44719394901485</v>
      </c>
      <c r="J286">
        <v>100.25178571428572</v>
      </c>
    </row>
    <row r="287" spans="1:10" x14ac:dyDescent="0.25">
      <c r="A287" s="36"/>
      <c r="B287" t="s">
        <v>451</v>
      </c>
      <c r="C287" s="64">
        <v>40751</v>
      </c>
      <c r="D287">
        <v>27.64</v>
      </c>
      <c r="E287">
        <v>100.24204052098408</v>
      </c>
      <c r="F287" t="s">
        <v>427</v>
      </c>
      <c r="G287" s="64">
        <v>40751</v>
      </c>
      <c r="H287">
        <v>222.518</v>
      </c>
      <c r="I287">
        <v>100.46790821416694</v>
      </c>
      <c r="J287">
        <v>100.24204052098408</v>
      </c>
    </row>
    <row r="288" spans="1:10" x14ac:dyDescent="0.25">
      <c r="A288" s="36"/>
      <c r="B288" t="s">
        <v>451</v>
      </c>
      <c r="C288" s="64">
        <v>40752</v>
      </c>
      <c r="D288">
        <v>28.17</v>
      </c>
      <c r="E288">
        <v>100.25630102946397</v>
      </c>
      <c r="F288" t="s">
        <v>427</v>
      </c>
      <c r="G288" s="64">
        <v>40752</v>
      </c>
      <c r="H288">
        <v>223.9</v>
      </c>
      <c r="I288">
        <v>100.47119249665029</v>
      </c>
      <c r="J288">
        <v>100.25630102946397</v>
      </c>
    </row>
    <row r="289" spans="1:10" x14ac:dyDescent="0.25">
      <c r="A289" s="36"/>
      <c r="B289" t="s">
        <v>451</v>
      </c>
      <c r="C289" s="64">
        <v>40753</v>
      </c>
      <c r="D289">
        <v>28.17</v>
      </c>
      <c r="E289">
        <v>100.25630102946397</v>
      </c>
      <c r="F289" t="s">
        <v>427</v>
      </c>
      <c r="G289" s="64">
        <v>40753</v>
      </c>
      <c r="H289">
        <v>222.52</v>
      </c>
      <c r="I289">
        <v>100.46791299658457</v>
      </c>
      <c r="J289">
        <v>100.25630102946397</v>
      </c>
    </row>
    <row r="290" spans="1:10" x14ac:dyDescent="0.25">
      <c r="A290" s="36"/>
      <c r="B290" t="s">
        <v>451</v>
      </c>
      <c r="C290" s="64">
        <v>40756</v>
      </c>
      <c r="D290">
        <v>28.77</v>
      </c>
      <c r="E290">
        <v>100.27181091414668</v>
      </c>
      <c r="F290" t="s">
        <v>427</v>
      </c>
      <c r="G290" s="64">
        <v>40756</v>
      </c>
      <c r="H290">
        <v>221.32</v>
      </c>
      <c r="I290">
        <v>100.46502801373576</v>
      </c>
      <c r="J290">
        <v>100.27181091414668</v>
      </c>
    </row>
    <row r="291" spans="1:10" x14ac:dyDescent="0.25">
      <c r="A291" s="36"/>
      <c r="B291" t="s">
        <v>451</v>
      </c>
      <c r="C291" s="64">
        <v>40757</v>
      </c>
      <c r="D291">
        <v>27.34</v>
      </c>
      <c r="E291">
        <v>100.23372348207754</v>
      </c>
      <c r="F291" t="s">
        <v>427</v>
      </c>
      <c r="G291" s="64">
        <v>40757</v>
      </c>
      <c r="H291">
        <v>211.7</v>
      </c>
      <c r="I291">
        <v>100.44071799716581</v>
      </c>
      <c r="J291">
        <v>100.23372348207754</v>
      </c>
    </row>
    <row r="292" spans="1:10" x14ac:dyDescent="0.25">
      <c r="A292" s="36"/>
      <c r="B292" t="s">
        <v>451</v>
      </c>
      <c r="C292" s="64">
        <v>40758</v>
      </c>
      <c r="D292">
        <v>27.2</v>
      </c>
      <c r="E292">
        <v>100.22977941176471</v>
      </c>
      <c r="F292" t="s">
        <v>427</v>
      </c>
      <c r="G292" s="64">
        <v>40758</v>
      </c>
      <c r="H292">
        <v>209.96</v>
      </c>
      <c r="I292">
        <v>100.43608306344065</v>
      </c>
      <c r="J292">
        <v>100.22977941176471</v>
      </c>
    </row>
    <row r="293" spans="1:10" x14ac:dyDescent="0.25">
      <c r="A293" s="36"/>
      <c r="B293" t="s">
        <v>451</v>
      </c>
      <c r="C293" s="64">
        <v>40759</v>
      </c>
      <c r="D293">
        <v>24.75</v>
      </c>
      <c r="E293">
        <v>100.15353535353535</v>
      </c>
      <c r="F293" t="s">
        <v>427</v>
      </c>
      <c r="G293" s="64">
        <v>40759</v>
      </c>
      <c r="H293">
        <v>201.48</v>
      </c>
      <c r="I293">
        <v>100.41234862021044</v>
      </c>
      <c r="J293">
        <v>100.15353535353535</v>
      </c>
    </row>
    <row r="294" spans="1:10" x14ac:dyDescent="0.25">
      <c r="A294" s="36"/>
      <c r="B294" t="s">
        <v>451</v>
      </c>
      <c r="C294" s="64">
        <v>40760</v>
      </c>
      <c r="D294">
        <v>24.24</v>
      </c>
      <c r="E294">
        <v>100.13572607260726</v>
      </c>
      <c r="F294" t="s">
        <v>427</v>
      </c>
      <c r="G294" s="64">
        <v>40760</v>
      </c>
      <c r="H294">
        <v>202.7</v>
      </c>
      <c r="I294">
        <v>100.4158855451406</v>
      </c>
      <c r="J294">
        <v>100.13572607260726</v>
      </c>
    </row>
    <row r="295" spans="1:10" x14ac:dyDescent="0.25">
      <c r="A295" s="36"/>
      <c r="B295" t="s">
        <v>451</v>
      </c>
      <c r="C295" s="64">
        <v>40763</v>
      </c>
      <c r="D295">
        <v>23.64</v>
      </c>
      <c r="E295">
        <v>100.11379018612521</v>
      </c>
      <c r="F295" t="s">
        <v>427</v>
      </c>
      <c r="G295" s="64">
        <v>40763</v>
      </c>
      <c r="H295">
        <v>193.7</v>
      </c>
      <c r="I295">
        <v>100.38874548270522</v>
      </c>
      <c r="J295">
        <v>100.11379018612521</v>
      </c>
    </row>
    <row r="296" spans="1:10" x14ac:dyDescent="0.25">
      <c r="A296" s="36"/>
      <c r="B296" t="s">
        <v>451</v>
      </c>
      <c r="C296" s="64">
        <v>40764</v>
      </c>
      <c r="D296">
        <v>25.06</v>
      </c>
      <c r="E296">
        <v>100.16400638467678</v>
      </c>
      <c r="F296" t="s">
        <v>427</v>
      </c>
      <c r="G296" s="64">
        <v>40764</v>
      </c>
      <c r="H296">
        <v>205.09</v>
      </c>
      <c r="I296">
        <v>100.42269247647374</v>
      </c>
      <c r="J296">
        <v>100.16400638467678</v>
      </c>
    </row>
    <row r="297" spans="1:10" x14ac:dyDescent="0.25">
      <c r="A297" s="36"/>
      <c r="B297" t="s">
        <v>451</v>
      </c>
      <c r="C297" s="64">
        <v>40765</v>
      </c>
      <c r="D297">
        <v>23.82</v>
      </c>
      <c r="E297">
        <v>100.12048698572627</v>
      </c>
      <c r="F297" t="s">
        <v>427</v>
      </c>
      <c r="G297" s="64">
        <v>40765</v>
      </c>
      <c r="H297">
        <v>194.13</v>
      </c>
      <c r="I297">
        <v>100.39009941791583</v>
      </c>
      <c r="J297">
        <v>100.12048698572627</v>
      </c>
    </row>
    <row r="298" spans="1:10" x14ac:dyDescent="0.25">
      <c r="A298" s="36"/>
      <c r="B298" t="s">
        <v>451</v>
      </c>
      <c r="C298" s="64">
        <v>40766</v>
      </c>
      <c r="D298">
        <v>25.3</v>
      </c>
      <c r="E298">
        <v>100.17193675889328</v>
      </c>
      <c r="F298" t="s">
        <v>427</v>
      </c>
      <c r="G298" s="64">
        <v>40766</v>
      </c>
      <c r="H298">
        <v>198.36</v>
      </c>
      <c r="I298">
        <v>100.40310546481146</v>
      </c>
      <c r="J298">
        <v>100.17193675889328</v>
      </c>
    </row>
    <row r="299" spans="1:10" x14ac:dyDescent="0.25">
      <c r="A299" s="36"/>
      <c r="B299" t="s">
        <v>451</v>
      </c>
      <c r="C299" s="64">
        <v>40767</v>
      </c>
      <c r="D299">
        <v>26.31</v>
      </c>
      <c r="E299">
        <v>100.20372481946028</v>
      </c>
      <c r="F299" t="s">
        <v>427</v>
      </c>
      <c r="G299" s="64">
        <v>40767</v>
      </c>
      <c r="H299">
        <v>202.3</v>
      </c>
      <c r="I299">
        <v>100.41473059812161</v>
      </c>
      <c r="J299">
        <v>100.20372481946028</v>
      </c>
    </row>
    <row r="300" spans="1:10" x14ac:dyDescent="0.25">
      <c r="A300" s="36"/>
      <c r="B300" t="s">
        <v>451</v>
      </c>
      <c r="C300" s="64">
        <v>40770</v>
      </c>
      <c r="D300">
        <v>26.23</v>
      </c>
      <c r="E300">
        <v>100.20129622569577</v>
      </c>
      <c r="F300" t="s">
        <v>427</v>
      </c>
      <c r="G300" s="64">
        <v>40770</v>
      </c>
      <c r="H300">
        <v>202.95</v>
      </c>
      <c r="I300">
        <v>100.41660507514166</v>
      </c>
      <c r="J300">
        <v>100.20129622569577</v>
      </c>
    </row>
    <row r="301" spans="1:10" x14ac:dyDescent="0.25">
      <c r="A301" s="36"/>
      <c r="B301" t="s">
        <v>451</v>
      </c>
      <c r="C301" s="64">
        <v>40771</v>
      </c>
      <c r="D301">
        <v>26.1</v>
      </c>
      <c r="E301">
        <v>100.19731800766283</v>
      </c>
      <c r="F301" t="s">
        <v>427</v>
      </c>
      <c r="G301" s="64">
        <v>40771</v>
      </c>
      <c r="H301">
        <v>197.68</v>
      </c>
      <c r="I301">
        <v>100.40105220558479</v>
      </c>
      <c r="J301">
        <v>100.19731800766283</v>
      </c>
    </row>
    <row r="302" spans="1:10" x14ac:dyDescent="0.25">
      <c r="A302" s="36"/>
      <c r="B302" t="s">
        <v>451</v>
      </c>
      <c r="C302" s="64">
        <v>40772</v>
      </c>
      <c r="D302">
        <v>25.83</v>
      </c>
      <c r="E302">
        <v>100.18892760356175</v>
      </c>
      <c r="F302" t="s">
        <v>427</v>
      </c>
      <c r="G302" s="64">
        <v>40772</v>
      </c>
      <c r="H302">
        <v>195.93</v>
      </c>
      <c r="I302">
        <v>100.39570254682795</v>
      </c>
      <c r="J302">
        <v>100.18892760356175</v>
      </c>
    </row>
    <row r="303" spans="1:10" x14ac:dyDescent="0.25">
      <c r="A303" s="36"/>
      <c r="B303" t="s">
        <v>451</v>
      </c>
      <c r="C303" s="64">
        <v>40773</v>
      </c>
      <c r="D303">
        <v>24.26</v>
      </c>
      <c r="E303">
        <v>100.13643858202803</v>
      </c>
      <c r="F303" t="s">
        <v>427</v>
      </c>
      <c r="G303" s="64">
        <v>40773</v>
      </c>
      <c r="H303">
        <v>182.52</v>
      </c>
      <c r="I303">
        <v>100.35130396668858</v>
      </c>
      <c r="J303">
        <v>100.13643858202803</v>
      </c>
    </row>
    <row r="304" spans="1:10" x14ac:dyDescent="0.25">
      <c r="A304" s="36"/>
      <c r="B304" t="s">
        <v>451</v>
      </c>
      <c r="C304" s="64">
        <v>40774</v>
      </c>
      <c r="D304">
        <v>22.3</v>
      </c>
      <c r="E304">
        <v>100.06053811659193</v>
      </c>
      <c r="F304" t="s">
        <v>427</v>
      </c>
      <c r="G304" s="64">
        <v>40774</v>
      </c>
      <c r="H304">
        <v>178.93</v>
      </c>
      <c r="I304">
        <v>100.33828871625775</v>
      </c>
      <c r="J304">
        <v>100.06053811659193</v>
      </c>
    </row>
    <row r="305" spans="1:10" x14ac:dyDescent="0.25">
      <c r="A305" s="36"/>
      <c r="B305" t="s">
        <v>451</v>
      </c>
      <c r="C305" s="64">
        <v>40777</v>
      </c>
      <c r="D305">
        <v>21.95</v>
      </c>
      <c r="E305">
        <v>100.04555808656036</v>
      </c>
      <c r="F305" t="s">
        <v>427</v>
      </c>
      <c r="G305" s="64">
        <v>40777</v>
      </c>
      <c r="H305">
        <v>177.54</v>
      </c>
      <c r="I305">
        <v>100.33310803199279</v>
      </c>
      <c r="J305">
        <v>100.04555808656036</v>
      </c>
    </row>
    <row r="306" spans="1:10" x14ac:dyDescent="0.25">
      <c r="A306" s="36"/>
      <c r="B306" t="s">
        <v>451</v>
      </c>
      <c r="C306" s="64">
        <v>40778</v>
      </c>
      <c r="D306">
        <v>22.96</v>
      </c>
      <c r="E306">
        <v>100.08754355400697</v>
      </c>
      <c r="F306" t="s">
        <v>427</v>
      </c>
      <c r="G306" s="64">
        <v>40778</v>
      </c>
      <c r="H306">
        <v>193.55</v>
      </c>
      <c r="I306">
        <v>100.38827176440196</v>
      </c>
      <c r="J306">
        <v>100.08754355400697</v>
      </c>
    </row>
    <row r="307" spans="1:10" x14ac:dyDescent="0.25">
      <c r="A307" s="36"/>
      <c r="B307" t="s">
        <v>451</v>
      </c>
      <c r="C307" s="64">
        <v>40779</v>
      </c>
      <c r="D307">
        <v>23.87</v>
      </c>
      <c r="E307">
        <v>100.12232928361961</v>
      </c>
      <c r="F307" t="s">
        <v>427</v>
      </c>
      <c r="G307" s="64">
        <v>40779</v>
      </c>
      <c r="H307">
        <v>193.73</v>
      </c>
      <c r="I307">
        <v>100.38884013833686</v>
      </c>
      <c r="J307">
        <v>100.12232928361961</v>
      </c>
    </row>
    <row r="308" spans="1:10" x14ac:dyDescent="0.25">
      <c r="A308" s="36"/>
      <c r="B308" t="s">
        <v>451</v>
      </c>
      <c r="C308" s="64">
        <v>40780</v>
      </c>
      <c r="D308">
        <v>23.11</v>
      </c>
      <c r="E308">
        <v>100.09346603202077</v>
      </c>
      <c r="F308" t="s">
        <v>427</v>
      </c>
      <c r="G308" s="64">
        <v>40780</v>
      </c>
      <c r="H308">
        <v>192.03</v>
      </c>
      <c r="I308">
        <v>100.38342967244701</v>
      </c>
      <c r="J308">
        <v>100.09346603202077</v>
      </c>
    </row>
    <row r="309" spans="1:10" x14ac:dyDescent="0.25">
      <c r="A309" s="36"/>
      <c r="B309" t="s">
        <v>451</v>
      </c>
      <c r="C309" s="64">
        <v>40781</v>
      </c>
      <c r="D309">
        <v>23.73</v>
      </c>
      <c r="E309">
        <v>100.11715128529288</v>
      </c>
      <c r="F309" t="s">
        <v>427</v>
      </c>
      <c r="G309" s="64">
        <v>40781</v>
      </c>
      <c r="H309">
        <v>199.27</v>
      </c>
      <c r="I309">
        <v>100.40583128418729</v>
      </c>
      <c r="J309">
        <v>100.11715128529288</v>
      </c>
    </row>
    <row r="310" spans="1:10" x14ac:dyDescent="0.25">
      <c r="A310" s="36"/>
      <c r="B310" t="s">
        <v>451</v>
      </c>
      <c r="C310" s="64">
        <v>40784</v>
      </c>
      <c r="D310">
        <v>24.71</v>
      </c>
      <c r="E310">
        <v>100.15216511533792</v>
      </c>
      <c r="F310" t="s">
        <v>427</v>
      </c>
      <c r="G310" s="64">
        <v>40784</v>
      </c>
      <c r="H310">
        <v>206.53</v>
      </c>
      <c r="I310">
        <v>100.42671766813538</v>
      </c>
      <c r="J310">
        <v>100.15216511533792</v>
      </c>
    </row>
    <row r="311" spans="1:10" x14ac:dyDescent="0.25">
      <c r="A311" s="36"/>
      <c r="B311" t="s">
        <v>451</v>
      </c>
      <c r="C311" s="64">
        <v>40785</v>
      </c>
      <c r="D311">
        <v>24.63</v>
      </c>
      <c r="E311">
        <v>100.14941128704831</v>
      </c>
      <c r="F311" t="s">
        <v>427</v>
      </c>
      <c r="G311" s="64">
        <v>40785</v>
      </c>
      <c r="H311">
        <v>210.92</v>
      </c>
      <c r="I311">
        <v>100.43864972501423</v>
      </c>
      <c r="J311">
        <v>100.14941128704831</v>
      </c>
    </row>
    <row r="312" spans="1:10" x14ac:dyDescent="0.25">
      <c r="A312" s="36"/>
      <c r="B312" t="s">
        <v>451</v>
      </c>
      <c r="C312" s="64">
        <v>40786</v>
      </c>
      <c r="D312">
        <v>24.74</v>
      </c>
      <c r="E312">
        <v>100.15319320937752</v>
      </c>
      <c r="F312" t="s">
        <v>427</v>
      </c>
      <c r="G312" s="64">
        <v>40786</v>
      </c>
      <c r="H312">
        <v>215.23</v>
      </c>
      <c r="I312">
        <v>100.44989081447754</v>
      </c>
      <c r="J312">
        <v>100.15319320937752</v>
      </c>
    </row>
    <row r="313" spans="1:10" x14ac:dyDescent="0.25">
      <c r="A313" s="36"/>
      <c r="B313" t="s">
        <v>451</v>
      </c>
      <c r="C313" s="64">
        <v>40787</v>
      </c>
      <c r="D313">
        <v>24</v>
      </c>
      <c r="E313">
        <v>100.12708333333333</v>
      </c>
      <c r="F313" t="s">
        <v>427</v>
      </c>
      <c r="G313" s="64">
        <v>40787</v>
      </c>
      <c r="H313">
        <v>212.54</v>
      </c>
      <c r="I313">
        <v>100.44292838995013</v>
      </c>
      <c r="J313">
        <v>100.12708333333333</v>
      </c>
    </row>
    <row r="314" spans="1:10" x14ac:dyDescent="0.25">
      <c r="A314" s="36"/>
      <c r="B314" t="s">
        <v>451</v>
      </c>
      <c r="C314" s="64">
        <v>40788</v>
      </c>
      <c r="D314">
        <v>23.07</v>
      </c>
      <c r="E314">
        <v>100.09189423493714</v>
      </c>
      <c r="F314" t="s">
        <v>427</v>
      </c>
      <c r="G314" s="64">
        <v>40788</v>
      </c>
      <c r="H314">
        <v>210</v>
      </c>
      <c r="I314">
        <v>100.43619047619048</v>
      </c>
      <c r="J314">
        <v>100.09189423493714</v>
      </c>
    </row>
    <row r="315" spans="1:10" x14ac:dyDescent="0.25">
      <c r="A315" s="36"/>
      <c r="B315" t="s">
        <v>451</v>
      </c>
      <c r="C315" s="64">
        <v>40792</v>
      </c>
      <c r="D315">
        <v>22.94</v>
      </c>
      <c r="E315">
        <v>100.08674803836094</v>
      </c>
      <c r="F315" t="s">
        <v>427</v>
      </c>
      <c r="G315" s="64">
        <v>40792</v>
      </c>
      <c r="H315">
        <v>216.18</v>
      </c>
      <c r="I315">
        <v>100.45230826163382</v>
      </c>
      <c r="J315">
        <v>100.08674803836094</v>
      </c>
    </row>
    <row r="316" spans="1:10" x14ac:dyDescent="0.25">
      <c r="A316" s="36"/>
      <c r="B316" t="s">
        <v>451</v>
      </c>
      <c r="C316" s="64">
        <v>40793</v>
      </c>
      <c r="D316">
        <v>23.84</v>
      </c>
      <c r="E316">
        <v>100.12122483221476</v>
      </c>
      <c r="F316" t="s">
        <v>427</v>
      </c>
      <c r="G316" s="64">
        <v>40793</v>
      </c>
      <c r="H316">
        <v>219.9</v>
      </c>
      <c r="I316">
        <v>100.46157344247385</v>
      </c>
      <c r="J316">
        <v>100.12122483221476</v>
      </c>
    </row>
    <row r="317" spans="1:10" x14ac:dyDescent="0.25">
      <c r="A317" s="36"/>
      <c r="B317" t="s">
        <v>451</v>
      </c>
      <c r="C317" s="64">
        <v>40794</v>
      </c>
      <c r="D317">
        <v>23.61</v>
      </c>
      <c r="E317">
        <v>100.1126641253706</v>
      </c>
      <c r="F317" t="s">
        <v>427</v>
      </c>
      <c r="G317" s="64">
        <v>40794</v>
      </c>
      <c r="H317">
        <v>217.26</v>
      </c>
      <c r="I317">
        <v>100.45503083862653</v>
      </c>
      <c r="J317">
        <v>100.1126641253706</v>
      </c>
    </row>
    <row r="318" spans="1:10" x14ac:dyDescent="0.25">
      <c r="A318" s="36"/>
      <c r="B318" t="s">
        <v>451</v>
      </c>
      <c r="C318" s="64">
        <v>40795</v>
      </c>
      <c r="D318">
        <v>22.97</v>
      </c>
      <c r="E318">
        <v>100.08794079233783</v>
      </c>
      <c r="F318" t="s">
        <v>427</v>
      </c>
      <c r="G318" s="64">
        <v>40795</v>
      </c>
      <c r="H318">
        <v>211.39</v>
      </c>
      <c r="I318">
        <v>100.43989781919674</v>
      </c>
      <c r="J318">
        <v>100.08794079233783</v>
      </c>
    </row>
    <row r="319" spans="1:10" x14ac:dyDescent="0.25">
      <c r="A319" s="36"/>
      <c r="B319" t="s">
        <v>451</v>
      </c>
      <c r="C319" s="64">
        <v>40798</v>
      </c>
      <c r="D319">
        <v>22.88</v>
      </c>
      <c r="E319">
        <v>100.08435314685315</v>
      </c>
      <c r="F319" t="s">
        <v>427</v>
      </c>
      <c r="G319" s="64">
        <v>40798</v>
      </c>
      <c r="H319">
        <v>216.56</v>
      </c>
      <c r="I319">
        <v>100.45326930181012</v>
      </c>
      <c r="J319">
        <v>100.08435314685315</v>
      </c>
    </row>
    <row r="320" spans="1:10" x14ac:dyDescent="0.25">
      <c r="A320" s="36"/>
      <c r="B320" t="s">
        <v>451</v>
      </c>
      <c r="C320" s="64">
        <v>40799</v>
      </c>
      <c r="D320">
        <v>24.08</v>
      </c>
      <c r="E320">
        <v>100.12998338870432</v>
      </c>
      <c r="F320" t="s">
        <v>427</v>
      </c>
      <c r="G320" s="64">
        <v>40799</v>
      </c>
      <c r="H320">
        <v>219.53</v>
      </c>
      <c r="I320">
        <v>100.46066596820481</v>
      </c>
      <c r="J320">
        <v>100.12998338870432</v>
      </c>
    </row>
    <row r="321" spans="1:10" x14ac:dyDescent="0.25">
      <c r="A321" s="36"/>
      <c r="B321" t="s">
        <v>451</v>
      </c>
      <c r="C321" s="64">
        <v>40800</v>
      </c>
      <c r="D321">
        <v>24.34</v>
      </c>
      <c r="E321">
        <v>100.1392769104355</v>
      </c>
      <c r="F321" t="s">
        <v>427</v>
      </c>
      <c r="G321" s="64">
        <v>40800</v>
      </c>
      <c r="H321">
        <v>222.57</v>
      </c>
      <c r="I321">
        <v>100.46803252909197</v>
      </c>
      <c r="J321">
        <v>100.1392769104355</v>
      </c>
    </row>
    <row r="322" spans="1:10" x14ac:dyDescent="0.25">
      <c r="A322" s="36"/>
      <c r="B322" t="s">
        <v>451</v>
      </c>
      <c r="C322" s="64">
        <v>40801</v>
      </c>
      <c r="D322">
        <v>24.82</v>
      </c>
      <c r="E322">
        <v>100.15592264302981</v>
      </c>
      <c r="F322" t="s">
        <v>427</v>
      </c>
      <c r="G322" s="64">
        <v>40801</v>
      </c>
      <c r="H322">
        <v>226.78</v>
      </c>
      <c r="I322">
        <v>100.47790810477115</v>
      </c>
      <c r="J322">
        <v>100.15592264302981</v>
      </c>
    </row>
    <row r="323" spans="1:10" x14ac:dyDescent="0.25">
      <c r="A323" s="36"/>
      <c r="B323" t="s">
        <v>451</v>
      </c>
      <c r="C323" s="64">
        <v>40802</v>
      </c>
      <c r="D323">
        <v>25.8</v>
      </c>
      <c r="E323">
        <v>100.18798449612403</v>
      </c>
      <c r="F323" t="s">
        <v>427</v>
      </c>
      <c r="G323" s="64">
        <v>40802</v>
      </c>
      <c r="H323">
        <v>239.3</v>
      </c>
      <c r="I323">
        <v>100.50522356874217</v>
      </c>
      <c r="J323">
        <v>100.18798449612403</v>
      </c>
    </row>
    <row r="324" spans="1:10" x14ac:dyDescent="0.25">
      <c r="A324" s="36"/>
      <c r="B324" t="s">
        <v>451</v>
      </c>
      <c r="C324" s="64">
        <v>40805</v>
      </c>
      <c r="D324">
        <v>25.77</v>
      </c>
      <c r="E324">
        <v>100.18703919285991</v>
      </c>
      <c r="F324" t="s">
        <v>427</v>
      </c>
      <c r="G324" s="64">
        <v>40805</v>
      </c>
      <c r="H324">
        <v>241.69</v>
      </c>
      <c r="I324">
        <v>100.51011626463652</v>
      </c>
      <c r="J324">
        <v>100.18703919285991</v>
      </c>
    </row>
    <row r="325" spans="1:10" x14ac:dyDescent="0.25">
      <c r="A325" s="36"/>
      <c r="B325" t="s">
        <v>451</v>
      </c>
      <c r="C325" s="64">
        <v>40806</v>
      </c>
      <c r="D325">
        <v>26.01</v>
      </c>
      <c r="E325">
        <v>100.19454056132257</v>
      </c>
      <c r="F325" t="s">
        <v>427</v>
      </c>
      <c r="G325" s="64">
        <v>40806</v>
      </c>
      <c r="H325">
        <v>233.25</v>
      </c>
      <c r="I325">
        <v>100.49239013933548</v>
      </c>
      <c r="J325">
        <v>100.19454056132257</v>
      </c>
    </row>
    <row r="326" spans="1:10" x14ac:dyDescent="0.25">
      <c r="A326" s="36"/>
      <c r="B326" t="s">
        <v>451</v>
      </c>
      <c r="C326" s="64">
        <v>40807</v>
      </c>
      <c r="D326">
        <v>25.85</v>
      </c>
      <c r="E326">
        <v>100.18955512572533</v>
      </c>
      <c r="F326" t="s">
        <v>427</v>
      </c>
      <c r="G326" s="64">
        <v>40807</v>
      </c>
      <c r="H326">
        <v>231.87</v>
      </c>
      <c r="I326">
        <v>100.48936904299823</v>
      </c>
      <c r="J326">
        <v>100.18955512572533</v>
      </c>
    </row>
    <row r="327" spans="1:10" x14ac:dyDescent="0.25">
      <c r="A327" s="36"/>
      <c r="B327" t="s">
        <v>451</v>
      </c>
      <c r="C327" s="64">
        <v>40808</v>
      </c>
      <c r="D327">
        <v>25.63</v>
      </c>
      <c r="E327">
        <v>100.18259851736246</v>
      </c>
      <c r="F327" t="s">
        <v>427</v>
      </c>
      <c r="G327" s="64">
        <v>40808</v>
      </c>
      <c r="H327">
        <v>223.23</v>
      </c>
      <c r="I327">
        <v>100.46960533978408</v>
      </c>
      <c r="J327">
        <v>100.18259851736246</v>
      </c>
    </row>
    <row r="328" spans="1:10" x14ac:dyDescent="0.25">
      <c r="A328" s="36"/>
      <c r="B328" t="s">
        <v>451</v>
      </c>
      <c r="C328" s="64">
        <v>40809</v>
      </c>
      <c r="D328">
        <v>26.38</v>
      </c>
      <c r="E328">
        <v>100.20583775587566</v>
      </c>
      <c r="F328" t="s">
        <v>427</v>
      </c>
      <c r="G328" s="64">
        <v>40809</v>
      </c>
      <c r="H328">
        <v>223.61</v>
      </c>
      <c r="I328">
        <v>100.47050668574751</v>
      </c>
      <c r="J328">
        <v>100.20583775587566</v>
      </c>
    </row>
    <row r="329" spans="1:10" x14ac:dyDescent="0.25">
      <c r="A329" s="36"/>
      <c r="B329" t="s">
        <v>451</v>
      </c>
      <c r="C329" s="64">
        <v>40812</v>
      </c>
      <c r="D329">
        <v>25.52</v>
      </c>
      <c r="E329">
        <v>100.17907523510972</v>
      </c>
      <c r="F329" t="s">
        <v>427</v>
      </c>
      <c r="G329" s="64">
        <v>40812</v>
      </c>
      <c r="H329">
        <v>229.85</v>
      </c>
      <c r="I329">
        <v>100.48488144442027</v>
      </c>
      <c r="J329">
        <v>100.17907523510972</v>
      </c>
    </row>
    <row r="330" spans="1:10" x14ac:dyDescent="0.25">
      <c r="A330" s="36"/>
      <c r="B330" t="s">
        <v>451</v>
      </c>
      <c r="C330" s="64">
        <v>40813</v>
      </c>
      <c r="D330">
        <v>26.19</v>
      </c>
      <c r="E330">
        <v>100.20007636502481</v>
      </c>
      <c r="F330" t="s">
        <v>427</v>
      </c>
      <c r="G330" s="64">
        <v>40813</v>
      </c>
      <c r="H330">
        <v>224.21</v>
      </c>
      <c r="I330">
        <v>100.47192364301324</v>
      </c>
      <c r="J330">
        <v>100.20007636502481</v>
      </c>
    </row>
    <row r="331" spans="1:10" x14ac:dyDescent="0.25">
      <c r="A331" s="36"/>
      <c r="B331" t="s">
        <v>451</v>
      </c>
      <c r="C331" s="64">
        <v>40814</v>
      </c>
      <c r="D331">
        <v>24.59</v>
      </c>
      <c r="E331">
        <v>100.14802765351769</v>
      </c>
      <c r="F331" t="s">
        <v>427</v>
      </c>
      <c r="G331" s="64">
        <v>40814</v>
      </c>
      <c r="H331">
        <v>229.71</v>
      </c>
      <c r="I331">
        <v>100.48456749814984</v>
      </c>
      <c r="J331">
        <v>100.14802765351769</v>
      </c>
    </row>
    <row r="332" spans="1:10" x14ac:dyDescent="0.25">
      <c r="A332" s="36"/>
      <c r="B332" t="s">
        <v>451</v>
      </c>
      <c r="C332" s="64">
        <v>40815</v>
      </c>
      <c r="D332">
        <v>24.12</v>
      </c>
      <c r="E332">
        <v>100.13142620232172</v>
      </c>
      <c r="F332" t="s">
        <v>427</v>
      </c>
      <c r="G332" s="64">
        <v>40815</v>
      </c>
      <c r="H332">
        <v>222.44</v>
      </c>
      <c r="I332">
        <v>100.46772163279985</v>
      </c>
      <c r="J332">
        <v>100.13142620232172</v>
      </c>
    </row>
    <row r="333" spans="1:10" x14ac:dyDescent="0.25">
      <c r="A333" s="36"/>
      <c r="B333" t="s">
        <v>451</v>
      </c>
      <c r="C333" s="64">
        <v>40816</v>
      </c>
      <c r="D333">
        <v>24.39</v>
      </c>
      <c r="E333">
        <v>100.1410414104141</v>
      </c>
      <c r="F333" t="s">
        <v>427</v>
      </c>
      <c r="G333" s="64">
        <v>40816</v>
      </c>
      <c r="H333">
        <v>216.23</v>
      </c>
      <c r="I333">
        <v>100.45243490727466</v>
      </c>
      <c r="J333">
        <v>100.1410414104141</v>
      </c>
    </row>
    <row r="334" spans="1:10" x14ac:dyDescent="0.25">
      <c r="A334" s="36"/>
      <c r="B334" t="s">
        <v>451</v>
      </c>
      <c r="C334" s="64">
        <v>40819</v>
      </c>
      <c r="D334">
        <v>23.73</v>
      </c>
      <c r="E334">
        <v>100.11715128529288</v>
      </c>
      <c r="F334" t="s">
        <v>427</v>
      </c>
      <c r="G334" s="64">
        <v>40819</v>
      </c>
      <c r="H334">
        <v>211.98</v>
      </c>
      <c r="I334">
        <v>100.441456741202</v>
      </c>
      <c r="J334">
        <v>100.11715128529288</v>
      </c>
    </row>
    <row r="335" spans="1:10" x14ac:dyDescent="0.25">
      <c r="A335" s="36"/>
      <c r="B335" t="s">
        <v>451</v>
      </c>
      <c r="C335" s="64">
        <v>40820</v>
      </c>
      <c r="D335">
        <v>23.66</v>
      </c>
      <c r="E335">
        <v>100.11453930684699</v>
      </c>
      <c r="F335" t="s">
        <v>427</v>
      </c>
      <c r="G335" s="64">
        <v>40820</v>
      </c>
      <c r="H335">
        <v>212.5</v>
      </c>
      <c r="I335">
        <v>100.44282352941177</v>
      </c>
      <c r="J335">
        <v>100.11453930684699</v>
      </c>
    </row>
    <row r="336" spans="1:10" x14ac:dyDescent="0.25">
      <c r="A336" s="36"/>
      <c r="B336" t="s">
        <v>451</v>
      </c>
      <c r="C336" s="64">
        <v>40821</v>
      </c>
      <c r="D336">
        <v>25.37</v>
      </c>
      <c r="E336">
        <v>100.17422152148207</v>
      </c>
      <c r="F336" t="s">
        <v>427</v>
      </c>
      <c r="G336" s="64">
        <v>40821</v>
      </c>
      <c r="H336">
        <v>219.49799999999999</v>
      </c>
      <c r="I336">
        <v>100.46058734020356</v>
      </c>
      <c r="J336">
        <v>100.17422152148207</v>
      </c>
    </row>
    <row r="337" spans="1:10" x14ac:dyDescent="0.25">
      <c r="A337" s="36"/>
      <c r="B337" t="s">
        <v>451</v>
      </c>
      <c r="C337" s="64">
        <v>40822</v>
      </c>
      <c r="D337">
        <v>26.96</v>
      </c>
      <c r="E337">
        <v>100.22292284866469</v>
      </c>
      <c r="F337" t="s">
        <v>427</v>
      </c>
      <c r="G337" s="64">
        <v>40822</v>
      </c>
      <c r="H337">
        <v>221.51</v>
      </c>
      <c r="I337">
        <v>100.46548688546793</v>
      </c>
      <c r="J337">
        <v>100.22292284866469</v>
      </c>
    </row>
    <row r="338" spans="1:10" x14ac:dyDescent="0.25">
      <c r="A338" s="36"/>
      <c r="B338" t="s">
        <v>451</v>
      </c>
      <c r="C338" s="64">
        <v>40823</v>
      </c>
      <c r="D338">
        <v>26.99</v>
      </c>
      <c r="E338">
        <v>100.22378658762504</v>
      </c>
      <c r="F338" t="s">
        <v>427</v>
      </c>
      <c r="G338" s="64">
        <v>40823</v>
      </c>
      <c r="H338">
        <v>224.74</v>
      </c>
      <c r="I338">
        <v>100.47316899528344</v>
      </c>
      <c r="J338">
        <v>100.22378658762504</v>
      </c>
    </row>
    <row r="339" spans="1:10" x14ac:dyDescent="0.25">
      <c r="A339" s="36"/>
      <c r="B339" t="s">
        <v>451</v>
      </c>
      <c r="C339" s="64">
        <v>40826</v>
      </c>
      <c r="D339">
        <v>27.88</v>
      </c>
      <c r="E339">
        <v>100.24856527977045</v>
      </c>
      <c r="F339" t="s">
        <v>427</v>
      </c>
      <c r="G339" s="64">
        <v>40826</v>
      </c>
      <c r="H339">
        <v>231.32</v>
      </c>
      <c r="I339">
        <v>100.48815493688397</v>
      </c>
      <c r="J339">
        <v>100.24856527977045</v>
      </c>
    </row>
    <row r="340" spans="1:10" x14ac:dyDescent="0.25">
      <c r="A340" s="36"/>
      <c r="B340" t="s">
        <v>451</v>
      </c>
      <c r="C340" s="64">
        <v>40827</v>
      </c>
      <c r="D340">
        <v>27.61</v>
      </c>
      <c r="E340">
        <v>100.24121695038029</v>
      </c>
      <c r="F340" t="s">
        <v>427</v>
      </c>
      <c r="G340" s="64">
        <v>40827</v>
      </c>
      <c r="H340">
        <v>235.48</v>
      </c>
      <c r="I340">
        <v>100.49719721420078</v>
      </c>
      <c r="J340">
        <v>100.24121695038029</v>
      </c>
    </row>
    <row r="341" spans="1:10" x14ac:dyDescent="0.25">
      <c r="A341" s="36"/>
      <c r="B341" t="s">
        <v>451</v>
      </c>
      <c r="C341" s="64">
        <v>40828</v>
      </c>
      <c r="D341">
        <v>27.8</v>
      </c>
      <c r="E341">
        <v>100.24640287769785</v>
      </c>
      <c r="F341" t="s">
        <v>427</v>
      </c>
      <c r="G341" s="64">
        <v>40828</v>
      </c>
      <c r="H341">
        <v>236.81</v>
      </c>
      <c r="I341">
        <v>100.50002111397323</v>
      </c>
      <c r="J341">
        <v>100.24640287769785</v>
      </c>
    </row>
    <row r="342" spans="1:10" x14ac:dyDescent="0.25">
      <c r="A342" s="36"/>
      <c r="B342" t="s">
        <v>451</v>
      </c>
      <c r="C342" s="64">
        <v>40829</v>
      </c>
      <c r="D342">
        <v>27.94</v>
      </c>
      <c r="E342">
        <v>100.25017895490336</v>
      </c>
      <c r="F342" t="s">
        <v>427</v>
      </c>
      <c r="G342" s="64">
        <v>40829</v>
      </c>
      <c r="H342">
        <v>236.15</v>
      </c>
      <c r="I342">
        <v>100.49862375608723</v>
      </c>
      <c r="J342">
        <v>100.25017895490336</v>
      </c>
    </row>
    <row r="343" spans="1:10" x14ac:dyDescent="0.25">
      <c r="A343" s="36"/>
      <c r="B343" t="s">
        <v>451</v>
      </c>
      <c r="C343" s="64">
        <v>40830</v>
      </c>
      <c r="D343">
        <v>28.05</v>
      </c>
      <c r="E343">
        <v>100.25311942959001</v>
      </c>
      <c r="F343" t="s">
        <v>427</v>
      </c>
      <c r="G343" s="64">
        <v>40830</v>
      </c>
      <c r="H343">
        <v>246.71</v>
      </c>
      <c r="I343">
        <v>100.52008430951319</v>
      </c>
      <c r="J343">
        <v>100.25311942959001</v>
      </c>
    </row>
    <row r="344" spans="1:10" x14ac:dyDescent="0.25">
      <c r="A344" s="36"/>
      <c r="B344" t="s">
        <v>451</v>
      </c>
      <c r="C344" s="64">
        <v>40833</v>
      </c>
      <c r="D344">
        <v>27.42</v>
      </c>
      <c r="E344">
        <v>100.23595915390226</v>
      </c>
      <c r="F344" t="s">
        <v>427</v>
      </c>
      <c r="G344" s="64">
        <v>40833</v>
      </c>
      <c r="H344">
        <v>242.33</v>
      </c>
      <c r="I344">
        <v>100.51141006066108</v>
      </c>
      <c r="J344">
        <v>100.23595915390226</v>
      </c>
    </row>
    <row r="345" spans="1:10" x14ac:dyDescent="0.25">
      <c r="A345" s="36"/>
      <c r="B345" t="s">
        <v>451</v>
      </c>
      <c r="C345" s="64">
        <v>40834</v>
      </c>
      <c r="D345">
        <v>28.34</v>
      </c>
      <c r="E345">
        <v>100.26076217360621</v>
      </c>
      <c r="F345" t="s">
        <v>427</v>
      </c>
      <c r="G345" s="64">
        <v>40834</v>
      </c>
      <c r="H345">
        <v>243.88</v>
      </c>
      <c r="I345">
        <v>100.51451533541086</v>
      </c>
      <c r="J345">
        <v>100.26076217360621</v>
      </c>
    </row>
    <row r="346" spans="1:10" x14ac:dyDescent="0.25">
      <c r="A346" s="36"/>
      <c r="B346" t="s">
        <v>451</v>
      </c>
      <c r="C346" s="64">
        <v>40835</v>
      </c>
      <c r="D346">
        <v>27.57</v>
      </c>
      <c r="E346">
        <v>100.24011606819006</v>
      </c>
      <c r="F346" t="s">
        <v>427</v>
      </c>
      <c r="G346" s="64">
        <v>40835</v>
      </c>
      <c r="H346">
        <v>231.53</v>
      </c>
      <c r="I346">
        <v>100.48861918541874</v>
      </c>
      <c r="J346">
        <v>100.24011606819006</v>
      </c>
    </row>
    <row r="347" spans="1:10" x14ac:dyDescent="0.25">
      <c r="A347" s="36"/>
      <c r="B347" t="s">
        <v>451</v>
      </c>
      <c r="C347" s="64">
        <v>40836</v>
      </c>
      <c r="D347">
        <v>27.34</v>
      </c>
      <c r="E347">
        <v>100.23372348207754</v>
      </c>
      <c r="F347" t="s">
        <v>427</v>
      </c>
      <c r="G347" s="64">
        <v>40836</v>
      </c>
      <c r="H347">
        <v>233.61</v>
      </c>
      <c r="I347">
        <v>100.4931723813193</v>
      </c>
      <c r="J347">
        <v>100.23372348207754</v>
      </c>
    </row>
    <row r="348" spans="1:10" x14ac:dyDescent="0.25">
      <c r="A348" s="36"/>
      <c r="B348" t="s">
        <v>451</v>
      </c>
      <c r="C348" s="64">
        <v>40837</v>
      </c>
      <c r="D348">
        <v>28.03</v>
      </c>
      <c r="E348">
        <v>100.25258651444881</v>
      </c>
      <c r="F348" t="s">
        <v>427</v>
      </c>
      <c r="G348" s="64">
        <v>40837</v>
      </c>
      <c r="H348">
        <v>234.78</v>
      </c>
      <c r="I348">
        <v>100.49569810034926</v>
      </c>
      <c r="J348">
        <v>100.25258651444881</v>
      </c>
    </row>
    <row r="349" spans="1:10" x14ac:dyDescent="0.25">
      <c r="A349" s="36"/>
      <c r="B349" t="s">
        <v>451</v>
      </c>
      <c r="C349" s="64">
        <v>40840</v>
      </c>
      <c r="D349">
        <v>28.55</v>
      </c>
      <c r="E349">
        <v>100.2661996497373</v>
      </c>
      <c r="F349" t="s">
        <v>427</v>
      </c>
      <c r="G349" s="64">
        <v>40840</v>
      </c>
      <c r="H349">
        <v>237.61</v>
      </c>
      <c r="I349">
        <v>100.50170447371744</v>
      </c>
      <c r="J349">
        <v>100.2661996497373</v>
      </c>
    </row>
    <row r="350" spans="1:10" x14ac:dyDescent="0.25">
      <c r="A350" s="36"/>
      <c r="B350" t="s">
        <v>451</v>
      </c>
      <c r="C350" s="64">
        <v>40841</v>
      </c>
      <c r="D350">
        <v>28.25</v>
      </c>
      <c r="E350">
        <v>100.25840707964602</v>
      </c>
      <c r="F350" t="s">
        <v>427</v>
      </c>
      <c r="G350" s="64">
        <v>40841</v>
      </c>
      <c r="H350">
        <v>227.15</v>
      </c>
      <c r="I350">
        <v>100.47875852960598</v>
      </c>
      <c r="J350">
        <v>100.25840707964602</v>
      </c>
    </row>
    <row r="351" spans="1:10" x14ac:dyDescent="0.25">
      <c r="A351" s="36"/>
      <c r="B351" t="s">
        <v>451</v>
      </c>
      <c r="C351" s="64">
        <v>40842</v>
      </c>
      <c r="D351">
        <v>27.98</v>
      </c>
      <c r="E351">
        <v>100.25125089349535</v>
      </c>
      <c r="F351" t="s">
        <v>427</v>
      </c>
      <c r="G351" s="64">
        <v>40842</v>
      </c>
      <c r="H351">
        <v>198.4</v>
      </c>
      <c r="I351">
        <v>100.40322580645162</v>
      </c>
      <c r="J351">
        <v>100.25125089349535</v>
      </c>
    </row>
    <row r="352" spans="1:10" x14ac:dyDescent="0.25">
      <c r="A352" s="36"/>
      <c r="B352" t="s">
        <v>451</v>
      </c>
      <c r="C352" s="64">
        <v>40843</v>
      </c>
      <c r="D352">
        <v>28.76</v>
      </c>
      <c r="E352">
        <v>100.27155771905424</v>
      </c>
      <c r="F352" t="s">
        <v>427</v>
      </c>
      <c r="G352" s="64">
        <v>40843</v>
      </c>
      <c r="H352">
        <v>206.78</v>
      </c>
      <c r="I352">
        <v>100.42741077473643</v>
      </c>
      <c r="J352">
        <v>100.27155771905424</v>
      </c>
    </row>
    <row r="353" spans="1:10" x14ac:dyDescent="0.25">
      <c r="A353" s="36"/>
      <c r="B353" t="s">
        <v>451</v>
      </c>
      <c r="C353" s="64">
        <v>40844</v>
      </c>
      <c r="D353">
        <v>29.87</v>
      </c>
      <c r="E353">
        <v>100.29862738533646</v>
      </c>
      <c r="F353" t="s">
        <v>427</v>
      </c>
      <c r="G353" s="64">
        <v>40844</v>
      </c>
      <c r="H353">
        <v>217.32</v>
      </c>
      <c r="I353">
        <v>100.45518129946622</v>
      </c>
      <c r="J353">
        <v>100.29862738533646</v>
      </c>
    </row>
    <row r="354" spans="1:10" x14ac:dyDescent="0.25">
      <c r="A354" s="36"/>
      <c r="B354" t="s">
        <v>451</v>
      </c>
      <c r="C354" s="64">
        <v>40847</v>
      </c>
      <c r="D354">
        <v>29.37</v>
      </c>
      <c r="E354">
        <v>100.28668709567586</v>
      </c>
      <c r="F354" t="s">
        <v>427</v>
      </c>
      <c r="G354" s="64">
        <v>40847</v>
      </c>
      <c r="H354">
        <v>213.51</v>
      </c>
      <c r="I354">
        <v>100.44545922907592</v>
      </c>
      <c r="J354">
        <v>100.28668709567586</v>
      </c>
    </row>
    <row r="355" spans="1:10" x14ac:dyDescent="0.25">
      <c r="A355" s="36"/>
      <c r="B355" t="s">
        <v>451</v>
      </c>
      <c r="C355" s="64">
        <v>40848</v>
      </c>
      <c r="D355">
        <v>28.88</v>
      </c>
      <c r="E355">
        <v>100.27458448753463</v>
      </c>
      <c r="F355" t="s">
        <v>427</v>
      </c>
      <c r="G355" s="64">
        <v>40848</v>
      </c>
      <c r="H355">
        <v>212.10499999999999</v>
      </c>
      <c r="I355">
        <v>100.44178590792296</v>
      </c>
      <c r="J355">
        <v>100.27458448753463</v>
      </c>
    </row>
    <row r="356" spans="1:10" x14ac:dyDescent="0.25">
      <c r="A356" s="36"/>
      <c r="B356" t="s">
        <v>451</v>
      </c>
      <c r="C356" s="64">
        <v>40849</v>
      </c>
      <c r="D356">
        <v>28.71</v>
      </c>
      <c r="E356">
        <v>100.27028909787531</v>
      </c>
      <c r="F356" t="s">
        <v>427</v>
      </c>
      <c r="G356" s="64">
        <v>40849</v>
      </c>
      <c r="H356">
        <v>215.62</v>
      </c>
      <c r="I356">
        <v>100.45088581764215</v>
      </c>
      <c r="J356">
        <v>100.27028909787531</v>
      </c>
    </row>
    <row r="357" spans="1:10" x14ac:dyDescent="0.25">
      <c r="A357" s="36"/>
      <c r="B357" t="s">
        <v>451</v>
      </c>
      <c r="C357" s="64">
        <v>40850</v>
      </c>
      <c r="D357">
        <v>32.46</v>
      </c>
      <c r="E357">
        <v>100.35459026494146</v>
      </c>
      <c r="F357" t="s">
        <v>427</v>
      </c>
      <c r="G357" s="64">
        <v>40850</v>
      </c>
      <c r="H357">
        <v>218.29</v>
      </c>
      <c r="I357">
        <v>100.4576022722067</v>
      </c>
      <c r="J357">
        <v>100.35459026494146</v>
      </c>
    </row>
    <row r="358" spans="1:10" x14ac:dyDescent="0.25">
      <c r="A358" s="36"/>
      <c r="B358" t="s">
        <v>451</v>
      </c>
      <c r="C358" s="64">
        <v>40851</v>
      </c>
      <c r="D358">
        <v>32.31</v>
      </c>
      <c r="E358">
        <v>100.35159393376664</v>
      </c>
      <c r="F358" t="s">
        <v>427</v>
      </c>
      <c r="G358" s="64">
        <v>40851</v>
      </c>
      <c r="H358">
        <v>216.48</v>
      </c>
      <c r="I358">
        <v>100.45306725794531</v>
      </c>
      <c r="J358">
        <v>100.35159393376664</v>
      </c>
    </row>
    <row r="359" spans="1:10" x14ac:dyDescent="0.25">
      <c r="A359" s="36"/>
      <c r="B359" t="s">
        <v>451</v>
      </c>
      <c r="C359" s="64">
        <v>40854</v>
      </c>
      <c r="D359">
        <v>31.27</v>
      </c>
      <c r="E359">
        <v>100.33002878157978</v>
      </c>
      <c r="F359" t="s">
        <v>427</v>
      </c>
      <c r="G359" s="64">
        <v>40854</v>
      </c>
      <c r="H359">
        <v>217</v>
      </c>
      <c r="I359">
        <v>100.45437788018434</v>
      </c>
      <c r="J359">
        <v>100.33002878157978</v>
      </c>
    </row>
    <row r="360" spans="1:10" x14ac:dyDescent="0.25">
      <c r="A360" s="36"/>
      <c r="B360" t="s">
        <v>451</v>
      </c>
      <c r="C360" s="64">
        <v>40855</v>
      </c>
      <c r="D360">
        <v>31.84</v>
      </c>
      <c r="E360">
        <v>100.34202261306532</v>
      </c>
      <c r="F360" t="s">
        <v>427</v>
      </c>
      <c r="G360" s="64">
        <v>40855</v>
      </c>
      <c r="H360">
        <v>217.99</v>
      </c>
      <c r="I360">
        <v>100.45685581907426</v>
      </c>
      <c r="J360">
        <v>100.34202261306532</v>
      </c>
    </row>
    <row r="361" spans="1:10" x14ac:dyDescent="0.25">
      <c r="A361" s="36"/>
      <c r="B361" t="s">
        <v>451</v>
      </c>
      <c r="C361" s="64">
        <v>40856</v>
      </c>
      <c r="D361">
        <v>30.88</v>
      </c>
      <c r="E361">
        <v>100.32156735751295</v>
      </c>
      <c r="F361" t="s">
        <v>427</v>
      </c>
      <c r="G361" s="64">
        <v>40856</v>
      </c>
      <c r="H361">
        <v>211.22</v>
      </c>
      <c r="I361">
        <v>100.43944702206231</v>
      </c>
      <c r="J361">
        <v>100.32156735751295</v>
      </c>
    </row>
    <row r="362" spans="1:10" x14ac:dyDescent="0.25">
      <c r="A362" s="36"/>
      <c r="B362" t="s">
        <v>451</v>
      </c>
      <c r="C362" s="64">
        <v>40857</v>
      </c>
      <c r="D362">
        <v>31.33</v>
      </c>
      <c r="E362">
        <v>100.33131184168529</v>
      </c>
      <c r="F362" t="s">
        <v>427</v>
      </c>
      <c r="G362" s="64">
        <v>40857</v>
      </c>
      <c r="H362">
        <v>210.79</v>
      </c>
      <c r="I362">
        <v>100.43830352483515</v>
      </c>
      <c r="J362">
        <v>100.33131184168529</v>
      </c>
    </row>
    <row r="363" spans="1:10" x14ac:dyDescent="0.25">
      <c r="A363" s="36"/>
      <c r="B363" t="s">
        <v>451</v>
      </c>
      <c r="C363" s="64">
        <v>40858</v>
      </c>
      <c r="D363">
        <v>33.64</v>
      </c>
      <c r="E363">
        <v>100.37722948870392</v>
      </c>
      <c r="F363" t="s">
        <v>427</v>
      </c>
      <c r="G363" s="64">
        <v>40858</v>
      </c>
      <c r="H363">
        <v>217.39</v>
      </c>
      <c r="I363">
        <v>100.45535673214039</v>
      </c>
      <c r="J363">
        <v>100.37722948870392</v>
      </c>
    </row>
    <row r="364" spans="1:10" x14ac:dyDescent="0.25">
      <c r="A364" s="36"/>
      <c r="B364" t="s">
        <v>451</v>
      </c>
      <c r="C364" s="64">
        <v>40861</v>
      </c>
      <c r="D364">
        <v>33.22</v>
      </c>
      <c r="E364">
        <v>100.36935580975316</v>
      </c>
      <c r="F364" t="s">
        <v>427</v>
      </c>
      <c r="G364" s="64">
        <v>40861</v>
      </c>
      <c r="H364">
        <v>218.93</v>
      </c>
      <c r="I364">
        <v>100.4591878682684</v>
      </c>
      <c r="J364">
        <v>100.36935580975316</v>
      </c>
    </row>
    <row r="365" spans="1:10" x14ac:dyDescent="0.25">
      <c r="A365" s="36"/>
      <c r="B365" t="s">
        <v>451</v>
      </c>
      <c r="C365" s="64">
        <v>40862</v>
      </c>
      <c r="D365">
        <v>33.93</v>
      </c>
      <c r="E365">
        <v>100.3825523135868</v>
      </c>
      <c r="F365" t="s">
        <v>427</v>
      </c>
      <c r="G365" s="64">
        <v>40862</v>
      </c>
      <c r="H365">
        <v>217.83</v>
      </c>
      <c r="I365">
        <v>100.45645687003626</v>
      </c>
      <c r="J365">
        <v>100.3825523135868</v>
      </c>
    </row>
    <row r="366" spans="1:10" x14ac:dyDescent="0.25">
      <c r="A366" s="36"/>
      <c r="B366" t="s">
        <v>451</v>
      </c>
      <c r="C366" s="64">
        <v>40863</v>
      </c>
      <c r="D366">
        <v>34.94</v>
      </c>
      <c r="E366">
        <v>100.40040068689181</v>
      </c>
      <c r="F366" t="s">
        <v>427</v>
      </c>
      <c r="G366" s="64">
        <v>40863</v>
      </c>
      <c r="H366">
        <v>211.99</v>
      </c>
      <c r="I366">
        <v>100.44148308882494</v>
      </c>
      <c r="J366">
        <v>100.40040068689181</v>
      </c>
    </row>
    <row r="367" spans="1:10" x14ac:dyDescent="0.25">
      <c r="A367" s="36"/>
      <c r="B367" t="s">
        <v>451</v>
      </c>
      <c r="C367" s="64">
        <v>40864</v>
      </c>
      <c r="D367">
        <v>33.68</v>
      </c>
      <c r="E367">
        <v>100.37796912114014</v>
      </c>
      <c r="F367" t="s">
        <v>427</v>
      </c>
      <c r="G367" s="64">
        <v>40864</v>
      </c>
      <c r="H367">
        <v>204.52</v>
      </c>
      <c r="I367">
        <v>100.4210835126149</v>
      </c>
      <c r="J367">
        <v>100.37796912114014</v>
      </c>
    </row>
    <row r="368" spans="1:10" x14ac:dyDescent="0.25">
      <c r="A368" s="36"/>
      <c r="B368" t="s">
        <v>451</v>
      </c>
      <c r="C368" s="64">
        <v>40865</v>
      </c>
      <c r="D368">
        <v>32.6</v>
      </c>
      <c r="E368">
        <v>100.35736196319019</v>
      </c>
      <c r="F368" t="s">
        <v>427</v>
      </c>
      <c r="G368" s="64">
        <v>40865</v>
      </c>
      <c r="H368">
        <v>197.14</v>
      </c>
      <c r="I368">
        <v>100.39941158567515</v>
      </c>
      <c r="J368">
        <v>100.35736196319019</v>
      </c>
    </row>
    <row r="369" spans="1:10" x14ac:dyDescent="0.25">
      <c r="A369" s="36"/>
      <c r="B369" t="s">
        <v>451</v>
      </c>
      <c r="C369" s="64">
        <v>40868</v>
      </c>
      <c r="D369">
        <v>31.76</v>
      </c>
      <c r="E369">
        <v>100.34036523929471</v>
      </c>
      <c r="F369" t="s">
        <v>427</v>
      </c>
      <c r="G369" s="64">
        <v>40868</v>
      </c>
      <c r="H369">
        <v>189.25</v>
      </c>
      <c r="I369">
        <v>100.37437252311757</v>
      </c>
      <c r="J369">
        <v>100.34036523929471</v>
      </c>
    </row>
    <row r="370" spans="1:10" x14ac:dyDescent="0.25">
      <c r="A370" s="36"/>
      <c r="B370" t="s">
        <v>451</v>
      </c>
      <c r="C370" s="64">
        <v>40869</v>
      </c>
      <c r="D370">
        <v>32.07</v>
      </c>
      <c r="E370">
        <v>100.34674150296227</v>
      </c>
      <c r="F370" t="s">
        <v>427</v>
      </c>
      <c r="G370" s="64">
        <v>40869</v>
      </c>
      <c r="H370">
        <v>192.34</v>
      </c>
      <c r="I370">
        <v>100.38442341686597</v>
      </c>
      <c r="J370">
        <v>100.34674150296227</v>
      </c>
    </row>
    <row r="371" spans="1:10" x14ac:dyDescent="0.25">
      <c r="A371" s="36"/>
      <c r="B371" t="s">
        <v>451</v>
      </c>
      <c r="C371" s="64">
        <v>40870</v>
      </c>
      <c r="D371">
        <v>31.45</v>
      </c>
      <c r="E371">
        <v>100.33386327503975</v>
      </c>
      <c r="F371" t="s">
        <v>427</v>
      </c>
      <c r="G371" s="64">
        <v>40870</v>
      </c>
      <c r="H371">
        <v>188.99</v>
      </c>
      <c r="I371">
        <v>100.37351182602254</v>
      </c>
      <c r="J371">
        <v>100.33386327503975</v>
      </c>
    </row>
    <row r="372" spans="1:10" x14ac:dyDescent="0.25">
      <c r="A372" s="36"/>
      <c r="B372" t="s">
        <v>451</v>
      </c>
      <c r="C372" s="64">
        <v>40872</v>
      </c>
      <c r="D372">
        <v>31.66</v>
      </c>
      <c r="E372">
        <v>100.33828174352496</v>
      </c>
      <c r="F372" t="s">
        <v>427</v>
      </c>
      <c r="G372" s="64">
        <v>40872</v>
      </c>
      <c r="H372">
        <v>182.399</v>
      </c>
      <c r="I372">
        <v>100.35087363417563</v>
      </c>
      <c r="J372">
        <v>100.33828174352496</v>
      </c>
    </row>
    <row r="373" spans="1:10" x14ac:dyDescent="0.25">
      <c r="A373" s="36"/>
      <c r="B373" t="s">
        <v>451</v>
      </c>
      <c r="C373" s="64">
        <v>40875</v>
      </c>
      <c r="D373">
        <v>32.56</v>
      </c>
      <c r="E373">
        <v>100.35657248157248</v>
      </c>
      <c r="F373" t="s">
        <v>427</v>
      </c>
      <c r="G373" s="64">
        <v>40875</v>
      </c>
      <c r="H373">
        <v>194.15</v>
      </c>
      <c r="I373">
        <v>100.39016224568633</v>
      </c>
      <c r="J373">
        <v>100.35657248157248</v>
      </c>
    </row>
    <row r="374" spans="1:10" x14ac:dyDescent="0.25">
      <c r="A374" s="36"/>
      <c r="B374" t="s">
        <v>451</v>
      </c>
      <c r="C374" s="64">
        <v>40876</v>
      </c>
      <c r="D374">
        <v>31.75</v>
      </c>
      <c r="E374">
        <v>100.34015748031496</v>
      </c>
      <c r="F374" t="s">
        <v>427</v>
      </c>
      <c r="G374" s="64">
        <v>40876</v>
      </c>
      <c r="H374">
        <v>188.39</v>
      </c>
      <c r="I374">
        <v>100.37151653484793</v>
      </c>
      <c r="J374">
        <v>100.34015748031496</v>
      </c>
    </row>
    <row r="375" spans="1:10" x14ac:dyDescent="0.25">
      <c r="A375" s="36"/>
      <c r="B375" t="s">
        <v>451</v>
      </c>
      <c r="C375" s="64">
        <v>40877</v>
      </c>
      <c r="D375">
        <v>32.74</v>
      </c>
      <c r="E375">
        <v>100.36010995723885</v>
      </c>
      <c r="F375" t="s">
        <v>427</v>
      </c>
      <c r="G375" s="64">
        <v>40877</v>
      </c>
      <c r="H375">
        <v>192.29</v>
      </c>
      <c r="I375">
        <v>100.3842633522284</v>
      </c>
      <c r="J375">
        <v>100.36010995723885</v>
      </c>
    </row>
    <row r="376" spans="1:10" x14ac:dyDescent="0.25">
      <c r="A376" s="36"/>
      <c r="B376" t="s">
        <v>451</v>
      </c>
      <c r="C376" s="64">
        <v>40878</v>
      </c>
      <c r="D376">
        <v>32.6</v>
      </c>
      <c r="E376">
        <v>100.35736196319019</v>
      </c>
      <c r="F376" t="s">
        <v>427</v>
      </c>
      <c r="G376" s="64">
        <v>40878</v>
      </c>
      <c r="H376">
        <v>197.13</v>
      </c>
      <c r="I376">
        <v>100.39938111905849</v>
      </c>
      <c r="J376">
        <v>100.35736196319019</v>
      </c>
    </row>
    <row r="377" spans="1:10" x14ac:dyDescent="0.25">
      <c r="A377" s="36"/>
      <c r="B377" t="s">
        <v>451</v>
      </c>
      <c r="C377" s="64">
        <v>40879</v>
      </c>
      <c r="D377">
        <v>33.299999999999997</v>
      </c>
      <c r="E377">
        <v>100.37087087087087</v>
      </c>
      <c r="F377" t="s">
        <v>427</v>
      </c>
      <c r="G377" s="64">
        <v>40879</v>
      </c>
      <c r="H377">
        <v>196.03</v>
      </c>
      <c r="I377">
        <v>100.39601081467123</v>
      </c>
      <c r="J377">
        <v>100.37087087087087</v>
      </c>
    </row>
    <row r="378" spans="1:10" x14ac:dyDescent="0.25">
      <c r="A378" s="36"/>
      <c r="B378" t="s">
        <v>451</v>
      </c>
      <c r="C378" s="64">
        <v>40882</v>
      </c>
      <c r="D378">
        <v>34.42</v>
      </c>
      <c r="E378">
        <v>100.39134224288205</v>
      </c>
      <c r="F378" t="s">
        <v>427</v>
      </c>
      <c r="G378" s="64">
        <v>40882</v>
      </c>
      <c r="H378">
        <v>196.24</v>
      </c>
      <c r="I378">
        <v>100.39665715450469</v>
      </c>
      <c r="J378">
        <v>100.39134224288205</v>
      </c>
    </row>
    <row r="379" spans="1:10" x14ac:dyDescent="0.25">
      <c r="A379" s="36"/>
      <c r="B379" t="s">
        <v>451</v>
      </c>
      <c r="C379" s="64">
        <v>40883</v>
      </c>
      <c r="D379">
        <v>34.869999999999997</v>
      </c>
      <c r="E379">
        <v>100.39919701749355</v>
      </c>
      <c r="F379" t="s">
        <v>427</v>
      </c>
      <c r="G379" s="64">
        <v>40883</v>
      </c>
      <c r="H379">
        <v>191.99</v>
      </c>
      <c r="I379">
        <v>100.38330121360488</v>
      </c>
      <c r="J379">
        <v>100.38330121360488</v>
      </c>
    </row>
    <row r="380" spans="1:10" x14ac:dyDescent="0.25">
      <c r="A380" s="36"/>
      <c r="B380" t="s">
        <v>451</v>
      </c>
      <c r="C380" s="64">
        <v>40884</v>
      </c>
      <c r="D380">
        <v>34.19</v>
      </c>
      <c r="E380">
        <v>100.38724773325534</v>
      </c>
      <c r="F380" t="s">
        <v>427</v>
      </c>
      <c r="G380" s="64">
        <v>40884</v>
      </c>
      <c r="H380">
        <v>195.32</v>
      </c>
      <c r="I380">
        <v>100.39381527749335</v>
      </c>
      <c r="J380">
        <v>100.38724773325534</v>
      </c>
    </row>
    <row r="381" spans="1:10" x14ac:dyDescent="0.25">
      <c r="A381" s="36"/>
      <c r="B381" t="s">
        <v>451</v>
      </c>
      <c r="C381" s="64">
        <v>40885</v>
      </c>
      <c r="D381">
        <v>30.89</v>
      </c>
      <c r="E381">
        <v>100.32178698607964</v>
      </c>
      <c r="F381" t="s">
        <v>427</v>
      </c>
      <c r="G381" s="64">
        <v>40885</v>
      </c>
      <c r="H381">
        <v>190.48</v>
      </c>
      <c r="I381">
        <v>100.37841243175137</v>
      </c>
      <c r="J381">
        <v>100.32178698607964</v>
      </c>
    </row>
    <row r="382" spans="1:10" x14ac:dyDescent="0.25">
      <c r="A382" s="36"/>
      <c r="B382" t="s">
        <v>451</v>
      </c>
      <c r="C382" s="64">
        <v>40886</v>
      </c>
      <c r="D382">
        <v>31.04</v>
      </c>
      <c r="E382">
        <v>100.32506443298969</v>
      </c>
      <c r="F382" t="s">
        <v>427</v>
      </c>
      <c r="G382" s="64">
        <v>40886</v>
      </c>
      <c r="H382">
        <v>193.03</v>
      </c>
      <c r="I382">
        <v>100.38662384085376</v>
      </c>
      <c r="J382">
        <v>100.32506443298969</v>
      </c>
    </row>
    <row r="383" spans="1:10" x14ac:dyDescent="0.25">
      <c r="A383" s="36"/>
      <c r="B383" t="s">
        <v>451</v>
      </c>
      <c r="C383" s="64">
        <v>40889</v>
      </c>
      <c r="D383">
        <v>30.41</v>
      </c>
      <c r="E383">
        <v>100.31108188096022</v>
      </c>
      <c r="F383" t="s">
        <v>427</v>
      </c>
      <c r="G383" s="64">
        <v>40889</v>
      </c>
      <c r="H383">
        <v>189.52</v>
      </c>
      <c r="I383">
        <v>100.37526382439847</v>
      </c>
      <c r="J383">
        <v>100.31108188096022</v>
      </c>
    </row>
    <row r="384" spans="1:10" x14ac:dyDescent="0.25">
      <c r="A384" s="36"/>
      <c r="B384" t="s">
        <v>451</v>
      </c>
      <c r="C384" s="64">
        <v>40890</v>
      </c>
      <c r="D384">
        <v>29.45</v>
      </c>
      <c r="E384">
        <v>100.28862478777589</v>
      </c>
      <c r="F384" t="s">
        <v>427</v>
      </c>
      <c r="G384" s="64">
        <v>40890</v>
      </c>
      <c r="H384">
        <v>180.51</v>
      </c>
      <c r="I384">
        <v>100.34408066035122</v>
      </c>
      <c r="J384">
        <v>100.28862478777589</v>
      </c>
    </row>
    <row r="385" spans="1:10" x14ac:dyDescent="0.25">
      <c r="A385" s="36"/>
      <c r="B385" t="s">
        <v>451</v>
      </c>
      <c r="C385" s="64">
        <v>40891</v>
      </c>
      <c r="D385">
        <v>28.53</v>
      </c>
      <c r="E385">
        <v>100.26568524360323</v>
      </c>
      <c r="F385" t="s">
        <v>427</v>
      </c>
      <c r="G385" s="64">
        <v>40891</v>
      </c>
      <c r="H385">
        <v>180.21</v>
      </c>
      <c r="I385">
        <v>100.3429887353643</v>
      </c>
      <c r="J385">
        <v>100.26568524360323</v>
      </c>
    </row>
    <row r="386" spans="1:10" x14ac:dyDescent="0.25">
      <c r="A386" s="36"/>
      <c r="B386" t="s">
        <v>451</v>
      </c>
      <c r="C386" s="64">
        <v>40892</v>
      </c>
      <c r="D386">
        <v>28.62</v>
      </c>
      <c r="E386">
        <v>100.26799440950384</v>
      </c>
      <c r="F386" t="s">
        <v>427</v>
      </c>
      <c r="G386" s="64">
        <v>40892</v>
      </c>
      <c r="H386">
        <v>181.26</v>
      </c>
      <c r="I386">
        <v>100.34679465960498</v>
      </c>
      <c r="J386">
        <v>100.26799440950384</v>
      </c>
    </row>
    <row r="387" spans="1:10" x14ac:dyDescent="0.25">
      <c r="A387" s="36"/>
      <c r="B387" t="s">
        <v>451</v>
      </c>
      <c r="C387" s="64">
        <v>40893</v>
      </c>
      <c r="D387">
        <v>28</v>
      </c>
      <c r="E387">
        <v>100.25178571428572</v>
      </c>
      <c r="F387" t="s">
        <v>427</v>
      </c>
      <c r="G387" s="64">
        <v>40893</v>
      </c>
      <c r="H387">
        <v>181.26</v>
      </c>
      <c r="I387">
        <v>100.34679465960498</v>
      </c>
      <c r="J387">
        <v>100.25178571428572</v>
      </c>
    </row>
    <row r="388" spans="1:10" x14ac:dyDescent="0.25">
      <c r="A388" s="36"/>
      <c r="B388" t="s">
        <v>451</v>
      </c>
      <c r="C388" s="64">
        <v>40896</v>
      </c>
      <c r="D388">
        <v>27.75</v>
      </c>
      <c r="E388">
        <v>100.24504504504505</v>
      </c>
      <c r="F388" t="s">
        <v>427</v>
      </c>
      <c r="G388" s="64">
        <v>40896</v>
      </c>
      <c r="H388">
        <v>179.33</v>
      </c>
      <c r="I388">
        <v>100.33976467964088</v>
      </c>
      <c r="J388">
        <v>100.24504504504505</v>
      </c>
    </row>
    <row r="389" spans="1:10" x14ac:dyDescent="0.25">
      <c r="A389" s="36"/>
      <c r="B389" t="s">
        <v>451</v>
      </c>
      <c r="C389" s="64">
        <v>40897</v>
      </c>
      <c r="D389">
        <v>27.9</v>
      </c>
      <c r="E389">
        <v>100.24910394265233</v>
      </c>
      <c r="F389" t="s">
        <v>427</v>
      </c>
      <c r="G389" s="64">
        <v>40897</v>
      </c>
      <c r="H389">
        <v>182.52</v>
      </c>
      <c r="I389">
        <v>100.35130396668858</v>
      </c>
      <c r="J389">
        <v>100.24910394265233</v>
      </c>
    </row>
    <row r="390" spans="1:10" x14ac:dyDescent="0.25">
      <c r="A390" s="36"/>
      <c r="B390" t="s">
        <v>451</v>
      </c>
      <c r="C390" s="64">
        <v>40898</v>
      </c>
      <c r="D390">
        <v>27.57</v>
      </c>
      <c r="E390">
        <v>100.24011606819006</v>
      </c>
      <c r="F390" t="s">
        <v>427</v>
      </c>
      <c r="G390" s="64">
        <v>40898</v>
      </c>
      <c r="H390">
        <v>174.35</v>
      </c>
      <c r="I390">
        <v>100.32090622311442</v>
      </c>
      <c r="J390">
        <v>100.24011606819006</v>
      </c>
    </row>
    <row r="391" spans="1:10" x14ac:dyDescent="0.25">
      <c r="A391" s="36"/>
      <c r="B391" t="s">
        <v>451</v>
      </c>
      <c r="C391" s="64">
        <v>40899</v>
      </c>
      <c r="D391">
        <v>27.77</v>
      </c>
      <c r="E391">
        <v>100.24558876485416</v>
      </c>
      <c r="F391" t="s">
        <v>427</v>
      </c>
      <c r="G391" s="64">
        <v>40899</v>
      </c>
      <c r="H391">
        <v>179.03</v>
      </c>
      <c r="I391">
        <v>100.33865832542033</v>
      </c>
      <c r="J391">
        <v>100.24558876485416</v>
      </c>
    </row>
    <row r="392" spans="1:10" x14ac:dyDescent="0.25">
      <c r="A392" s="36"/>
      <c r="B392" t="s">
        <v>451</v>
      </c>
      <c r="C392" s="64">
        <v>40900</v>
      </c>
      <c r="D392">
        <v>27.9</v>
      </c>
      <c r="E392">
        <v>100.24910394265233</v>
      </c>
      <c r="F392" t="s">
        <v>427</v>
      </c>
      <c r="G392" s="64">
        <v>40900</v>
      </c>
      <c r="H392">
        <v>177.28</v>
      </c>
      <c r="I392">
        <v>100.33212996389892</v>
      </c>
      <c r="J392">
        <v>100.24910394265233</v>
      </c>
    </row>
    <row r="393" spans="1:10" x14ac:dyDescent="0.25">
      <c r="A393" s="36"/>
      <c r="B393" t="s">
        <v>451</v>
      </c>
      <c r="C393" s="64">
        <v>40904</v>
      </c>
      <c r="D393">
        <v>28.57</v>
      </c>
      <c r="E393">
        <v>100.26671333566678</v>
      </c>
      <c r="F393" t="s">
        <v>427</v>
      </c>
      <c r="G393" s="64">
        <v>40904</v>
      </c>
      <c r="H393">
        <v>176.27</v>
      </c>
      <c r="I393">
        <v>100.32830317127134</v>
      </c>
      <c r="J393">
        <v>100.26671333566678</v>
      </c>
    </row>
    <row r="394" spans="1:10" x14ac:dyDescent="0.25">
      <c r="A394" s="36"/>
      <c r="B394" t="s">
        <v>451</v>
      </c>
      <c r="C394" s="64">
        <v>40905</v>
      </c>
      <c r="D394">
        <v>28.51</v>
      </c>
      <c r="E394">
        <v>100.26517011574886</v>
      </c>
      <c r="F394" t="s">
        <v>427</v>
      </c>
      <c r="G394" s="64">
        <v>40905</v>
      </c>
      <c r="H394">
        <v>173.89</v>
      </c>
      <c r="I394">
        <v>100.31910978204613</v>
      </c>
      <c r="J394">
        <v>100.26517011574886</v>
      </c>
    </row>
    <row r="395" spans="1:10" x14ac:dyDescent="0.25">
      <c r="A395" s="36"/>
      <c r="B395" t="s">
        <v>451</v>
      </c>
      <c r="C395" s="64">
        <v>40906</v>
      </c>
      <c r="D395">
        <v>28.73</v>
      </c>
      <c r="E395">
        <v>100.27079707622694</v>
      </c>
      <c r="F395" t="s">
        <v>427</v>
      </c>
      <c r="G395" s="64">
        <v>40906</v>
      </c>
      <c r="H395">
        <v>173.86</v>
      </c>
      <c r="I395">
        <v>100.31899229264926</v>
      </c>
      <c r="J395">
        <v>100.27079707622694</v>
      </c>
    </row>
    <row r="396" spans="1:10" x14ac:dyDescent="0.25">
      <c r="A396" s="36"/>
      <c r="B396" t="s">
        <v>451</v>
      </c>
      <c r="C396" s="64">
        <v>40907</v>
      </c>
      <c r="D396">
        <v>28.56</v>
      </c>
      <c r="E396">
        <v>100.26645658263305</v>
      </c>
      <c r="F396" t="s">
        <v>427</v>
      </c>
      <c r="G396" s="64">
        <v>40907</v>
      </c>
      <c r="H396">
        <v>173.1</v>
      </c>
      <c r="I396">
        <v>100.316002310803</v>
      </c>
      <c r="J396">
        <v>100.26645658263305</v>
      </c>
    </row>
    <row r="397" spans="1:10" x14ac:dyDescent="0.25">
      <c r="A397" s="36"/>
      <c r="B397" t="s">
        <v>451</v>
      </c>
      <c r="C397" s="64">
        <v>40911</v>
      </c>
      <c r="D397">
        <v>28.08</v>
      </c>
      <c r="E397">
        <v>100.25391737891738</v>
      </c>
      <c r="F397" t="s">
        <v>427</v>
      </c>
      <c r="G397" s="64">
        <v>40911</v>
      </c>
      <c r="H397">
        <v>179.03</v>
      </c>
      <c r="I397">
        <v>100.33865832542033</v>
      </c>
      <c r="J397">
        <v>100.25391737891738</v>
      </c>
    </row>
    <row r="398" spans="1:10" x14ac:dyDescent="0.25">
      <c r="A398" s="36"/>
      <c r="B398" t="s">
        <v>451</v>
      </c>
      <c r="C398" s="64">
        <v>40912</v>
      </c>
      <c r="D398">
        <v>27.71</v>
      </c>
      <c r="E398">
        <v>100.24395525081198</v>
      </c>
      <c r="F398" t="s">
        <v>427</v>
      </c>
      <c r="G398" s="64">
        <v>40912</v>
      </c>
      <c r="H398">
        <v>177.51</v>
      </c>
      <c r="I398">
        <v>100.33299532420709</v>
      </c>
      <c r="J398">
        <v>100.24395525081198</v>
      </c>
    </row>
    <row r="399" spans="1:10" x14ac:dyDescent="0.25">
      <c r="A399" s="36"/>
      <c r="B399" t="s">
        <v>451</v>
      </c>
      <c r="C399" s="64">
        <v>40913</v>
      </c>
      <c r="D399">
        <v>27.12</v>
      </c>
      <c r="E399">
        <v>100.22750737463127</v>
      </c>
      <c r="F399" t="s">
        <v>427</v>
      </c>
      <c r="G399" s="64">
        <v>40913</v>
      </c>
      <c r="H399">
        <v>177.61</v>
      </c>
      <c r="I399">
        <v>100.33337086875738</v>
      </c>
      <c r="J399">
        <v>100.22750737463127</v>
      </c>
    </row>
    <row r="400" spans="1:10" x14ac:dyDescent="0.25">
      <c r="A400" s="36"/>
      <c r="B400" t="s">
        <v>451</v>
      </c>
      <c r="C400" s="64">
        <v>40914</v>
      </c>
      <c r="D400">
        <v>26.91</v>
      </c>
      <c r="E400">
        <v>100.2214790040877</v>
      </c>
      <c r="F400" t="s">
        <v>427</v>
      </c>
      <c r="G400" s="64">
        <v>40914</v>
      </c>
      <c r="H400">
        <v>182.61</v>
      </c>
      <c r="I400">
        <v>100.35162367887848</v>
      </c>
      <c r="J400">
        <v>100.2214790040877</v>
      </c>
    </row>
    <row r="401" spans="1:10" x14ac:dyDescent="0.25">
      <c r="A401" s="36"/>
      <c r="B401" t="s">
        <v>451</v>
      </c>
      <c r="C401" s="64">
        <v>40917</v>
      </c>
      <c r="D401">
        <v>27.25</v>
      </c>
      <c r="E401">
        <v>100.23119266055046</v>
      </c>
      <c r="F401" t="s">
        <v>427</v>
      </c>
      <c r="G401" s="64">
        <v>40917</v>
      </c>
      <c r="H401">
        <v>178.56</v>
      </c>
      <c r="I401">
        <v>100.33691756272401</v>
      </c>
      <c r="J401">
        <v>100.23119266055046</v>
      </c>
    </row>
    <row r="402" spans="1:10" x14ac:dyDescent="0.25">
      <c r="A402" s="36"/>
      <c r="B402" t="s">
        <v>451</v>
      </c>
      <c r="C402" s="64">
        <v>40918</v>
      </c>
      <c r="D402">
        <v>27.62</v>
      </c>
      <c r="E402">
        <v>100.24149167270095</v>
      </c>
      <c r="F402" t="s">
        <v>427</v>
      </c>
      <c r="G402" s="64">
        <v>40918</v>
      </c>
      <c r="H402">
        <v>179.34</v>
      </c>
      <c r="I402">
        <v>100.33980149436825</v>
      </c>
      <c r="J402">
        <v>100.24149167270095</v>
      </c>
    </row>
    <row r="403" spans="1:10" x14ac:dyDescent="0.25">
      <c r="A403" s="36"/>
      <c r="B403" t="s">
        <v>451</v>
      </c>
      <c r="C403" s="64">
        <v>40919</v>
      </c>
      <c r="D403">
        <v>28.23</v>
      </c>
      <c r="E403">
        <v>100.25788168614949</v>
      </c>
      <c r="F403" t="s">
        <v>427</v>
      </c>
      <c r="G403" s="64">
        <v>40919</v>
      </c>
      <c r="H403">
        <v>178.9</v>
      </c>
      <c r="I403">
        <v>100.3381777529346</v>
      </c>
      <c r="J403">
        <v>100.25788168614949</v>
      </c>
    </row>
    <row r="404" spans="1:10" x14ac:dyDescent="0.25">
      <c r="A404" s="36"/>
      <c r="B404" t="s">
        <v>451</v>
      </c>
      <c r="C404" s="64">
        <v>40920</v>
      </c>
      <c r="D404">
        <v>28.25</v>
      </c>
      <c r="E404">
        <v>100.25840707964602</v>
      </c>
      <c r="F404" t="s">
        <v>427</v>
      </c>
      <c r="G404" s="64">
        <v>40920</v>
      </c>
      <c r="H404">
        <v>175.93</v>
      </c>
      <c r="I404">
        <v>100.32700505883021</v>
      </c>
      <c r="J404">
        <v>100.25840707964602</v>
      </c>
    </row>
    <row r="405" spans="1:10" x14ac:dyDescent="0.25">
      <c r="A405" s="36"/>
      <c r="B405" t="s">
        <v>451</v>
      </c>
      <c r="C405" s="64">
        <v>40921</v>
      </c>
      <c r="D405">
        <v>22.79</v>
      </c>
      <c r="E405">
        <v>100.08073716542343</v>
      </c>
      <c r="F405" t="s">
        <v>427</v>
      </c>
      <c r="G405" s="64">
        <v>40921</v>
      </c>
      <c r="H405">
        <v>178.42</v>
      </c>
      <c r="I405">
        <v>100.33639726488062</v>
      </c>
      <c r="J405">
        <v>100.08073716542343</v>
      </c>
    </row>
    <row r="406" spans="1:10" x14ac:dyDescent="0.25">
      <c r="A406" s="36"/>
      <c r="B406" t="s">
        <v>451</v>
      </c>
      <c r="C406" s="64">
        <v>40925</v>
      </c>
      <c r="D406">
        <v>26.6</v>
      </c>
      <c r="E406">
        <v>100.2124060150376</v>
      </c>
      <c r="F406" t="s">
        <v>427</v>
      </c>
      <c r="G406" s="64">
        <v>40925</v>
      </c>
      <c r="H406">
        <v>181.66</v>
      </c>
      <c r="I406">
        <v>100.34823296267753</v>
      </c>
      <c r="J406">
        <v>100.2124060150376</v>
      </c>
    </row>
    <row r="407" spans="1:10" x14ac:dyDescent="0.25">
      <c r="A407" s="36"/>
      <c r="B407" t="s">
        <v>451</v>
      </c>
      <c r="C407" s="64">
        <v>40926</v>
      </c>
      <c r="D407">
        <v>26.81</v>
      </c>
      <c r="E407">
        <v>100.21857515852294</v>
      </c>
      <c r="F407" t="s">
        <v>427</v>
      </c>
      <c r="G407" s="64">
        <v>40926</v>
      </c>
      <c r="H407">
        <v>189.44</v>
      </c>
      <c r="I407">
        <v>100.375</v>
      </c>
      <c r="J407">
        <v>100.21857515852294</v>
      </c>
    </row>
    <row r="408" spans="1:10" x14ac:dyDescent="0.25">
      <c r="A408" s="36"/>
      <c r="B408" t="s">
        <v>451</v>
      </c>
      <c r="C408" s="64">
        <v>40927</v>
      </c>
      <c r="D408">
        <v>26.76</v>
      </c>
      <c r="E408">
        <v>100.21711509715995</v>
      </c>
      <c r="F408" t="s">
        <v>427</v>
      </c>
      <c r="G408" s="64">
        <v>40927</v>
      </c>
      <c r="H408">
        <v>194.45</v>
      </c>
      <c r="I408">
        <v>100.39110311133967</v>
      </c>
      <c r="J408">
        <v>100.21711509715995</v>
      </c>
    </row>
    <row r="409" spans="1:10" x14ac:dyDescent="0.25">
      <c r="A409" s="36"/>
      <c r="B409" t="s">
        <v>451</v>
      </c>
      <c r="C409" s="64">
        <v>40928</v>
      </c>
      <c r="D409">
        <v>26.6</v>
      </c>
      <c r="E409">
        <v>100.2124060150376</v>
      </c>
      <c r="F409" t="s">
        <v>427</v>
      </c>
      <c r="G409" s="64">
        <v>40928</v>
      </c>
      <c r="H409">
        <v>190.93</v>
      </c>
      <c r="I409">
        <v>100.37987744199445</v>
      </c>
      <c r="J409">
        <v>100.2124060150376</v>
      </c>
    </row>
    <row r="410" spans="1:10" x14ac:dyDescent="0.25">
      <c r="A410" s="36"/>
      <c r="B410" t="s">
        <v>451</v>
      </c>
      <c r="C410" s="64">
        <v>40931</v>
      </c>
      <c r="D410">
        <v>26.77</v>
      </c>
      <c r="E410">
        <v>100.21740754576018</v>
      </c>
      <c r="F410" t="s">
        <v>427</v>
      </c>
      <c r="G410" s="64">
        <v>40931</v>
      </c>
      <c r="H410">
        <v>186.09</v>
      </c>
      <c r="I410">
        <v>100.36374872373582</v>
      </c>
      <c r="J410">
        <v>100.21740754576018</v>
      </c>
    </row>
    <row r="411" spans="1:10" x14ac:dyDescent="0.25">
      <c r="A411" s="36"/>
      <c r="B411" t="s">
        <v>451</v>
      </c>
      <c r="C411" s="64">
        <v>40932</v>
      </c>
      <c r="D411">
        <v>27.42</v>
      </c>
      <c r="E411">
        <v>100.23595915390226</v>
      </c>
      <c r="F411" t="s">
        <v>427</v>
      </c>
      <c r="G411" s="64">
        <v>40932</v>
      </c>
      <c r="H411">
        <v>187</v>
      </c>
      <c r="I411">
        <v>100.36684491978609</v>
      </c>
      <c r="J411">
        <v>100.23595915390226</v>
      </c>
    </row>
    <row r="412" spans="1:10" x14ac:dyDescent="0.25">
      <c r="A412" s="36"/>
      <c r="B412" t="s">
        <v>451</v>
      </c>
      <c r="C412" s="64">
        <v>40933</v>
      </c>
      <c r="D412">
        <v>27.97</v>
      </c>
      <c r="E412">
        <v>100.25098319628174</v>
      </c>
      <c r="F412" t="s">
        <v>427</v>
      </c>
      <c r="G412" s="64">
        <v>40933</v>
      </c>
      <c r="H412">
        <v>187.8</v>
      </c>
      <c r="I412">
        <v>100.36954206602769</v>
      </c>
      <c r="J412">
        <v>100.25098319628174</v>
      </c>
    </row>
    <row r="413" spans="1:10" x14ac:dyDescent="0.25">
      <c r="A413" s="36"/>
      <c r="B413" t="s">
        <v>451</v>
      </c>
      <c r="C413" s="64">
        <v>40934</v>
      </c>
      <c r="D413">
        <v>28.94</v>
      </c>
      <c r="E413">
        <v>100.27608845888044</v>
      </c>
      <c r="F413" t="s">
        <v>427</v>
      </c>
      <c r="G413" s="64">
        <v>40934</v>
      </c>
      <c r="H413">
        <v>193.316</v>
      </c>
      <c r="I413">
        <v>100.38753129590928</v>
      </c>
      <c r="J413">
        <v>100.27608845888044</v>
      </c>
    </row>
    <row r="414" spans="1:10" x14ac:dyDescent="0.25">
      <c r="A414" s="36"/>
      <c r="B414" t="s">
        <v>451</v>
      </c>
      <c r="C414" s="64">
        <v>40935</v>
      </c>
      <c r="D414">
        <v>29.33</v>
      </c>
      <c r="E414">
        <v>100.28571428571429</v>
      </c>
      <c r="F414" t="s">
        <v>427</v>
      </c>
      <c r="G414" s="64">
        <v>40935</v>
      </c>
      <c r="H414">
        <v>195.37</v>
      </c>
      <c r="I414">
        <v>100.39397041510979</v>
      </c>
      <c r="J414">
        <v>100.28571428571429</v>
      </c>
    </row>
    <row r="415" spans="1:10" x14ac:dyDescent="0.25">
      <c r="A415" s="36"/>
      <c r="B415" t="s">
        <v>451</v>
      </c>
      <c r="C415" s="64">
        <v>40938</v>
      </c>
      <c r="D415">
        <v>29.57</v>
      </c>
      <c r="E415">
        <v>100.2915116672303</v>
      </c>
      <c r="F415" t="s">
        <v>427</v>
      </c>
      <c r="G415" s="64">
        <v>40938</v>
      </c>
      <c r="H415">
        <v>192.15</v>
      </c>
      <c r="I415">
        <v>100.38381472807703</v>
      </c>
      <c r="J415">
        <v>100.2915116672303</v>
      </c>
    </row>
    <row r="416" spans="1:10" x14ac:dyDescent="0.25">
      <c r="A416" s="36"/>
      <c r="B416" t="s">
        <v>451</v>
      </c>
      <c r="C416" s="64">
        <v>40939</v>
      </c>
      <c r="D416">
        <v>29.07</v>
      </c>
      <c r="E416">
        <v>100.27932576539388</v>
      </c>
      <c r="F416" t="s">
        <v>427</v>
      </c>
      <c r="G416" s="64">
        <v>40939</v>
      </c>
      <c r="H416">
        <v>194.44</v>
      </c>
      <c r="I416">
        <v>100.39107179592676</v>
      </c>
      <c r="J416">
        <v>100.27932576539388</v>
      </c>
    </row>
    <row r="417" spans="1:10" x14ac:dyDescent="0.25">
      <c r="A417" s="36"/>
      <c r="B417" t="s">
        <v>451</v>
      </c>
      <c r="C417" s="64">
        <v>40940</v>
      </c>
      <c r="D417">
        <v>29.58</v>
      </c>
      <c r="E417">
        <v>100.29175118323191</v>
      </c>
      <c r="F417" t="s">
        <v>427</v>
      </c>
      <c r="G417" s="64">
        <v>40940</v>
      </c>
      <c r="H417">
        <v>179.46</v>
      </c>
      <c r="I417">
        <v>100.34024295107545</v>
      </c>
      <c r="J417">
        <v>100.29175118323191</v>
      </c>
    </row>
    <row r="418" spans="1:10" x14ac:dyDescent="0.25">
      <c r="A418" s="36"/>
      <c r="B418" t="s">
        <v>451</v>
      </c>
      <c r="C418" s="64">
        <v>40941</v>
      </c>
      <c r="D418">
        <v>30.25</v>
      </c>
      <c r="E418">
        <v>100.30743801652892</v>
      </c>
      <c r="F418" t="s">
        <v>427</v>
      </c>
      <c r="G418" s="64">
        <v>40941</v>
      </c>
      <c r="H418">
        <v>181.72</v>
      </c>
      <c r="I418">
        <v>100.34844816200749</v>
      </c>
      <c r="J418">
        <v>100.30743801652892</v>
      </c>
    </row>
    <row r="419" spans="1:10" x14ac:dyDescent="0.25">
      <c r="A419" s="36"/>
      <c r="B419" t="s">
        <v>451</v>
      </c>
      <c r="C419" s="64">
        <v>40942</v>
      </c>
      <c r="D419">
        <v>31.15</v>
      </c>
      <c r="E419">
        <v>100.3274478330658</v>
      </c>
      <c r="F419" t="s">
        <v>427</v>
      </c>
      <c r="G419" s="64">
        <v>40942</v>
      </c>
      <c r="H419">
        <v>187.68</v>
      </c>
      <c r="I419">
        <v>100.3691389599318</v>
      </c>
      <c r="J419">
        <v>100.3274478330658</v>
      </c>
    </row>
    <row r="420" spans="1:10" x14ac:dyDescent="0.25">
      <c r="A420" s="36"/>
      <c r="B420" t="s">
        <v>451</v>
      </c>
      <c r="C420" s="64">
        <v>40945</v>
      </c>
      <c r="D420">
        <v>31.8</v>
      </c>
      <c r="E420">
        <v>100.34119496855345</v>
      </c>
      <c r="F420" t="s">
        <v>427</v>
      </c>
      <c r="G420" s="64">
        <v>40945</v>
      </c>
      <c r="H420">
        <v>183.14</v>
      </c>
      <c r="I420">
        <v>100.35350005460303</v>
      </c>
      <c r="J420">
        <v>100.34119496855345</v>
      </c>
    </row>
    <row r="421" spans="1:10" x14ac:dyDescent="0.25">
      <c r="A421" s="36"/>
      <c r="B421" t="s">
        <v>451</v>
      </c>
      <c r="C421" s="64">
        <v>40946</v>
      </c>
      <c r="D421">
        <v>31.6</v>
      </c>
      <c r="E421">
        <v>100.33702531645569</v>
      </c>
      <c r="F421" t="s">
        <v>427</v>
      </c>
      <c r="G421" s="64">
        <v>40946</v>
      </c>
      <c r="H421">
        <v>184.19</v>
      </c>
      <c r="I421">
        <v>100.35718551495738</v>
      </c>
      <c r="J421">
        <v>100.33702531645569</v>
      </c>
    </row>
    <row r="422" spans="1:10" x14ac:dyDescent="0.25">
      <c r="A422" s="36"/>
      <c r="B422" t="s">
        <v>451</v>
      </c>
      <c r="C422" s="64">
        <v>40947</v>
      </c>
      <c r="D422">
        <v>31.93</v>
      </c>
      <c r="E422">
        <v>100.34387723144378</v>
      </c>
      <c r="F422" t="s">
        <v>427</v>
      </c>
      <c r="G422" s="64">
        <v>40947</v>
      </c>
      <c r="H422">
        <v>185.48</v>
      </c>
      <c r="I422">
        <v>100.36165624326073</v>
      </c>
      <c r="J422">
        <v>100.34387723144378</v>
      </c>
    </row>
    <row r="423" spans="1:10" x14ac:dyDescent="0.25">
      <c r="A423" s="36"/>
      <c r="B423" t="s">
        <v>451</v>
      </c>
      <c r="C423" s="64">
        <v>40948</v>
      </c>
      <c r="D423">
        <v>32.58</v>
      </c>
      <c r="E423">
        <v>100.35696746470227</v>
      </c>
      <c r="F423" t="s">
        <v>427</v>
      </c>
      <c r="G423" s="64">
        <v>40948</v>
      </c>
      <c r="H423">
        <v>184.98</v>
      </c>
      <c r="I423">
        <v>100.35993080333009</v>
      </c>
      <c r="J423">
        <v>100.35696746470227</v>
      </c>
    </row>
    <row r="424" spans="1:10" x14ac:dyDescent="0.25">
      <c r="A424" s="36"/>
      <c r="B424" t="s">
        <v>451</v>
      </c>
      <c r="C424" s="64">
        <v>40949</v>
      </c>
      <c r="D424">
        <v>31.1</v>
      </c>
      <c r="E424">
        <v>100.32636655948554</v>
      </c>
      <c r="F424" t="s">
        <v>427</v>
      </c>
      <c r="G424" s="64">
        <v>40949</v>
      </c>
      <c r="H424">
        <v>185.54</v>
      </c>
      <c r="I424">
        <v>100.36186267112213</v>
      </c>
      <c r="J424">
        <v>100.32636655948554</v>
      </c>
    </row>
    <row r="425" spans="1:10" x14ac:dyDescent="0.25">
      <c r="A425" s="36"/>
      <c r="B425" t="s">
        <v>451</v>
      </c>
      <c r="C425" s="64">
        <v>40952</v>
      </c>
      <c r="D425">
        <v>31.49</v>
      </c>
      <c r="E425">
        <v>100.33470943156557</v>
      </c>
      <c r="F425" t="s">
        <v>427</v>
      </c>
      <c r="G425" s="64">
        <v>40952</v>
      </c>
      <c r="H425">
        <v>191.59</v>
      </c>
      <c r="I425">
        <v>100.38201367503522</v>
      </c>
      <c r="J425">
        <v>100.33470943156557</v>
      </c>
    </row>
    <row r="426" spans="1:10" x14ac:dyDescent="0.25">
      <c r="A426" s="36"/>
      <c r="B426" t="s">
        <v>451</v>
      </c>
      <c r="C426" s="64">
        <v>40953</v>
      </c>
      <c r="D426">
        <v>33.17</v>
      </c>
      <c r="E426">
        <v>100.36840518540851</v>
      </c>
      <c r="F426" t="s">
        <v>427</v>
      </c>
      <c r="G426" s="64">
        <v>40953</v>
      </c>
      <c r="H426">
        <v>191.3</v>
      </c>
      <c r="I426">
        <v>100.38107684265552</v>
      </c>
      <c r="J426">
        <v>100.36840518540851</v>
      </c>
    </row>
    <row r="427" spans="1:10" x14ac:dyDescent="0.25">
      <c r="A427" s="36"/>
      <c r="B427" t="s">
        <v>451</v>
      </c>
      <c r="C427" s="64">
        <v>40954</v>
      </c>
      <c r="D427">
        <v>33.6</v>
      </c>
      <c r="E427">
        <v>100.3764880952381</v>
      </c>
      <c r="F427" t="s">
        <v>427</v>
      </c>
      <c r="G427" s="64">
        <v>40954</v>
      </c>
      <c r="H427">
        <v>184.47</v>
      </c>
      <c r="I427">
        <v>100.35816121862634</v>
      </c>
      <c r="J427">
        <v>100.35816121862634</v>
      </c>
    </row>
    <row r="428" spans="1:10" x14ac:dyDescent="0.25">
      <c r="A428" s="36"/>
      <c r="B428" t="s">
        <v>451</v>
      </c>
      <c r="C428" s="64">
        <v>40955</v>
      </c>
      <c r="D428">
        <v>34.18</v>
      </c>
      <c r="E428">
        <v>100.38706846108836</v>
      </c>
      <c r="F428" t="s">
        <v>427</v>
      </c>
      <c r="G428" s="64">
        <v>40955</v>
      </c>
      <c r="H428">
        <v>179.93</v>
      </c>
      <c r="I428">
        <v>100.34196632023564</v>
      </c>
      <c r="J428">
        <v>100.34196632023564</v>
      </c>
    </row>
    <row r="429" spans="1:10" x14ac:dyDescent="0.25">
      <c r="A429" s="36"/>
      <c r="B429" t="s">
        <v>451</v>
      </c>
      <c r="C429" s="64">
        <v>40956</v>
      </c>
      <c r="D429">
        <v>34.97</v>
      </c>
      <c r="E429">
        <v>100.40091507006005</v>
      </c>
      <c r="F429" t="s">
        <v>427</v>
      </c>
      <c r="G429" s="64">
        <v>40956</v>
      </c>
      <c r="H429">
        <v>182.5</v>
      </c>
      <c r="I429">
        <v>100.35123287671233</v>
      </c>
      <c r="J429">
        <v>100.35123287671233</v>
      </c>
    </row>
    <row r="430" spans="1:10" x14ac:dyDescent="0.25">
      <c r="A430" s="36"/>
      <c r="B430" t="s">
        <v>451</v>
      </c>
      <c r="C430" s="64">
        <v>40960</v>
      </c>
      <c r="D430">
        <v>34.5</v>
      </c>
      <c r="E430">
        <v>100.39275362318841</v>
      </c>
      <c r="F430" t="s">
        <v>427</v>
      </c>
      <c r="G430" s="64">
        <v>40960</v>
      </c>
      <c r="H430">
        <v>182.26</v>
      </c>
      <c r="I430">
        <v>100.35037858005047</v>
      </c>
      <c r="J430">
        <v>100.35037858005047</v>
      </c>
    </row>
    <row r="431" spans="1:10" x14ac:dyDescent="0.25">
      <c r="A431" s="36"/>
      <c r="B431" t="s">
        <v>451</v>
      </c>
      <c r="C431" s="64">
        <v>40961</v>
      </c>
      <c r="D431">
        <v>34.22</v>
      </c>
      <c r="E431">
        <v>100.38778492109877</v>
      </c>
      <c r="F431" t="s">
        <v>427</v>
      </c>
      <c r="G431" s="64">
        <v>40961</v>
      </c>
      <c r="H431">
        <v>180.58</v>
      </c>
      <c r="I431">
        <v>100.34433492081072</v>
      </c>
      <c r="J431">
        <v>100.34433492081072</v>
      </c>
    </row>
    <row r="432" spans="1:10" x14ac:dyDescent="0.25">
      <c r="A432" s="36"/>
      <c r="B432" t="s">
        <v>451</v>
      </c>
      <c r="C432" s="64">
        <v>40962</v>
      </c>
      <c r="D432">
        <v>34.53</v>
      </c>
      <c r="E432">
        <v>100.3932812047495</v>
      </c>
      <c r="F432" t="s">
        <v>427</v>
      </c>
      <c r="G432" s="64">
        <v>40962</v>
      </c>
      <c r="H432">
        <v>178.89</v>
      </c>
      <c r="I432">
        <v>100.33814075688971</v>
      </c>
      <c r="J432">
        <v>100.33814075688971</v>
      </c>
    </row>
    <row r="433" spans="1:10" x14ac:dyDescent="0.25">
      <c r="A433" s="36"/>
      <c r="B433" t="s">
        <v>451</v>
      </c>
      <c r="C433" s="64">
        <v>40963</v>
      </c>
      <c r="D433">
        <v>33.75</v>
      </c>
      <c r="E433">
        <v>100.37925925925926</v>
      </c>
      <c r="F433" t="s">
        <v>427</v>
      </c>
      <c r="G433" s="64">
        <v>40963</v>
      </c>
      <c r="H433">
        <v>179.13</v>
      </c>
      <c r="I433">
        <v>100.33902752191146</v>
      </c>
      <c r="J433">
        <v>100.33902752191146</v>
      </c>
    </row>
    <row r="434" spans="1:10" x14ac:dyDescent="0.25">
      <c r="A434" s="36"/>
      <c r="B434" t="s">
        <v>451</v>
      </c>
      <c r="C434" s="64">
        <v>40966</v>
      </c>
      <c r="D434">
        <v>33.619999999999997</v>
      </c>
      <c r="E434">
        <v>100.37685901249256</v>
      </c>
      <c r="F434" t="s">
        <v>427</v>
      </c>
      <c r="G434" s="64">
        <v>40966</v>
      </c>
      <c r="H434">
        <v>178.53</v>
      </c>
      <c r="I434">
        <v>100.33680613902425</v>
      </c>
      <c r="J434">
        <v>100.33680613902425</v>
      </c>
    </row>
    <row r="435" spans="1:10" x14ac:dyDescent="0.25">
      <c r="A435" s="36"/>
      <c r="B435" t="s">
        <v>451</v>
      </c>
      <c r="C435" s="64">
        <v>40967</v>
      </c>
      <c r="D435">
        <v>33.81</v>
      </c>
      <c r="E435">
        <v>100.38036083998817</v>
      </c>
      <c r="F435" t="s">
        <v>427</v>
      </c>
      <c r="G435" s="64">
        <v>40967</v>
      </c>
      <c r="H435">
        <v>183.8</v>
      </c>
      <c r="I435">
        <v>100.35582154515778</v>
      </c>
      <c r="J435">
        <v>100.35582154515778</v>
      </c>
    </row>
    <row r="436" spans="1:10" x14ac:dyDescent="0.25">
      <c r="A436" s="36"/>
      <c r="B436" t="s">
        <v>451</v>
      </c>
      <c r="C436" s="64">
        <v>40968</v>
      </c>
      <c r="D436">
        <v>33.409999999999997</v>
      </c>
      <c r="E436">
        <v>100.37294223286442</v>
      </c>
      <c r="F436" t="s">
        <v>427</v>
      </c>
      <c r="G436" s="64">
        <v>40968</v>
      </c>
      <c r="H436">
        <v>179.69</v>
      </c>
      <c r="I436">
        <v>100.34108742834883</v>
      </c>
      <c r="J436">
        <v>100.34108742834883</v>
      </c>
    </row>
    <row r="437" spans="1:10" x14ac:dyDescent="0.25">
      <c r="A437" s="36"/>
      <c r="B437" t="s">
        <v>451</v>
      </c>
      <c r="C437" s="64">
        <v>40969</v>
      </c>
      <c r="D437">
        <v>34.409999999999997</v>
      </c>
      <c r="E437">
        <v>100.3911653589073</v>
      </c>
      <c r="F437" t="s">
        <v>427</v>
      </c>
      <c r="G437" s="64">
        <v>40969</v>
      </c>
      <c r="H437">
        <v>180.04</v>
      </c>
      <c r="I437">
        <v>100.34236836258609</v>
      </c>
      <c r="J437">
        <v>100.34236836258609</v>
      </c>
    </row>
    <row r="438" spans="1:10" x14ac:dyDescent="0.25">
      <c r="A438" s="36"/>
      <c r="B438" t="s">
        <v>451</v>
      </c>
      <c r="C438" s="64">
        <v>40970</v>
      </c>
      <c r="D438">
        <v>34.04</v>
      </c>
      <c r="E438">
        <v>100.38454759106934</v>
      </c>
      <c r="F438" t="s">
        <v>427</v>
      </c>
      <c r="G438" s="64">
        <v>40970</v>
      </c>
      <c r="H438">
        <v>179.3</v>
      </c>
      <c r="I438">
        <v>100.33965421081986</v>
      </c>
      <c r="J438">
        <v>100.33965421081986</v>
      </c>
    </row>
    <row r="439" spans="1:10" x14ac:dyDescent="0.25">
      <c r="A439" s="36"/>
      <c r="B439" t="s">
        <v>451</v>
      </c>
      <c r="C439" s="64">
        <v>40973</v>
      </c>
      <c r="D439">
        <v>33.770000000000003</v>
      </c>
      <c r="E439">
        <v>100.37962688777021</v>
      </c>
      <c r="F439" t="s">
        <v>427</v>
      </c>
      <c r="G439" s="64">
        <v>40973</v>
      </c>
      <c r="H439">
        <v>180.26</v>
      </c>
      <c r="I439">
        <v>100.34317097525796</v>
      </c>
      <c r="J439">
        <v>100.34317097525796</v>
      </c>
    </row>
    <row r="440" spans="1:10" x14ac:dyDescent="0.25">
      <c r="A440" s="36"/>
      <c r="B440" t="s">
        <v>451</v>
      </c>
      <c r="C440" s="64">
        <v>40974</v>
      </c>
      <c r="D440">
        <v>33.11</v>
      </c>
      <c r="E440">
        <v>100.36726064633041</v>
      </c>
      <c r="F440" t="s">
        <v>427</v>
      </c>
      <c r="G440" s="64">
        <v>40974</v>
      </c>
      <c r="H440">
        <v>181.09</v>
      </c>
      <c r="I440">
        <v>100.34618145673421</v>
      </c>
      <c r="J440">
        <v>100.34618145673421</v>
      </c>
    </row>
    <row r="441" spans="1:10" x14ac:dyDescent="0.25">
      <c r="A441" s="36"/>
      <c r="B441" t="s">
        <v>451</v>
      </c>
      <c r="C441" s="64">
        <v>40975</v>
      </c>
      <c r="D441">
        <v>33.119999999999997</v>
      </c>
      <c r="E441">
        <v>100.36745169082126</v>
      </c>
      <c r="F441" t="s">
        <v>427</v>
      </c>
      <c r="G441" s="64">
        <v>40975</v>
      </c>
      <c r="H441">
        <v>183.77</v>
      </c>
      <c r="I441">
        <v>100.3557163846112</v>
      </c>
      <c r="J441">
        <v>100.3557163846112</v>
      </c>
    </row>
    <row r="442" spans="1:10" x14ac:dyDescent="0.25">
      <c r="A442" s="36"/>
      <c r="B442" t="s">
        <v>451</v>
      </c>
      <c r="C442" s="64">
        <v>40976</v>
      </c>
      <c r="D442">
        <v>33.07</v>
      </c>
      <c r="E442">
        <v>100.36649531297249</v>
      </c>
      <c r="F442" t="s">
        <v>427</v>
      </c>
      <c r="G442" s="64">
        <v>40976</v>
      </c>
      <c r="H442">
        <v>187.64</v>
      </c>
      <c r="I442">
        <v>100.36900447665742</v>
      </c>
      <c r="J442">
        <v>100.36649531297249</v>
      </c>
    </row>
    <row r="443" spans="1:10" x14ac:dyDescent="0.25">
      <c r="A443" s="36"/>
      <c r="B443" t="s">
        <v>451</v>
      </c>
      <c r="C443" s="64">
        <v>40977</v>
      </c>
      <c r="D443">
        <v>34.74</v>
      </c>
      <c r="E443">
        <v>100.39694876223373</v>
      </c>
      <c r="F443" t="s">
        <v>427</v>
      </c>
      <c r="G443" s="64">
        <v>40977</v>
      </c>
      <c r="H443">
        <v>184.32</v>
      </c>
      <c r="I443">
        <v>100.35763888888889</v>
      </c>
      <c r="J443">
        <v>100.35763888888889</v>
      </c>
    </row>
    <row r="444" spans="1:10" x14ac:dyDescent="0.25">
      <c r="A444" s="36"/>
      <c r="B444" t="s">
        <v>451</v>
      </c>
      <c r="C444" s="64">
        <v>40980</v>
      </c>
      <c r="D444">
        <v>36.01</v>
      </c>
      <c r="E444">
        <v>100.41821716189948</v>
      </c>
      <c r="F444" t="s">
        <v>427</v>
      </c>
      <c r="G444" s="64">
        <v>40980</v>
      </c>
      <c r="H444">
        <v>183.39</v>
      </c>
      <c r="I444">
        <v>100.35438137303015</v>
      </c>
      <c r="J444">
        <v>100.35438137303015</v>
      </c>
    </row>
    <row r="445" spans="1:10" x14ac:dyDescent="0.25">
      <c r="A445" s="36"/>
      <c r="B445" t="s">
        <v>451</v>
      </c>
      <c r="C445" s="64">
        <v>40981</v>
      </c>
      <c r="D445">
        <v>36.090000000000003</v>
      </c>
      <c r="E445">
        <v>100.4195067885841</v>
      </c>
      <c r="F445" t="s">
        <v>427</v>
      </c>
      <c r="G445" s="64">
        <v>40981</v>
      </c>
      <c r="H445">
        <v>184.59</v>
      </c>
      <c r="I445">
        <v>100.35857847120646</v>
      </c>
      <c r="J445">
        <v>100.35857847120646</v>
      </c>
    </row>
    <row r="446" spans="1:10" x14ac:dyDescent="0.25">
      <c r="A446" s="36"/>
      <c r="B446" t="s">
        <v>451</v>
      </c>
      <c r="C446" s="64">
        <v>40982</v>
      </c>
      <c r="D446">
        <v>35.29</v>
      </c>
      <c r="E446">
        <v>100.4063474071975</v>
      </c>
      <c r="F446" t="s">
        <v>427</v>
      </c>
      <c r="G446" s="64">
        <v>40982</v>
      </c>
      <c r="H446">
        <v>182.26</v>
      </c>
      <c r="I446">
        <v>100.35037858005047</v>
      </c>
      <c r="J446">
        <v>100.35037858005047</v>
      </c>
    </row>
    <row r="447" spans="1:10" x14ac:dyDescent="0.25">
      <c r="A447" s="36"/>
      <c r="B447" t="s">
        <v>451</v>
      </c>
      <c r="C447" s="64">
        <v>40983</v>
      </c>
      <c r="D447">
        <v>35</v>
      </c>
      <c r="E447">
        <v>100.40142857142857</v>
      </c>
      <c r="F447" t="s">
        <v>427</v>
      </c>
      <c r="G447" s="64">
        <v>40983</v>
      </c>
      <c r="H447">
        <v>184.43</v>
      </c>
      <c r="I447">
        <v>100.35802201377216</v>
      </c>
      <c r="J447">
        <v>100.35802201377216</v>
      </c>
    </row>
    <row r="448" spans="1:10" x14ac:dyDescent="0.25">
      <c r="A448" s="36"/>
      <c r="B448" t="s">
        <v>451</v>
      </c>
      <c r="C448" s="64">
        <v>40984</v>
      </c>
      <c r="D448">
        <v>35.32</v>
      </c>
      <c r="E448">
        <v>100.40685164212911</v>
      </c>
      <c r="F448" t="s">
        <v>427</v>
      </c>
      <c r="G448" s="64">
        <v>40984</v>
      </c>
      <c r="H448">
        <v>185.05</v>
      </c>
      <c r="I448">
        <v>100.36017292623615</v>
      </c>
      <c r="J448">
        <v>100.36017292623615</v>
      </c>
    </row>
    <row r="449" spans="1:10" x14ac:dyDescent="0.25">
      <c r="A449" s="36"/>
      <c r="B449" t="s">
        <v>451</v>
      </c>
      <c r="C449" s="64">
        <v>40987</v>
      </c>
      <c r="D449">
        <v>34.979999999999997</v>
      </c>
      <c r="E449">
        <v>100.4010863350486</v>
      </c>
      <c r="F449" t="s">
        <v>427</v>
      </c>
      <c r="G449" s="64">
        <v>40987</v>
      </c>
      <c r="H449">
        <v>185.52</v>
      </c>
      <c r="I449">
        <v>100.36179387667097</v>
      </c>
      <c r="J449">
        <v>100.36179387667097</v>
      </c>
    </row>
    <row r="450" spans="1:10" x14ac:dyDescent="0.25">
      <c r="A450" s="36"/>
      <c r="B450" t="s">
        <v>451</v>
      </c>
      <c r="C450" s="64">
        <v>40988</v>
      </c>
      <c r="D450">
        <v>34.96</v>
      </c>
      <c r="E450">
        <v>100.40074370709382</v>
      </c>
      <c r="F450" t="s">
        <v>427</v>
      </c>
      <c r="G450" s="64">
        <v>40988</v>
      </c>
      <c r="H450">
        <v>192.33</v>
      </c>
      <c r="I450">
        <v>100.38439141059636</v>
      </c>
      <c r="J450">
        <v>100.38439141059636</v>
      </c>
    </row>
    <row r="451" spans="1:10" x14ac:dyDescent="0.25">
      <c r="A451" s="36"/>
      <c r="B451" t="s">
        <v>451</v>
      </c>
      <c r="C451" s="64">
        <v>40989</v>
      </c>
      <c r="D451">
        <v>35.15</v>
      </c>
      <c r="E451">
        <v>100.40398293029872</v>
      </c>
      <c r="F451" t="s">
        <v>427</v>
      </c>
      <c r="G451" s="64">
        <v>40989</v>
      </c>
      <c r="H451">
        <v>191.73</v>
      </c>
      <c r="I451">
        <v>100.3824649246336</v>
      </c>
      <c r="J451">
        <v>100.3824649246336</v>
      </c>
    </row>
    <row r="452" spans="1:10" x14ac:dyDescent="0.25">
      <c r="A452" s="36"/>
      <c r="B452" t="s">
        <v>451</v>
      </c>
      <c r="C452" s="64">
        <v>40990</v>
      </c>
      <c r="D452">
        <v>34.4</v>
      </c>
      <c r="E452">
        <v>100.39098837209302</v>
      </c>
      <c r="F452" t="s">
        <v>427</v>
      </c>
      <c r="G452" s="64">
        <v>40990</v>
      </c>
      <c r="H452">
        <v>192.4</v>
      </c>
      <c r="I452">
        <v>100.38461538461539</v>
      </c>
      <c r="J452">
        <v>100.38461538461539</v>
      </c>
    </row>
    <row r="453" spans="1:10" x14ac:dyDescent="0.25">
      <c r="A453" s="36"/>
      <c r="B453" t="s">
        <v>451</v>
      </c>
      <c r="C453" s="64">
        <v>40991</v>
      </c>
      <c r="D453">
        <v>34.08</v>
      </c>
      <c r="E453">
        <v>100.38526995305165</v>
      </c>
      <c r="F453" t="s">
        <v>427</v>
      </c>
      <c r="G453" s="64">
        <v>40991</v>
      </c>
      <c r="H453">
        <v>195.04</v>
      </c>
      <c r="I453">
        <v>100.39294503691551</v>
      </c>
      <c r="J453">
        <v>100.38526995305165</v>
      </c>
    </row>
    <row r="454" spans="1:10" x14ac:dyDescent="0.25">
      <c r="A454" s="36"/>
      <c r="B454" t="s">
        <v>451</v>
      </c>
      <c r="C454" s="64">
        <v>40994</v>
      </c>
      <c r="D454">
        <v>37.4</v>
      </c>
      <c r="E454">
        <v>100.43983957219251</v>
      </c>
      <c r="F454" t="s">
        <v>427</v>
      </c>
      <c r="G454" s="64">
        <v>40994</v>
      </c>
      <c r="H454">
        <v>202.87</v>
      </c>
      <c r="I454">
        <v>100.41637501848474</v>
      </c>
      <c r="J454">
        <v>100.41637501848474</v>
      </c>
    </row>
    <row r="455" spans="1:10" x14ac:dyDescent="0.25">
      <c r="A455" s="36"/>
      <c r="B455" t="s">
        <v>451</v>
      </c>
      <c r="C455" s="64">
        <v>40995</v>
      </c>
      <c r="D455">
        <v>37.94</v>
      </c>
      <c r="E455">
        <v>100.44781233526621</v>
      </c>
      <c r="F455" t="s">
        <v>427</v>
      </c>
      <c r="G455" s="64">
        <v>40995</v>
      </c>
      <c r="H455">
        <v>205.44</v>
      </c>
      <c r="I455">
        <v>100.42367601246106</v>
      </c>
      <c r="J455">
        <v>100.42367601246106</v>
      </c>
    </row>
    <row r="456" spans="1:10" x14ac:dyDescent="0.25">
      <c r="A456" s="36"/>
      <c r="B456" t="s">
        <v>451</v>
      </c>
      <c r="C456" s="64">
        <v>40996</v>
      </c>
      <c r="D456">
        <v>37.85</v>
      </c>
      <c r="E456">
        <v>100.44649933949802</v>
      </c>
      <c r="F456" t="s">
        <v>427</v>
      </c>
      <c r="G456" s="64">
        <v>40996</v>
      </c>
      <c r="H456">
        <v>201.16</v>
      </c>
      <c r="I456">
        <v>100.41141379996023</v>
      </c>
      <c r="J456">
        <v>100.41141379996023</v>
      </c>
    </row>
    <row r="457" spans="1:10" x14ac:dyDescent="0.25">
      <c r="A457" s="36"/>
      <c r="B457" t="s">
        <v>451</v>
      </c>
      <c r="C457" s="64">
        <v>40997</v>
      </c>
      <c r="D457">
        <v>37.33</v>
      </c>
      <c r="E457">
        <v>100.43878917760514</v>
      </c>
      <c r="F457" t="s">
        <v>427</v>
      </c>
      <c r="G457" s="64">
        <v>40997</v>
      </c>
      <c r="H457">
        <v>204.61</v>
      </c>
      <c r="I457">
        <v>100.42133815551537</v>
      </c>
      <c r="J457">
        <v>100.42133815551537</v>
      </c>
    </row>
    <row r="458" spans="1:10" x14ac:dyDescent="0.25">
      <c r="A458" s="36"/>
      <c r="B458" t="s">
        <v>451</v>
      </c>
      <c r="C458" s="64">
        <v>40998</v>
      </c>
      <c r="D458">
        <v>37.24</v>
      </c>
      <c r="E458">
        <v>100.437432867884</v>
      </c>
      <c r="F458" t="s">
        <v>427</v>
      </c>
      <c r="G458" s="64">
        <v>40998</v>
      </c>
      <c r="H458">
        <v>202.51</v>
      </c>
      <c r="I458">
        <v>100.41533751419684</v>
      </c>
      <c r="J458">
        <v>100.41533751419684</v>
      </c>
    </row>
    <row r="459" spans="1:10" x14ac:dyDescent="0.25">
      <c r="A459" s="36"/>
      <c r="B459" t="s">
        <v>451</v>
      </c>
      <c r="C459" s="64">
        <v>41001</v>
      </c>
      <c r="D459">
        <v>36.58</v>
      </c>
      <c r="E459">
        <v>100.42728266812466</v>
      </c>
      <c r="F459" t="s">
        <v>427</v>
      </c>
      <c r="G459" s="64">
        <v>41001</v>
      </c>
      <c r="H459">
        <v>198.05</v>
      </c>
      <c r="I459">
        <v>100.40217116889674</v>
      </c>
      <c r="J459">
        <v>100.40217116889674</v>
      </c>
    </row>
    <row r="460" spans="1:10" x14ac:dyDescent="0.25">
      <c r="A460" s="36"/>
      <c r="B460" t="s">
        <v>451</v>
      </c>
      <c r="C460" s="64">
        <v>41002</v>
      </c>
      <c r="D460">
        <v>38.01</v>
      </c>
      <c r="E460">
        <v>100.44882925545909</v>
      </c>
      <c r="F460" t="s">
        <v>427</v>
      </c>
      <c r="G460" s="64">
        <v>41002</v>
      </c>
      <c r="H460">
        <v>199.66</v>
      </c>
      <c r="I460">
        <v>100.40699188620655</v>
      </c>
      <c r="J460">
        <v>100.40699188620655</v>
      </c>
    </row>
    <row r="461" spans="1:10" x14ac:dyDescent="0.25">
      <c r="A461" s="36"/>
      <c r="B461" t="s">
        <v>451</v>
      </c>
      <c r="C461" s="64">
        <v>41003</v>
      </c>
      <c r="D461">
        <v>35</v>
      </c>
      <c r="E461">
        <v>100.40142857142857</v>
      </c>
      <c r="F461" t="s">
        <v>427</v>
      </c>
      <c r="G461" s="64">
        <v>41003</v>
      </c>
      <c r="H461">
        <v>193.99</v>
      </c>
      <c r="I461">
        <v>100.38965926078664</v>
      </c>
      <c r="J461">
        <v>100.38965926078664</v>
      </c>
    </row>
    <row r="462" spans="1:10" x14ac:dyDescent="0.25">
      <c r="A462" s="36"/>
      <c r="B462" t="s">
        <v>451</v>
      </c>
      <c r="C462" s="64">
        <v>41004</v>
      </c>
      <c r="D462">
        <v>34.479999999999997</v>
      </c>
      <c r="E462">
        <v>100.39240139211137</v>
      </c>
      <c r="F462" t="s">
        <v>427</v>
      </c>
      <c r="G462" s="64">
        <v>41004</v>
      </c>
      <c r="H462">
        <v>194.39</v>
      </c>
      <c r="I462">
        <v>100.39091517053346</v>
      </c>
      <c r="J462">
        <v>100.39091517053346</v>
      </c>
    </row>
    <row r="463" spans="1:10" x14ac:dyDescent="0.25">
      <c r="A463" s="36"/>
      <c r="B463" t="s">
        <v>451</v>
      </c>
      <c r="C463" s="64">
        <v>41008</v>
      </c>
      <c r="D463">
        <v>33.15</v>
      </c>
      <c r="E463">
        <v>100.36802413273001</v>
      </c>
      <c r="F463" t="s">
        <v>427</v>
      </c>
      <c r="G463" s="64">
        <v>41008</v>
      </c>
      <c r="H463">
        <v>191.87</v>
      </c>
      <c r="I463">
        <v>100.38291551571376</v>
      </c>
      <c r="J463">
        <v>100.36802413273001</v>
      </c>
    </row>
    <row r="464" spans="1:10" x14ac:dyDescent="0.25">
      <c r="A464" s="36"/>
      <c r="B464" t="s">
        <v>451</v>
      </c>
      <c r="C464" s="64">
        <v>41009</v>
      </c>
      <c r="D464">
        <v>32.46</v>
      </c>
      <c r="E464">
        <v>100.35459026494146</v>
      </c>
      <c r="F464" t="s">
        <v>427</v>
      </c>
      <c r="G464" s="64">
        <v>41009</v>
      </c>
      <c r="H464">
        <v>186.98</v>
      </c>
      <c r="I464">
        <v>100.36677719542197</v>
      </c>
      <c r="J464">
        <v>100.35459026494146</v>
      </c>
    </row>
    <row r="465" spans="1:10" x14ac:dyDescent="0.25">
      <c r="A465" s="36"/>
      <c r="B465" t="s">
        <v>451</v>
      </c>
      <c r="C465" s="64">
        <v>41010</v>
      </c>
      <c r="D465">
        <v>33.090000000000003</v>
      </c>
      <c r="E465">
        <v>100.36687821093986</v>
      </c>
      <c r="F465" t="s">
        <v>427</v>
      </c>
      <c r="G465" s="64">
        <v>41010</v>
      </c>
      <c r="H465">
        <v>187.97</v>
      </c>
      <c r="I465">
        <v>100.37011225195509</v>
      </c>
      <c r="J465">
        <v>100.36687821093986</v>
      </c>
    </row>
    <row r="466" spans="1:10" x14ac:dyDescent="0.25">
      <c r="A466" s="36"/>
      <c r="B466" t="s">
        <v>451</v>
      </c>
      <c r="C466" s="64">
        <v>41011</v>
      </c>
      <c r="D466">
        <v>33.44</v>
      </c>
      <c r="E466">
        <v>100.37350478468899</v>
      </c>
      <c r="F466" t="s">
        <v>427</v>
      </c>
      <c r="G466" s="64">
        <v>41011</v>
      </c>
      <c r="H466">
        <v>190.69</v>
      </c>
      <c r="I466">
        <v>100.3790969636583</v>
      </c>
      <c r="J466">
        <v>100.37350478468899</v>
      </c>
    </row>
    <row r="467" spans="1:10" x14ac:dyDescent="0.25">
      <c r="A467" s="36"/>
      <c r="B467" t="s">
        <v>451</v>
      </c>
      <c r="C467" s="64">
        <v>41012</v>
      </c>
      <c r="D467">
        <v>33.590000000000003</v>
      </c>
      <c r="E467">
        <v>100.3763024709735</v>
      </c>
      <c r="F467" t="s">
        <v>427</v>
      </c>
      <c r="G467" s="64">
        <v>41012</v>
      </c>
      <c r="H467">
        <v>188.46</v>
      </c>
      <c r="I467">
        <v>100.37174997346916</v>
      </c>
      <c r="J467">
        <v>100.37174997346916</v>
      </c>
    </row>
    <row r="468" spans="1:10" x14ac:dyDescent="0.25">
      <c r="A468" s="36"/>
      <c r="B468" t="s">
        <v>451</v>
      </c>
      <c r="C468" s="64">
        <v>41015</v>
      </c>
      <c r="D468">
        <v>32.25</v>
      </c>
      <c r="E468">
        <v>100.35038759689922</v>
      </c>
      <c r="F468" t="s">
        <v>427</v>
      </c>
      <c r="G468" s="64">
        <v>41015</v>
      </c>
      <c r="H468">
        <v>185.5</v>
      </c>
      <c r="I468">
        <v>100.36172506738545</v>
      </c>
      <c r="J468">
        <v>100.35038759689922</v>
      </c>
    </row>
    <row r="469" spans="1:10" x14ac:dyDescent="0.25">
      <c r="A469" s="36"/>
      <c r="B469" t="s">
        <v>451</v>
      </c>
      <c r="C469" s="64">
        <v>41016</v>
      </c>
      <c r="D469">
        <v>32.24</v>
      </c>
      <c r="E469">
        <v>100.35018610421837</v>
      </c>
      <c r="F469" t="s">
        <v>427</v>
      </c>
      <c r="G469" s="64">
        <v>41016</v>
      </c>
      <c r="H469">
        <v>188.39</v>
      </c>
      <c r="I469">
        <v>100.37151653484793</v>
      </c>
      <c r="J469">
        <v>100.35018610421837</v>
      </c>
    </row>
    <row r="470" spans="1:10" x14ac:dyDescent="0.25">
      <c r="A470" s="36"/>
      <c r="B470" t="s">
        <v>451</v>
      </c>
      <c r="C470" s="64">
        <v>41017</v>
      </c>
      <c r="D470">
        <v>32.659999999999997</v>
      </c>
      <c r="E470">
        <v>100.35854255970607</v>
      </c>
      <c r="F470" t="s">
        <v>427</v>
      </c>
      <c r="G470" s="64">
        <v>41017</v>
      </c>
      <c r="H470">
        <v>191.07</v>
      </c>
      <c r="I470">
        <v>100.38033181556497</v>
      </c>
      <c r="J470">
        <v>100.35854255970607</v>
      </c>
    </row>
    <row r="471" spans="1:10" x14ac:dyDescent="0.25">
      <c r="A471" s="36"/>
      <c r="B471" t="s">
        <v>451</v>
      </c>
      <c r="C471" s="64">
        <v>41018</v>
      </c>
      <c r="D471">
        <v>33.159999999999997</v>
      </c>
      <c r="E471">
        <v>100.36821471652594</v>
      </c>
      <c r="F471" t="s">
        <v>427</v>
      </c>
      <c r="G471" s="64">
        <v>41018</v>
      </c>
      <c r="H471">
        <v>191.1</v>
      </c>
      <c r="I471">
        <v>100.38042909471481</v>
      </c>
      <c r="J471">
        <v>100.36821471652594</v>
      </c>
    </row>
    <row r="472" spans="1:10" x14ac:dyDescent="0.25">
      <c r="A472" s="36"/>
      <c r="B472" t="s">
        <v>451</v>
      </c>
      <c r="C472" s="64">
        <v>41019</v>
      </c>
      <c r="D472">
        <v>33.159999999999997</v>
      </c>
      <c r="E472">
        <v>100.36821471652594</v>
      </c>
      <c r="F472" t="s">
        <v>427</v>
      </c>
      <c r="G472" s="64">
        <v>41019</v>
      </c>
      <c r="H472">
        <v>189.98</v>
      </c>
      <c r="I472">
        <v>100.37677650278977</v>
      </c>
      <c r="J472">
        <v>100.36821471652594</v>
      </c>
    </row>
    <row r="473" spans="1:10" x14ac:dyDescent="0.25">
      <c r="A473" s="36"/>
      <c r="B473" t="s">
        <v>451</v>
      </c>
      <c r="C473" s="64">
        <v>41022</v>
      </c>
      <c r="D473">
        <v>31.94</v>
      </c>
      <c r="E473">
        <v>100.34408265497808</v>
      </c>
      <c r="F473" t="s">
        <v>427</v>
      </c>
      <c r="G473" s="64">
        <v>41022</v>
      </c>
      <c r="H473">
        <v>188.24</v>
      </c>
      <c r="I473">
        <v>100.37101572460689</v>
      </c>
      <c r="J473">
        <v>100.34408265497808</v>
      </c>
    </row>
    <row r="474" spans="1:10" x14ac:dyDescent="0.25">
      <c r="A474" s="36"/>
      <c r="B474" t="s">
        <v>451</v>
      </c>
      <c r="C474" s="64">
        <v>41023</v>
      </c>
      <c r="D474">
        <v>31.82</v>
      </c>
      <c r="E474">
        <v>100.34160905091137</v>
      </c>
      <c r="F474" t="s">
        <v>427</v>
      </c>
      <c r="G474" s="64">
        <v>41023</v>
      </c>
      <c r="H474">
        <v>190.33</v>
      </c>
      <c r="I474">
        <v>100.3779225555614</v>
      </c>
      <c r="J474">
        <v>100.34160905091137</v>
      </c>
    </row>
    <row r="475" spans="1:10" x14ac:dyDescent="0.25">
      <c r="A475" s="36"/>
      <c r="B475" t="s">
        <v>451</v>
      </c>
      <c r="C475" s="64">
        <v>41024</v>
      </c>
      <c r="D475">
        <v>32.909999999999997</v>
      </c>
      <c r="E475">
        <v>100.36341537526587</v>
      </c>
      <c r="F475" t="s">
        <v>427</v>
      </c>
      <c r="G475" s="64">
        <v>41024</v>
      </c>
      <c r="H475">
        <v>194.42</v>
      </c>
      <c r="I475">
        <v>100.39100915543668</v>
      </c>
      <c r="J475">
        <v>100.36341537526587</v>
      </c>
    </row>
    <row r="476" spans="1:10" x14ac:dyDescent="0.25">
      <c r="A476" s="36"/>
      <c r="B476" t="s">
        <v>451</v>
      </c>
      <c r="C476" s="64">
        <v>41025</v>
      </c>
      <c r="D476">
        <v>33.49</v>
      </c>
      <c r="E476">
        <v>100.3744401313825</v>
      </c>
      <c r="F476" t="s">
        <v>427</v>
      </c>
      <c r="G476" s="64">
        <v>41025</v>
      </c>
      <c r="H476">
        <v>195.99</v>
      </c>
      <c r="I476">
        <v>100.39588754528292</v>
      </c>
      <c r="J476">
        <v>100.3744401313825</v>
      </c>
    </row>
    <row r="477" spans="1:10" x14ac:dyDescent="0.25">
      <c r="A477" s="36"/>
      <c r="B477" t="s">
        <v>451</v>
      </c>
      <c r="C477" s="64">
        <v>41026</v>
      </c>
      <c r="D477">
        <v>33.340000000000003</v>
      </c>
      <c r="E477">
        <v>100.37162567486503</v>
      </c>
      <c r="F477" t="s">
        <v>427</v>
      </c>
      <c r="G477" s="64">
        <v>41026</v>
      </c>
      <c r="H477">
        <v>226.85</v>
      </c>
      <c r="I477">
        <v>100.47806920872823</v>
      </c>
      <c r="J477">
        <v>100.37162567486503</v>
      </c>
    </row>
    <row r="478" spans="1:10" x14ac:dyDescent="0.25">
      <c r="A478" s="36"/>
      <c r="B478" t="s">
        <v>451</v>
      </c>
      <c r="C478" s="64">
        <v>41029</v>
      </c>
      <c r="D478">
        <v>33.130000000000003</v>
      </c>
      <c r="E478">
        <v>100.36764261998189</v>
      </c>
      <c r="F478" t="s">
        <v>427</v>
      </c>
      <c r="G478" s="64">
        <v>41029</v>
      </c>
      <c r="H478">
        <v>231.9</v>
      </c>
      <c r="I478">
        <v>100.48943510133678</v>
      </c>
      <c r="J478">
        <v>100.36764261998189</v>
      </c>
    </row>
    <row r="479" spans="1:10" x14ac:dyDescent="0.25">
      <c r="A479" s="36"/>
      <c r="B479" t="s">
        <v>451</v>
      </c>
      <c r="C479" s="64">
        <v>41030</v>
      </c>
      <c r="D479">
        <v>33.78</v>
      </c>
      <c r="E479">
        <v>100.37981053878035</v>
      </c>
      <c r="F479" t="s">
        <v>427</v>
      </c>
      <c r="G479" s="64">
        <v>41030</v>
      </c>
      <c r="H479">
        <v>230.04</v>
      </c>
      <c r="I479">
        <v>100.48530690314728</v>
      </c>
      <c r="J479">
        <v>100.37981053878035</v>
      </c>
    </row>
    <row r="480" spans="1:10" x14ac:dyDescent="0.25">
      <c r="A480" s="36"/>
      <c r="B480" t="s">
        <v>451</v>
      </c>
      <c r="C480" s="64">
        <v>41031</v>
      </c>
      <c r="D480">
        <v>33.94</v>
      </c>
      <c r="E480">
        <v>100.38273423688862</v>
      </c>
      <c r="F480" t="s">
        <v>427</v>
      </c>
      <c r="G480" s="64">
        <v>41031</v>
      </c>
      <c r="H480">
        <v>230.25</v>
      </c>
      <c r="I480">
        <v>100.48577633007601</v>
      </c>
      <c r="J480">
        <v>100.38273423688862</v>
      </c>
    </row>
    <row r="481" spans="1:10" x14ac:dyDescent="0.25">
      <c r="A481" s="36"/>
      <c r="B481" t="s">
        <v>451</v>
      </c>
      <c r="C481" s="64">
        <v>41032</v>
      </c>
      <c r="D481">
        <v>32.46</v>
      </c>
      <c r="E481">
        <v>100.35459026494146</v>
      </c>
      <c r="F481" t="s">
        <v>427</v>
      </c>
      <c r="G481" s="64">
        <v>41032</v>
      </c>
      <c r="H481">
        <v>229.45</v>
      </c>
      <c r="I481">
        <v>100.48398343865766</v>
      </c>
      <c r="J481">
        <v>100.35459026494146</v>
      </c>
    </row>
    <row r="482" spans="1:10" x14ac:dyDescent="0.25">
      <c r="A482" s="36"/>
      <c r="B482" t="s">
        <v>451</v>
      </c>
      <c r="C482" s="64">
        <v>41033</v>
      </c>
      <c r="D482">
        <v>31.83</v>
      </c>
      <c r="E482">
        <v>100.34181589695255</v>
      </c>
      <c r="F482" t="s">
        <v>427</v>
      </c>
      <c r="G482" s="64">
        <v>41033</v>
      </c>
      <c r="H482">
        <v>223.99</v>
      </c>
      <c r="I482">
        <v>100.47140497343631</v>
      </c>
      <c r="J482">
        <v>100.34181589695255</v>
      </c>
    </row>
    <row r="483" spans="1:10" x14ac:dyDescent="0.25">
      <c r="A483" s="36"/>
      <c r="B483" t="s">
        <v>451</v>
      </c>
      <c r="C483" s="64">
        <v>41036</v>
      </c>
      <c r="D483">
        <v>32.47</v>
      </c>
      <c r="E483">
        <v>100.35478903603327</v>
      </c>
      <c r="F483" t="s">
        <v>427</v>
      </c>
      <c r="G483" s="64">
        <v>41036</v>
      </c>
      <c r="H483">
        <v>225.16</v>
      </c>
      <c r="I483">
        <v>100.47415171433647</v>
      </c>
      <c r="J483">
        <v>100.35478903603327</v>
      </c>
    </row>
    <row r="484" spans="1:10" x14ac:dyDescent="0.25">
      <c r="A484" s="36"/>
      <c r="B484" t="s">
        <v>451</v>
      </c>
      <c r="C484" s="64">
        <v>41037</v>
      </c>
      <c r="D484">
        <v>30.19</v>
      </c>
      <c r="E484">
        <v>100.30606160980457</v>
      </c>
      <c r="F484" t="s">
        <v>427</v>
      </c>
      <c r="G484" s="64">
        <v>41037</v>
      </c>
      <c r="H484">
        <v>223.9</v>
      </c>
      <c r="I484">
        <v>100.47119249665029</v>
      </c>
      <c r="J484">
        <v>100.30606160980457</v>
      </c>
    </row>
    <row r="485" spans="1:10" x14ac:dyDescent="0.25">
      <c r="A485" s="36"/>
      <c r="B485" t="s">
        <v>451</v>
      </c>
      <c r="C485" s="64">
        <v>41038</v>
      </c>
      <c r="D485">
        <v>30.06</v>
      </c>
      <c r="E485">
        <v>100.30306054557552</v>
      </c>
      <c r="F485" t="s">
        <v>427</v>
      </c>
      <c r="G485" s="64">
        <v>41038</v>
      </c>
      <c r="H485">
        <v>222.98</v>
      </c>
      <c r="I485">
        <v>100.46901067360301</v>
      </c>
      <c r="J485">
        <v>100.30306054557552</v>
      </c>
    </row>
    <row r="486" spans="1:10" x14ac:dyDescent="0.25">
      <c r="A486" s="36"/>
      <c r="B486" t="s">
        <v>451</v>
      </c>
      <c r="C486" s="64">
        <v>41039</v>
      </c>
      <c r="D486">
        <v>32.96</v>
      </c>
      <c r="E486">
        <v>100.36438106796116</v>
      </c>
      <c r="F486" t="s">
        <v>427</v>
      </c>
      <c r="G486" s="64">
        <v>41039</v>
      </c>
      <c r="H486">
        <v>226.69</v>
      </c>
      <c r="I486">
        <v>100.47770082491508</v>
      </c>
      <c r="J486">
        <v>100.36438106796116</v>
      </c>
    </row>
    <row r="487" spans="1:10" x14ac:dyDescent="0.25">
      <c r="A487" s="36"/>
      <c r="B487" t="s">
        <v>451</v>
      </c>
      <c r="C487" s="64">
        <v>41040</v>
      </c>
      <c r="D487">
        <v>32.25</v>
      </c>
      <c r="E487">
        <v>100.35038759689922</v>
      </c>
      <c r="F487" t="s">
        <v>427</v>
      </c>
      <c r="G487" s="64">
        <v>41040</v>
      </c>
      <c r="H487">
        <v>227.68</v>
      </c>
      <c r="I487">
        <v>100.47997189037245</v>
      </c>
      <c r="J487">
        <v>100.35038759689922</v>
      </c>
    </row>
    <row r="488" spans="1:10" x14ac:dyDescent="0.25">
      <c r="A488" s="36"/>
      <c r="B488" t="s">
        <v>451</v>
      </c>
      <c r="C488" s="64">
        <v>41043</v>
      </c>
      <c r="D488">
        <v>30.06</v>
      </c>
      <c r="E488">
        <v>100.30306054557552</v>
      </c>
      <c r="F488" t="s">
        <v>427</v>
      </c>
      <c r="G488" s="64">
        <v>41043</v>
      </c>
      <c r="H488">
        <v>222.93</v>
      </c>
      <c r="I488">
        <v>100.46889158031669</v>
      </c>
      <c r="J488">
        <v>100.30306054557552</v>
      </c>
    </row>
    <row r="489" spans="1:10" x14ac:dyDescent="0.25">
      <c r="A489" s="36"/>
      <c r="B489" t="s">
        <v>451</v>
      </c>
      <c r="C489" s="64">
        <v>41044</v>
      </c>
      <c r="D489">
        <v>29.43</v>
      </c>
      <c r="E489">
        <v>100.28814135236154</v>
      </c>
      <c r="F489" t="s">
        <v>427</v>
      </c>
      <c r="G489" s="64">
        <v>41044</v>
      </c>
      <c r="H489">
        <v>224.39</v>
      </c>
      <c r="I489">
        <v>100.47234725255136</v>
      </c>
      <c r="J489">
        <v>100.28814135236154</v>
      </c>
    </row>
    <row r="490" spans="1:10" x14ac:dyDescent="0.25">
      <c r="A490" s="36"/>
      <c r="B490" t="s">
        <v>451</v>
      </c>
      <c r="C490" s="64">
        <v>41045</v>
      </c>
      <c r="D490">
        <v>29.18</v>
      </c>
      <c r="E490">
        <v>100.2820424948595</v>
      </c>
      <c r="F490" t="s">
        <v>427</v>
      </c>
      <c r="G490" s="64">
        <v>41045</v>
      </c>
      <c r="H490">
        <v>224.06</v>
      </c>
      <c r="I490">
        <v>100.47157011514773</v>
      </c>
      <c r="J490">
        <v>100.2820424948595</v>
      </c>
    </row>
    <row r="491" spans="1:10" x14ac:dyDescent="0.25">
      <c r="A491" s="36"/>
      <c r="B491" t="s">
        <v>451</v>
      </c>
      <c r="C491" s="64">
        <v>41046</v>
      </c>
      <c r="D491">
        <v>28.57</v>
      </c>
      <c r="E491">
        <v>100.26671333566678</v>
      </c>
      <c r="F491" t="s">
        <v>427</v>
      </c>
      <c r="G491" s="64">
        <v>41046</v>
      </c>
      <c r="H491">
        <v>218.36</v>
      </c>
      <c r="I491">
        <v>100.45777614947792</v>
      </c>
      <c r="J491">
        <v>100.26671333566678</v>
      </c>
    </row>
    <row r="492" spans="1:10" x14ac:dyDescent="0.25">
      <c r="A492" s="36"/>
      <c r="B492" t="s">
        <v>451</v>
      </c>
      <c r="C492" s="64">
        <v>41047</v>
      </c>
      <c r="D492">
        <v>27.56</v>
      </c>
      <c r="E492">
        <v>100.23984034833092</v>
      </c>
      <c r="F492" t="s">
        <v>427</v>
      </c>
      <c r="G492" s="64">
        <v>41047</v>
      </c>
      <c r="H492">
        <v>213.85</v>
      </c>
      <c r="I492">
        <v>100.4463408931494</v>
      </c>
      <c r="J492">
        <v>100.23984034833092</v>
      </c>
    </row>
    <row r="493" spans="1:10" x14ac:dyDescent="0.25">
      <c r="A493" s="36"/>
      <c r="B493" t="s">
        <v>451</v>
      </c>
      <c r="C493" s="64">
        <v>41050</v>
      </c>
      <c r="D493">
        <v>28.77</v>
      </c>
      <c r="E493">
        <v>100.27181091414668</v>
      </c>
      <c r="F493" t="s">
        <v>427</v>
      </c>
      <c r="G493" s="64">
        <v>41050</v>
      </c>
      <c r="H493">
        <v>218.11</v>
      </c>
      <c r="I493">
        <v>100.45715464673789</v>
      </c>
      <c r="J493">
        <v>100.27181091414668</v>
      </c>
    </row>
    <row r="494" spans="1:10" x14ac:dyDescent="0.25">
      <c r="A494" s="36"/>
      <c r="B494" t="s">
        <v>451</v>
      </c>
      <c r="C494" s="64">
        <v>41051</v>
      </c>
      <c r="D494">
        <v>30.79</v>
      </c>
      <c r="E494">
        <v>100.31958428061058</v>
      </c>
      <c r="F494" t="s">
        <v>427</v>
      </c>
      <c r="G494" s="64">
        <v>41051</v>
      </c>
      <c r="H494">
        <v>215.33</v>
      </c>
      <c r="I494">
        <v>100.45014628709423</v>
      </c>
      <c r="J494">
        <v>100.31958428061058</v>
      </c>
    </row>
    <row r="495" spans="1:10" x14ac:dyDescent="0.25">
      <c r="A495" s="36"/>
      <c r="B495" t="s">
        <v>451</v>
      </c>
      <c r="C495" s="64">
        <v>41052</v>
      </c>
      <c r="D495">
        <v>31.02</v>
      </c>
      <c r="E495">
        <v>100.32462927143779</v>
      </c>
      <c r="F495" t="s">
        <v>427</v>
      </c>
      <c r="G495" s="64">
        <v>41052</v>
      </c>
      <c r="H495">
        <v>217.28</v>
      </c>
      <c r="I495">
        <v>100.45508100147275</v>
      </c>
      <c r="J495">
        <v>100.32462927143779</v>
      </c>
    </row>
    <row r="496" spans="1:10" x14ac:dyDescent="0.25">
      <c r="A496" s="36"/>
      <c r="B496" t="s">
        <v>451</v>
      </c>
      <c r="C496" s="64">
        <v>41053</v>
      </c>
      <c r="D496">
        <v>30.32</v>
      </c>
      <c r="E496">
        <v>100.30903693931398</v>
      </c>
      <c r="F496" t="s">
        <v>427</v>
      </c>
      <c r="G496" s="64">
        <v>41053</v>
      </c>
      <c r="H496">
        <v>215.24</v>
      </c>
      <c r="I496">
        <v>100.44991637242148</v>
      </c>
      <c r="J496">
        <v>100.30903693931398</v>
      </c>
    </row>
    <row r="497" spans="1:10" x14ac:dyDescent="0.25">
      <c r="A497" s="36"/>
      <c r="B497" t="s">
        <v>451</v>
      </c>
      <c r="C497" s="64">
        <v>41054</v>
      </c>
      <c r="D497">
        <v>29.81</v>
      </c>
      <c r="E497">
        <v>100.29721569942973</v>
      </c>
      <c r="F497" t="s">
        <v>427</v>
      </c>
      <c r="G497" s="64">
        <v>41054</v>
      </c>
      <c r="H497">
        <v>212.89</v>
      </c>
      <c r="I497">
        <v>100.44384423880878</v>
      </c>
      <c r="J497">
        <v>100.29721569942973</v>
      </c>
    </row>
    <row r="498" spans="1:10" x14ac:dyDescent="0.25">
      <c r="A498" s="36"/>
      <c r="B498" t="s">
        <v>451</v>
      </c>
      <c r="C498" s="64">
        <v>41058</v>
      </c>
      <c r="D498">
        <v>31.69</v>
      </c>
      <c r="E498">
        <v>100.33890817292522</v>
      </c>
      <c r="F498" t="s">
        <v>427</v>
      </c>
      <c r="G498" s="64">
        <v>41058</v>
      </c>
      <c r="H498">
        <v>214.75</v>
      </c>
      <c r="I498">
        <v>100.44866123399302</v>
      </c>
      <c r="J498">
        <v>100.33890817292522</v>
      </c>
    </row>
    <row r="499" spans="1:10" x14ac:dyDescent="0.25">
      <c r="A499" s="36"/>
      <c r="B499" t="s">
        <v>451</v>
      </c>
      <c r="C499" s="64">
        <v>41059</v>
      </c>
      <c r="D499">
        <v>30.41</v>
      </c>
      <c r="E499">
        <v>100.31108188096022</v>
      </c>
      <c r="F499" t="s">
        <v>427</v>
      </c>
      <c r="G499" s="64">
        <v>41059</v>
      </c>
      <c r="H499">
        <v>209.23</v>
      </c>
      <c r="I499">
        <v>100.43411556660135</v>
      </c>
      <c r="J499">
        <v>100.31108188096022</v>
      </c>
    </row>
    <row r="500" spans="1:10" x14ac:dyDescent="0.25">
      <c r="A500" s="36"/>
      <c r="B500" t="s">
        <v>451</v>
      </c>
      <c r="C500" s="64">
        <v>41060</v>
      </c>
      <c r="D500">
        <v>29.5</v>
      </c>
      <c r="E500">
        <v>100.28983050847458</v>
      </c>
      <c r="F500" t="s">
        <v>427</v>
      </c>
      <c r="G500" s="64">
        <v>41060</v>
      </c>
      <c r="H500">
        <v>212.91</v>
      </c>
      <c r="I500">
        <v>100.44389648208163</v>
      </c>
      <c r="J500">
        <v>100.28983050847458</v>
      </c>
    </row>
    <row r="501" spans="1:10" x14ac:dyDescent="0.25">
      <c r="A501" s="36"/>
      <c r="B501" t="s">
        <v>451</v>
      </c>
      <c r="C501" s="64">
        <v>41061</v>
      </c>
      <c r="D501">
        <v>28.15</v>
      </c>
      <c r="E501">
        <v>100.25577264653641</v>
      </c>
      <c r="F501" t="s">
        <v>427</v>
      </c>
      <c r="G501" s="64">
        <v>41061</v>
      </c>
      <c r="H501">
        <v>208.22</v>
      </c>
      <c r="I501">
        <v>100.43137066564211</v>
      </c>
      <c r="J501">
        <v>100.25577264653641</v>
      </c>
    </row>
    <row r="502" spans="1:10" x14ac:dyDescent="0.25">
      <c r="A502" s="36"/>
      <c r="B502" t="s">
        <v>451</v>
      </c>
      <c r="C502" s="64">
        <v>41064</v>
      </c>
      <c r="D502">
        <v>27.88</v>
      </c>
      <c r="E502">
        <v>100.24856527977045</v>
      </c>
      <c r="F502" t="s">
        <v>427</v>
      </c>
      <c r="G502" s="64">
        <v>41064</v>
      </c>
      <c r="H502">
        <v>214.57</v>
      </c>
      <c r="I502">
        <v>100.44819872302745</v>
      </c>
      <c r="J502">
        <v>100.24856527977045</v>
      </c>
    </row>
    <row r="503" spans="1:10" x14ac:dyDescent="0.25">
      <c r="A503" s="36"/>
      <c r="B503" t="s">
        <v>451</v>
      </c>
      <c r="C503" s="64">
        <v>41065</v>
      </c>
      <c r="D503">
        <v>27.91</v>
      </c>
      <c r="E503">
        <v>100.24937298459334</v>
      </c>
      <c r="F503" t="s">
        <v>427</v>
      </c>
      <c r="G503" s="64">
        <v>41065</v>
      </c>
      <c r="H503">
        <v>213.21</v>
      </c>
      <c r="I503">
        <v>100.44467895502088</v>
      </c>
      <c r="J503">
        <v>100.24937298459334</v>
      </c>
    </row>
    <row r="504" spans="1:10" x14ac:dyDescent="0.25">
      <c r="A504" s="36"/>
      <c r="B504" t="s">
        <v>451</v>
      </c>
      <c r="C504" s="64">
        <v>41066</v>
      </c>
      <c r="D504">
        <v>29.22</v>
      </c>
      <c r="E504">
        <v>100.28302532511978</v>
      </c>
      <c r="F504" t="s">
        <v>427</v>
      </c>
      <c r="G504" s="64">
        <v>41066</v>
      </c>
      <c r="H504">
        <v>217.64</v>
      </c>
      <c r="I504">
        <v>100.45598235618452</v>
      </c>
      <c r="J504">
        <v>100.28302532511978</v>
      </c>
    </row>
    <row r="505" spans="1:10" x14ac:dyDescent="0.25">
      <c r="A505" s="36"/>
      <c r="B505" t="s">
        <v>451</v>
      </c>
      <c r="C505" s="64">
        <v>41067</v>
      </c>
      <c r="D505">
        <v>28.93</v>
      </c>
      <c r="E505">
        <v>100.27583823021085</v>
      </c>
      <c r="F505" t="s">
        <v>427</v>
      </c>
      <c r="G505" s="64">
        <v>41067</v>
      </c>
      <c r="H505">
        <v>218.8</v>
      </c>
      <c r="I505">
        <v>100.45886654478976</v>
      </c>
      <c r="J505">
        <v>100.27583823021085</v>
      </c>
    </row>
    <row r="506" spans="1:10" x14ac:dyDescent="0.25">
      <c r="A506" s="36"/>
      <c r="B506" t="s">
        <v>451</v>
      </c>
      <c r="C506" s="64">
        <v>41068</v>
      </c>
      <c r="D506">
        <v>30.08</v>
      </c>
      <c r="E506">
        <v>100.30352393617021</v>
      </c>
      <c r="F506" t="s">
        <v>427</v>
      </c>
      <c r="G506" s="64">
        <v>41068</v>
      </c>
      <c r="H506">
        <v>218.48</v>
      </c>
      <c r="I506">
        <v>100.45807396558037</v>
      </c>
      <c r="J506">
        <v>100.30352393617021</v>
      </c>
    </row>
    <row r="507" spans="1:10" x14ac:dyDescent="0.25">
      <c r="A507" s="36"/>
      <c r="B507" t="s">
        <v>451</v>
      </c>
      <c r="C507" s="64">
        <v>41071</v>
      </c>
      <c r="D507">
        <v>29.12</v>
      </c>
      <c r="E507">
        <v>100.28056318681318</v>
      </c>
      <c r="F507" t="s">
        <v>427</v>
      </c>
      <c r="G507" s="64">
        <v>41071</v>
      </c>
      <c r="H507">
        <v>216.5</v>
      </c>
      <c r="I507">
        <v>100.45311778290993</v>
      </c>
      <c r="J507">
        <v>100.28056318681318</v>
      </c>
    </row>
    <row r="508" spans="1:10" x14ac:dyDescent="0.25">
      <c r="A508" s="36"/>
      <c r="B508" t="s">
        <v>451</v>
      </c>
      <c r="C508" s="64">
        <v>41072</v>
      </c>
      <c r="D508">
        <v>29.66</v>
      </c>
      <c r="E508">
        <v>100.29366149696561</v>
      </c>
      <c r="F508" t="s">
        <v>427</v>
      </c>
      <c r="G508" s="64">
        <v>41072</v>
      </c>
      <c r="H508">
        <v>216.42</v>
      </c>
      <c r="I508">
        <v>100.45291562702153</v>
      </c>
      <c r="J508">
        <v>100.29366149696561</v>
      </c>
    </row>
    <row r="509" spans="1:10" x14ac:dyDescent="0.25">
      <c r="A509" s="36"/>
      <c r="B509" t="s">
        <v>451</v>
      </c>
      <c r="C509" s="64">
        <v>41073</v>
      </c>
      <c r="D509">
        <v>29.77</v>
      </c>
      <c r="E509">
        <v>100.29627141417535</v>
      </c>
      <c r="F509" t="s">
        <v>427</v>
      </c>
      <c r="G509" s="64">
        <v>41073</v>
      </c>
      <c r="H509">
        <v>214.73</v>
      </c>
      <c r="I509">
        <v>100.44860988217762</v>
      </c>
      <c r="J509">
        <v>100.29627141417535</v>
      </c>
    </row>
    <row r="510" spans="1:10" x14ac:dyDescent="0.25">
      <c r="A510" s="36"/>
      <c r="B510" t="s">
        <v>451</v>
      </c>
      <c r="C510" s="64">
        <v>41074</v>
      </c>
      <c r="D510">
        <v>29.39</v>
      </c>
      <c r="E510">
        <v>100.28717250765567</v>
      </c>
      <c r="F510" t="s">
        <v>427</v>
      </c>
      <c r="G510" s="64">
        <v>41074</v>
      </c>
      <c r="H510">
        <v>214.45</v>
      </c>
      <c r="I510">
        <v>100.44788995103754</v>
      </c>
      <c r="J510">
        <v>100.28717250765567</v>
      </c>
    </row>
    <row r="511" spans="1:10" x14ac:dyDescent="0.25">
      <c r="A511" s="36"/>
      <c r="B511" t="s">
        <v>451</v>
      </c>
      <c r="C511" s="64">
        <v>41075</v>
      </c>
      <c r="D511">
        <v>29.91</v>
      </c>
      <c r="E511">
        <v>100.29956536275493</v>
      </c>
      <c r="F511" t="s">
        <v>427</v>
      </c>
      <c r="G511" s="64">
        <v>41075</v>
      </c>
      <c r="H511">
        <v>218.35</v>
      </c>
      <c r="I511">
        <v>100.45775131669338</v>
      </c>
      <c r="J511">
        <v>100.29956536275493</v>
      </c>
    </row>
    <row r="512" spans="1:10" x14ac:dyDescent="0.25">
      <c r="A512" s="36"/>
      <c r="B512" t="s">
        <v>451</v>
      </c>
      <c r="C512" s="64">
        <v>41078</v>
      </c>
      <c r="D512">
        <v>31.84</v>
      </c>
      <c r="E512">
        <v>100.34202261306532</v>
      </c>
      <c r="F512" t="s">
        <v>427</v>
      </c>
      <c r="G512" s="64">
        <v>41078</v>
      </c>
      <c r="H512">
        <v>222.66</v>
      </c>
      <c r="I512">
        <v>100.46824755232193</v>
      </c>
      <c r="J512">
        <v>100.34202261306532</v>
      </c>
    </row>
    <row r="513" spans="1:10" x14ac:dyDescent="0.25">
      <c r="A513" s="36"/>
      <c r="B513" t="s">
        <v>451</v>
      </c>
      <c r="C513" s="64">
        <v>41079</v>
      </c>
      <c r="D513">
        <v>32.090000000000003</v>
      </c>
      <c r="E513">
        <v>100.34714864443752</v>
      </c>
      <c r="F513" t="s">
        <v>427</v>
      </c>
      <c r="G513" s="64">
        <v>41079</v>
      </c>
      <c r="H513">
        <v>224.03</v>
      </c>
      <c r="I513">
        <v>100.47149935276525</v>
      </c>
      <c r="J513">
        <v>100.34714864443752</v>
      </c>
    </row>
    <row r="514" spans="1:10" x14ac:dyDescent="0.25">
      <c r="A514" s="36"/>
      <c r="B514" t="s">
        <v>451</v>
      </c>
      <c r="C514" s="64">
        <v>41080</v>
      </c>
      <c r="D514">
        <v>33.78</v>
      </c>
      <c r="E514">
        <v>100.37981053878035</v>
      </c>
      <c r="F514" t="s">
        <v>427</v>
      </c>
      <c r="G514" s="64">
        <v>41080</v>
      </c>
      <c r="H514">
        <v>223.02</v>
      </c>
      <c r="I514">
        <v>100.46910590978388</v>
      </c>
      <c r="J514">
        <v>100.37981053878035</v>
      </c>
    </row>
    <row r="515" spans="1:10" x14ac:dyDescent="0.25">
      <c r="A515" s="36"/>
      <c r="B515" t="s">
        <v>451</v>
      </c>
      <c r="C515" s="64">
        <v>41081</v>
      </c>
      <c r="D515">
        <v>32.19</v>
      </c>
      <c r="E515">
        <v>100.34917676296986</v>
      </c>
      <c r="F515" t="s">
        <v>427</v>
      </c>
      <c r="G515" s="64">
        <v>41081</v>
      </c>
      <c r="H515">
        <v>220.57499999999999</v>
      </c>
      <c r="I515">
        <v>100.46322112660093</v>
      </c>
      <c r="J515">
        <v>100.34917676296986</v>
      </c>
    </row>
    <row r="516" spans="1:10" x14ac:dyDescent="0.25">
      <c r="A516" s="36"/>
      <c r="B516" t="s">
        <v>451</v>
      </c>
      <c r="C516" s="64">
        <v>41082</v>
      </c>
      <c r="D516">
        <v>33.784999999999997</v>
      </c>
      <c r="E516">
        <v>100.37990232351635</v>
      </c>
      <c r="F516" t="s">
        <v>427</v>
      </c>
      <c r="G516" s="64">
        <v>41082</v>
      </c>
      <c r="H516">
        <v>222.16</v>
      </c>
      <c r="I516">
        <v>100.46705077421679</v>
      </c>
      <c r="J516">
        <v>100.37990232351635</v>
      </c>
    </row>
    <row r="517" spans="1:10" x14ac:dyDescent="0.25">
      <c r="A517" s="36"/>
      <c r="B517" t="s">
        <v>451</v>
      </c>
      <c r="C517" s="64">
        <v>41085</v>
      </c>
      <c r="D517">
        <v>33.11</v>
      </c>
      <c r="E517">
        <v>100.36726064633041</v>
      </c>
      <c r="F517" t="s">
        <v>427</v>
      </c>
      <c r="G517" s="64">
        <v>41085</v>
      </c>
      <c r="H517">
        <v>220.07</v>
      </c>
      <c r="I517">
        <v>100.46198936701958</v>
      </c>
      <c r="J517">
        <v>100.36726064633041</v>
      </c>
    </row>
    <row r="518" spans="1:10" x14ac:dyDescent="0.25">
      <c r="A518" s="36"/>
      <c r="B518" t="s">
        <v>451</v>
      </c>
      <c r="C518" s="64">
        <v>41086</v>
      </c>
      <c r="D518">
        <v>31.61</v>
      </c>
      <c r="E518">
        <v>100.33723505219866</v>
      </c>
      <c r="F518" t="s">
        <v>427</v>
      </c>
      <c r="G518" s="64">
        <v>41086</v>
      </c>
      <c r="H518">
        <v>225.61</v>
      </c>
      <c r="I518">
        <v>100.47520056735074</v>
      </c>
      <c r="J518">
        <v>100.33723505219866</v>
      </c>
    </row>
    <row r="519" spans="1:10" x14ac:dyDescent="0.25">
      <c r="A519" s="36"/>
      <c r="B519" t="s">
        <v>451</v>
      </c>
      <c r="C519" s="64">
        <v>41087</v>
      </c>
      <c r="D519">
        <v>31.96</v>
      </c>
      <c r="E519">
        <v>100.3444931163955</v>
      </c>
      <c r="F519" t="s">
        <v>427</v>
      </c>
      <c r="G519" s="64">
        <v>41087</v>
      </c>
      <c r="H519">
        <v>225.62</v>
      </c>
      <c r="I519">
        <v>100.47522382767485</v>
      </c>
      <c r="J519">
        <v>100.3444931163955</v>
      </c>
    </row>
    <row r="520" spans="1:10" x14ac:dyDescent="0.25">
      <c r="A520" s="36"/>
      <c r="B520" t="s">
        <v>451</v>
      </c>
      <c r="C520" s="64">
        <v>41088</v>
      </c>
      <c r="D520">
        <v>31.41</v>
      </c>
      <c r="E520">
        <v>100.33301496338746</v>
      </c>
      <c r="F520" t="s">
        <v>427</v>
      </c>
      <c r="G520" s="64">
        <v>41088</v>
      </c>
      <c r="H520">
        <v>221.31</v>
      </c>
      <c r="I520">
        <v>100.46500384076634</v>
      </c>
      <c r="J520">
        <v>100.33301496338746</v>
      </c>
    </row>
    <row r="521" spans="1:10" x14ac:dyDescent="0.25">
      <c r="A521" s="36"/>
      <c r="B521" t="s">
        <v>451</v>
      </c>
      <c r="C521" s="64">
        <v>41089</v>
      </c>
      <c r="D521">
        <v>31.29</v>
      </c>
      <c r="E521">
        <v>100.33045701502077</v>
      </c>
      <c r="F521" t="s">
        <v>427</v>
      </c>
      <c r="G521" s="64">
        <v>41089</v>
      </c>
      <c r="H521">
        <v>228.35</v>
      </c>
      <c r="I521">
        <v>100.48149770089775</v>
      </c>
      <c r="J521">
        <v>100.33045701502077</v>
      </c>
    </row>
    <row r="522" spans="1:10" x14ac:dyDescent="0.25">
      <c r="A522" s="36"/>
      <c r="B522" t="s">
        <v>451</v>
      </c>
      <c r="C522" s="64">
        <v>41092</v>
      </c>
      <c r="D522">
        <v>30.4</v>
      </c>
      <c r="E522">
        <v>100.31085526315789</v>
      </c>
      <c r="F522" t="s">
        <v>427</v>
      </c>
      <c r="G522" s="64">
        <v>41092</v>
      </c>
      <c r="H522">
        <v>229.32</v>
      </c>
      <c r="I522">
        <v>100.48369091226235</v>
      </c>
      <c r="J522">
        <v>100.31085526315789</v>
      </c>
    </row>
    <row r="523" spans="1:10" x14ac:dyDescent="0.25">
      <c r="A523" s="36"/>
      <c r="B523" t="s">
        <v>451</v>
      </c>
      <c r="C523" s="64">
        <v>41093</v>
      </c>
      <c r="D523">
        <v>30.66</v>
      </c>
      <c r="E523">
        <v>100.3166992824527</v>
      </c>
      <c r="F523" t="s">
        <v>427</v>
      </c>
      <c r="G523" s="64">
        <v>41093</v>
      </c>
      <c r="H523">
        <v>229.53</v>
      </c>
      <c r="I523">
        <v>100.48416329020172</v>
      </c>
      <c r="J523">
        <v>100.3166992824527</v>
      </c>
    </row>
    <row r="524" spans="1:10" x14ac:dyDescent="0.25">
      <c r="A524" s="36"/>
      <c r="B524" t="s">
        <v>451</v>
      </c>
      <c r="C524" s="64">
        <v>41095</v>
      </c>
      <c r="D524">
        <v>31.23</v>
      </c>
      <c r="E524">
        <v>100.3291706692283</v>
      </c>
      <c r="F524" t="s">
        <v>427</v>
      </c>
      <c r="G524" s="64">
        <v>41095</v>
      </c>
      <c r="H524">
        <v>227.06</v>
      </c>
      <c r="I524">
        <v>100.47855192460143</v>
      </c>
      <c r="J524">
        <v>100.3291706692283</v>
      </c>
    </row>
    <row r="525" spans="1:10" x14ac:dyDescent="0.25">
      <c r="A525" s="36"/>
      <c r="B525" t="s">
        <v>451</v>
      </c>
      <c r="C525" s="64">
        <v>41096</v>
      </c>
      <c r="D525">
        <v>30.99</v>
      </c>
      <c r="E525">
        <v>100.32397547595998</v>
      </c>
      <c r="F525" t="s">
        <v>427</v>
      </c>
      <c r="G525" s="64">
        <v>41096</v>
      </c>
      <c r="H525">
        <v>225.05</v>
      </c>
      <c r="I525">
        <v>100.47389469006887</v>
      </c>
      <c r="J525">
        <v>100.32397547595998</v>
      </c>
    </row>
    <row r="526" spans="1:10" x14ac:dyDescent="0.25">
      <c r="A526" s="36"/>
      <c r="B526" t="s">
        <v>451</v>
      </c>
      <c r="C526" s="64">
        <v>41099</v>
      </c>
      <c r="D526">
        <v>31.49</v>
      </c>
      <c r="E526">
        <v>100.33470943156557</v>
      </c>
      <c r="F526" t="s">
        <v>427</v>
      </c>
      <c r="G526" s="64">
        <v>41099</v>
      </c>
      <c r="H526">
        <v>225.05</v>
      </c>
      <c r="I526">
        <v>100.47389469006887</v>
      </c>
      <c r="J526">
        <v>100.33470943156557</v>
      </c>
    </row>
    <row r="527" spans="1:10" x14ac:dyDescent="0.25">
      <c r="A527" s="36"/>
      <c r="B527" t="s">
        <v>451</v>
      </c>
      <c r="C527" s="64">
        <v>41100</v>
      </c>
      <c r="D527">
        <v>31.27</v>
      </c>
      <c r="E527">
        <v>100.33002878157978</v>
      </c>
      <c r="F527" t="s">
        <v>427</v>
      </c>
      <c r="G527" s="64">
        <v>41100</v>
      </c>
      <c r="H527">
        <v>219.5</v>
      </c>
      <c r="I527">
        <v>100.46059225512529</v>
      </c>
      <c r="J527">
        <v>100.33002878157978</v>
      </c>
    </row>
    <row r="528" spans="1:10" x14ac:dyDescent="0.25">
      <c r="A528" s="36"/>
      <c r="B528" t="s">
        <v>451</v>
      </c>
      <c r="C528" s="64">
        <v>41101</v>
      </c>
      <c r="D528">
        <v>31.51</v>
      </c>
      <c r="E528">
        <v>100.33513170422088</v>
      </c>
      <c r="F528" t="s">
        <v>427</v>
      </c>
      <c r="G528" s="64">
        <v>41101</v>
      </c>
      <c r="H528">
        <v>218.37</v>
      </c>
      <c r="I528">
        <v>100.45780097998809</v>
      </c>
      <c r="J528">
        <v>100.33513170422088</v>
      </c>
    </row>
    <row r="529" spans="1:10" x14ac:dyDescent="0.25">
      <c r="A529" s="36"/>
      <c r="B529" t="s">
        <v>451</v>
      </c>
      <c r="C529" s="64">
        <v>41102</v>
      </c>
      <c r="D529">
        <v>32.700000000000003</v>
      </c>
      <c r="E529">
        <v>100.35932721712538</v>
      </c>
      <c r="F529" t="s">
        <v>427</v>
      </c>
      <c r="G529" s="64">
        <v>41102</v>
      </c>
      <c r="H529">
        <v>215.36</v>
      </c>
      <c r="I529">
        <v>100.45022288261515</v>
      </c>
      <c r="J529">
        <v>100.35932721712538</v>
      </c>
    </row>
    <row r="530" spans="1:10" x14ac:dyDescent="0.25">
      <c r="A530" s="36"/>
      <c r="B530" t="s">
        <v>451</v>
      </c>
      <c r="C530" s="64">
        <v>41103</v>
      </c>
      <c r="D530">
        <v>34.25</v>
      </c>
      <c r="E530">
        <v>100.38832116788321</v>
      </c>
      <c r="F530" t="s">
        <v>427</v>
      </c>
      <c r="G530" s="64">
        <v>41103</v>
      </c>
      <c r="H530">
        <v>218.39</v>
      </c>
      <c r="I530">
        <v>100.45785063418654</v>
      </c>
      <c r="J530">
        <v>100.38832116788321</v>
      </c>
    </row>
    <row r="531" spans="1:10" x14ac:dyDescent="0.25">
      <c r="A531" s="36"/>
      <c r="B531" t="s">
        <v>451</v>
      </c>
      <c r="C531" s="64">
        <v>41106</v>
      </c>
      <c r="D531">
        <v>35.96</v>
      </c>
      <c r="E531">
        <v>100.41740823136819</v>
      </c>
      <c r="F531" t="s">
        <v>427</v>
      </c>
      <c r="G531" s="64">
        <v>41106</v>
      </c>
      <c r="H531">
        <v>216.01</v>
      </c>
      <c r="I531">
        <v>100.45187722790611</v>
      </c>
      <c r="J531">
        <v>100.41740823136819</v>
      </c>
    </row>
    <row r="532" spans="1:10" x14ac:dyDescent="0.25">
      <c r="A532" s="36"/>
      <c r="B532" t="s">
        <v>451</v>
      </c>
      <c r="C532" s="64">
        <v>41107</v>
      </c>
      <c r="D532">
        <v>33.35</v>
      </c>
      <c r="E532">
        <v>100.37181409295353</v>
      </c>
      <c r="F532" t="s">
        <v>427</v>
      </c>
      <c r="G532" s="64">
        <v>41107</v>
      </c>
      <c r="H532">
        <v>216.93</v>
      </c>
      <c r="I532">
        <v>100.45420181625408</v>
      </c>
      <c r="J532">
        <v>100.37181409295353</v>
      </c>
    </row>
    <row r="533" spans="1:10" x14ac:dyDescent="0.25">
      <c r="A533" s="36"/>
      <c r="B533" t="s">
        <v>451</v>
      </c>
      <c r="C533" s="64">
        <v>41108</v>
      </c>
      <c r="D533">
        <v>32.15</v>
      </c>
      <c r="E533">
        <v>100.348367029549</v>
      </c>
      <c r="F533" t="s">
        <v>427</v>
      </c>
      <c r="G533" s="64">
        <v>41108</v>
      </c>
      <c r="H533">
        <v>217.47</v>
      </c>
      <c r="I533">
        <v>100.45555708833402</v>
      </c>
      <c r="J533">
        <v>100.348367029549</v>
      </c>
    </row>
    <row r="534" spans="1:10" x14ac:dyDescent="0.25">
      <c r="A534" s="36"/>
      <c r="B534" t="s">
        <v>451</v>
      </c>
      <c r="C534" s="64">
        <v>41109</v>
      </c>
      <c r="D534">
        <v>32.270000000000003</v>
      </c>
      <c r="E534">
        <v>100.35079020762318</v>
      </c>
      <c r="F534" t="s">
        <v>427</v>
      </c>
      <c r="G534" s="64">
        <v>41109</v>
      </c>
      <c r="H534">
        <v>226.17</v>
      </c>
      <c r="I534">
        <v>100.47649997789273</v>
      </c>
      <c r="J534">
        <v>100.35079020762318</v>
      </c>
    </row>
    <row r="535" spans="1:10" x14ac:dyDescent="0.25">
      <c r="A535" s="36"/>
      <c r="B535" t="s">
        <v>451</v>
      </c>
      <c r="C535" s="64">
        <v>41110</v>
      </c>
      <c r="D535">
        <v>31.79</v>
      </c>
      <c r="E535">
        <v>100.34098773199119</v>
      </c>
      <c r="F535" t="s">
        <v>427</v>
      </c>
      <c r="G535" s="64">
        <v>41110</v>
      </c>
      <c r="H535">
        <v>228.29</v>
      </c>
      <c r="I535">
        <v>100.48136142625607</v>
      </c>
      <c r="J535">
        <v>100.34098773199119</v>
      </c>
    </row>
    <row r="536" spans="1:10" x14ac:dyDescent="0.25">
      <c r="A536" s="36"/>
      <c r="B536" t="s">
        <v>451</v>
      </c>
      <c r="C536" s="64">
        <v>41113</v>
      </c>
      <c r="D536">
        <v>30.66</v>
      </c>
      <c r="E536">
        <v>100.3166992824527</v>
      </c>
      <c r="F536" t="s">
        <v>427</v>
      </c>
      <c r="G536" s="64">
        <v>41113</v>
      </c>
      <c r="H536">
        <v>226.01</v>
      </c>
      <c r="I536">
        <v>100.47612937480642</v>
      </c>
      <c r="J536">
        <v>100.3166992824527</v>
      </c>
    </row>
    <row r="537" spans="1:10" x14ac:dyDescent="0.25">
      <c r="A537" s="36"/>
      <c r="B537" t="s">
        <v>451</v>
      </c>
      <c r="C537" s="64">
        <v>41114</v>
      </c>
      <c r="D537">
        <v>29.84</v>
      </c>
      <c r="E537">
        <v>100.29792225201072</v>
      </c>
      <c r="F537" t="s">
        <v>427</v>
      </c>
      <c r="G537" s="64">
        <v>41114</v>
      </c>
      <c r="H537">
        <v>223.04</v>
      </c>
      <c r="I537">
        <v>100.46915351506456</v>
      </c>
      <c r="J537">
        <v>100.29792225201072</v>
      </c>
    </row>
    <row r="538" spans="1:10" x14ac:dyDescent="0.25">
      <c r="A538" s="36"/>
      <c r="B538" t="s">
        <v>451</v>
      </c>
      <c r="C538" s="64">
        <v>41115</v>
      </c>
      <c r="D538">
        <v>28.95</v>
      </c>
      <c r="E538">
        <v>100.27633851468049</v>
      </c>
      <c r="F538" t="s">
        <v>427</v>
      </c>
      <c r="G538" s="64">
        <v>41115</v>
      </c>
      <c r="H538">
        <v>217.05</v>
      </c>
      <c r="I538">
        <v>100.45450357060585</v>
      </c>
      <c r="J538">
        <v>100.27633851468049</v>
      </c>
    </row>
    <row r="539" spans="1:10" x14ac:dyDescent="0.25">
      <c r="A539" s="36"/>
      <c r="B539" t="s">
        <v>451</v>
      </c>
      <c r="C539" s="64">
        <v>41116</v>
      </c>
      <c r="D539">
        <v>28.13</v>
      </c>
      <c r="E539">
        <v>100.25524351226449</v>
      </c>
      <c r="F539" t="s">
        <v>427</v>
      </c>
      <c r="G539" s="64">
        <v>41116</v>
      </c>
      <c r="H539">
        <v>220.01</v>
      </c>
      <c r="I539">
        <v>100.46184264351621</v>
      </c>
      <c r="J539">
        <v>100.25524351226449</v>
      </c>
    </row>
    <row r="540" spans="1:10" x14ac:dyDescent="0.25">
      <c r="A540" s="36"/>
      <c r="B540" t="s">
        <v>451</v>
      </c>
      <c r="C540" s="64">
        <v>41117</v>
      </c>
      <c r="D540">
        <v>29.51</v>
      </c>
      <c r="E540">
        <v>100.29007116231786</v>
      </c>
      <c r="F540" t="s">
        <v>427</v>
      </c>
      <c r="G540" s="64">
        <v>41117</v>
      </c>
      <c r="H540">
        <v>237.32</v>
      </c>
      <c r="I540">
        <v>100.5010955671667</v>
      </c>
      <c r="J540">
        <v>100.29007116231786</v>
      </c>
    </row>
    <row r="541" spans="1:10" x14ac:dyDescent="0.25">
      <c r="A541" s="36"/>
      <c r="B541" t="s">
        <v>451</v>
      </c>
      <c r="C541" s="64">
        <v>41120</v>
      </c>
      <c r="D541">
        <v>27.35</v>
      </c>
      <c r="E541">
        <v>100.23400365630712</v>
      </c>
      <c r="F541" t="s">
        <v>427</v>
      </c>
      <c r="G541" s="64">
        <v>41120</v>
      </c>
      <c r="H541">
        <v>236.09</v>
      </c>
      <c r="I541">
        <v>100.49849633614299</v>
      </c>
      <c r="J541">
        <v>100.23400365630712</v>
      </c>
    </row>
    <row r="542" spans="1:10" x14ac:dyDescent="0.25">
      <c r="A542" s="36"/>
      <c r="B542" t="s">
        <v>451</v>
      </c>
      <c r="C542" s="64">
        <v>41121</v>
      </c>
      <c r="D542">
        <v>27.42</v>
      </c>
      <c r="E542">
        <v>100.23595915390226</v>
      </c>
      <c r="F542" t="s">
        <v>427</v>
      </c>
      <c r="G542" s="64">
        <v>41121</v>
      </c>
      <c r="H542">
        <v>233.3</v>
      </c>
      <c r="I542">
        <v>100.49249892841834</v>
      </c>
      <c r="J542">
        <v>100.23595915390226</v>
      </c>
    </row>
    <row r="543" spans="1:10" x14ac:dyDescent="0.25">
      <c r="A543" s="36"/>
      <c r="B543" t="s">
        <v>451</v>
      </c>
      <c r="C543" s="64">
        <v>41122</v>
      </c>
      <c r="D543">
        <v>26.25</v>
      </c>
      <c r="E543">
        <v>100.20190476190476</v>
      </c>
      <c r="F543" t="s">
        <v>427</v>
      </c>
      <c r="G543" s="64">
        <v>41122</v>
      </c>
      <c r="H543">
        <v>232.09</v>
      </c>
      <c r="I543">
        <v>100.48985307423844</v>
      </c>
      <c r="J543">
        <v>100.20190476190476</v>
      </c>
    </row>
    <row r="544" spans="1:10" x14ac:dyDescent="0.25">
      <c r="A544" s="36"/>
      <c r="B544" t="s">
        <v>451</v>
      </c>
      <c r="C544" s="64">
        <v>41123</v>
      </c>
      <c r="D544">
        <v>26.1</v>
      </c>
      <c r="E544">
        <v>100.19731800766283</v>
      </c>
      <c r="F544" t="s">
        <v>427</v>
      </c>
      <c r="G544" s="64">
        <v>41123</v>
      </c>
      <c r="H544">
        <v>230.81</v>
      </c>
      <c r="I544">
        <v>100.48702395910055</v>
      </c>
      <c r="J544">
        <v>100.19731800766283</v>
      </c>
    </row>
    <row r="545" spans="1:10" x14ac:dyDescent="0.25">
      <c r="A545" s="36"/>
      <c r="B545" t="s">
        <v>451</v>
      </c>
      <c r="C545" s="64">
        <v>41124</v>
      </c>
      <c r="D545">
        <v>27.27</v>
      </c>
      <c r="E545">
        <v>100.23175650898423</v>
      </c>
      <c r="F545" t="s">
        <v>427</v>
      </c>
      <c r="G545" s="64">
        <v>41124</v>
      </c>
      <c r="H545">
        <v>234.97</v>
      </c>
      <c r="I545">
        <v>100.49610588585777</v>
      </c>
      <c r="J545">
        <v>100.23175650898423</v>
      </c>
    </row>
    <row r="546" spans="1:10" x14ac:dyDescent="0.25">
      <c r="A546" s="36"/>
      <c r="B546" t="s">
        <v>451</v>
      </c>
      <c r="C546" s="64">
        <v>41127</v>
      </c>
      <c r="D546">
        <v>28.27</v>
      </c>
      <c r="E546">
        <v>100.25893172974885</v>
      </c>
      <c r="F546" t="s">
        <v>427</v>
      </c>
      <c r="G546" s="64">
        <v>41127</v>
      </c>
      <c r="H546">
        <v>233.99</v>
      </c>
      <c r="I546">
        <v>100.49399546989187</v>
      </c>
      <c r="J546">
        <v>100.25893172974885</v>
      </c>
    </row>
    <row r="547" spans="1:10" x14ac:dyDescent="0.25">
      <c r="A547" s="36"/>
      <c r="B547" t="s">
        <v>451</v>
      </c>
      <c r="C547" s="64">
        <v>41128</v>
      </c>
      <c r="D547">
        <v>30.25</v>
      </c>
      <c r="E547">
        <v>100.30743801652892</v>
      </c>
      <c r="F547" t="s">
        <v>427</v>
      </c>
      <c r="G547" s="64">
        <v>41128</v>
      </c>
      <c r="H547">
        <v>236.56</v>
      </c>
      <c r="I547">
        <v>100.49949272911735</v>
      </c>
      <c r="J547">
        <v>100.30743801652892</v>
      </c>
    </row>
    <row r="548" spans="1:10" x14ac:dyDescent="0.25">
      <c r="A548" s="36"/>
      <c r="B548" t="s">
        <v>451</v>
      </c>
      <c r="C548" s="64">
        <v>41129</v>
      </c>
      <c r="D548">
        <v>29.09</v>
      </c>
      <c r="E548">
        <v>100.27982124441388</v>
      </c>
      <c r="F548" t="s">
        <v>427</v>
      </c>
      <c r="G548" s="64">
        <v>41129</v>
      </c>
      <c r="H548">
        <v>234.38</v>
      </c>
      <c r="I548">
        <v>100.49483744346787</v>
      </c>
      <c r="J548">
        <v>100.27982124441388</v>
      </c>
    </row>
    <row r="549" spans="1:10" x14ac:dyDescent="0.25">
      <c r="A549" s="36"/>
      <c r="B549" t="s">
        <v>451</v>
      </c>
      <c r="C549" s="64">
        <v>41130</v>
      </c>
      <c r="D549">
        <v>29.41</v>
      </c>
      <c r="E549">
        <v>100.28765725943556</v>
      </c>
      <c r="F549" t="s">
        <v>427</v>
      </c>
      <c r="G549" s="64">
        <v>41130</v>
      </c>
      <c r="H549">
        <v>234.06</v>
      </c>
      <c r="I549">
        <v>100.49414679996582</v>
      </c>
      <c r="J549">
        <v>100.28765725943556</v>
      </c>
    </row>
    <row r="550" spans="1:10" x14ac:dyDescent="0.25">
      <c r="A550" s="36"/>
      <c r="B550" t="s">
        <v>451</v>
      </c>
      <c r="C550" s="64">
        <v>41131</v>
      </c>
      <c r="D550">
        <v>29.94</v>
      </c>
      <c r="E550">
        <v>100.30026720106881</v>
      </c>
      <c r="F550" t="s">
        <v>427</v>
      </c>
      <c r="G550" s="64">
        <v>41131</v>
      </c>
      <c r="H550">
        <v>232.75</v>
      </c>
      <c r="I550">
        <v>100.49129967776584</v>
      </c>
      <c r="J550">
        <v>100.30026720106881</v>
      </c>
    </row>
    <row r="551" spans="1:10" x14ac:dyDescent="0.25">
      <c r="A551" s="36"/>
      <c r="B551" t="s">
        <v>451</v>
      </c>
      <c r="C551" s="64">
        <v>41134</v>
      </c>
      <c r="D551">
        <v>31.17</v>
      </c>
      <c r="E551">
        <v>100.32787937119025</v>
      </c>
      <c r="F551" t="s">
        <v>427</v>
      </c>
      <c r="G551" s="64">
        <v>41134</v>
      </c>
      <c r="H551">
        <v>232.44</v>
      </c>
      <c r="I551">
        <v>100.49062123558768</v>
      </c>
      <c r="J551">
        <v>100.32787937119025</v>
      </c>
    </row>
    <row r="552" spans="1:10" x14ac:dyDescent="0.25">
      <c r="A552" s="36"/>
      <c r="B552" t="s">
        <v>451</v>
      </c>
      <c r="C552" s="64">
        <v>41135</v>
      </c>
      <c r="D552">
        <v>29.42</v>
      </c>
      <c r="E552">
        <v>100.28789938817131</v>
      </c>
      <c r="F552" t="s">
        <v>427</v>
      </c>
      <c r="G552" s="64">
        <v>41135</v>
      </c>
      <c r="H552">
        <v>233.19</v>
      </c>
      <c r="I552">
        <v>100.49225953085467</v>
      </c>
      <c r="J552">
        <v>100.28789938817131</v>
      </c>
    </row>
    <row r="553" spans="1:10" x14ac:dyDescent="0.25">
      <c r="A553" s="36"/>
      <c r="B553" t="s">
        <v>451</v>
      </c>
      <c r="C553" s="64">
        <v>41136</v>
      </c>
      <c r="D553">
        <v>29.4</v>
      </c>
      <c r="E553">
        <v>100.2874149659864</v>
      </c>
      <c r="F553" t="s">
        <v>427</v>
      </c>
      <c r="G553" s="64">
        <v>41136</v>
      </c>
      <c r="H553">
        <v>237.42</v>
      </c>
      <c r="I553">
        <v>100.50130570297364</v>
      </c>
      <c r="J553">
        <v>100.2874149659864</v>
      </c>
    </row>
    <row r="554" spans="1:10" x14ac:dyDescent="0.25">
      <c r="A554" s="36"/>
      <c r="B554" t="s">
        <v>451</v>
      </c>
      <c r="C554" s="64">
        <v>41137</v>
      </c>
      <c r="D554">
        <v>30.3</v>
      </c>
      <c r="E554">
        <v>100.3085808580858</v>
      </c>
      <c r="F554" t="s">
        <v>427</v>
      </c>
      <c r="G554" s="64">
        <v>41137</v>
      </c>
      <c r="H554">
        <v>241.55</v>
      </c>
      <c r="I554">
        <v>100.50983233285034</v>
      </c>
      <c r="J554">
        <v>100.3085808580858</v>
      </c>
    </row>
    <row r="555" spans="1:10" x14ac:dyDescent="0.25">
      <c r="A555" s="36"/>
      <c r="B555" t="s">
        <v>451</v>
      </c>
      <c r="C555" s="64">
        <v>41138</v>
      </c>
      <c r="D555">
        <v>30.01</v>
      </c>
      <c r="E555">
        <v>100.30189936687771</v>
      </c>
      <c r="F555" t="s">
        <v>427</v>
      </c>
      <c r="G555" s="64">
        <v>41138</v>
      </c>
      <c r="H555">
        <v>241.17</v>
      </c>
      <c r="I555">
        <v>100.50905999917072</v>
      </c>
      <c r="J555">
        <v>100.30189936687771</v>
      </c>
    </row>
    <row r="556" spans="1:10" x14ac:dyDescent="0.25">
      <c r="A556" s="36"/>
      <c r="B556" t="s">
        <v>451</v>
      </c>
      <c r="C556" s="64">
        <v>41141</v>
      </c>
      <c r="D556">
        <v>29.51</v>
      </c>
      <c r="E556">
        <v>100.29007116231786</v>
      </c>
      <c r="F556" t="s">
        <v>427</v>
      </c>
      <c r="G556" s="64">
        <v>41141</v>
      </c>
      <c r="H556">
        <v>240.35</v>
      </c>
      <c r="I556">
        <v>100.50738506344914</v>
      </c>
      <c r="J556">
        <v>100.29007116231786</v>
      </c>
    </row>
    <row r="557" spans="1:10" x14ac:dyDescent="0.25">
      <c r="A557" s="36"/>
      <c r="B557" t="s">
        <v>451</v>
      </c>
      <c r="C557" s="64">
        <v>41142</v>
      </c>
      <c r="D557">
        <v>29.11</v>
      </c>
      <c r="E557">
        <v>100.28031604259705</v>
      </c>
      <c r="F557" t="s">
        <v>427</v>
      </c>
      <c r="G557" s="64">
        <v>41142</v>
      </c>
      <c r="H557">
        <v>239.45</v>
      </c>
      <c r="I557">
        <v>100.50553351430361</v>
      </c>
      <c r="J557">
        <v>100.28031604259705</v>
      </c>
    </row>
    <row r="558" spans="1:10" x14ac:dyDescent="0.25">
      <c r="A558" s="36"/>
      <c r="B558" t="s">
        <v>451</v>
      </c>
      <c r="C558" s="64">
        <v>41143</v>
      </c>
      <c r="D558">
        <v>29.95</v>
      </c>
      <c r="E558">
        <v>100.30050083472455</v>
      </c>
      <c r="F558" t="s">
        <v>427</v>
      </c>
      <c r="G558" s="64">
        <v>41143</v>
      </c>
      <c r="H558">
        <v>243.1</v>
      </c>
      <c r="I558">
        <v>100.51295763060469</v>
      </c>
      <c r="J558">
        <v>100.30050083472455</v>
      </c>
    </row>
    <row r="559" spans="1:10" x14ac:dyDescent="0.25">
      <c r="A559" s="36"/>
      <c r="B559" t="s">
        <v>451</v>
      </c>
      <c r="C559" s="64">
        <v>41144</v>
      </c>
      <c r="D559">
        <v>30.73</v>
      </c>
      <c r="E559">
        <v>100.31825577611454</v>
      </c>
      <c r="F559" t="s">
        <v>427</v>
      </c>
      <c r="G559" s="64">
        <v>41144</v>
      </c>
      <c r="H559">
        <v>241.19800000000001</v>
      </c>
      <c r="I559">
        <v>100.50911699101982</v>
      </c>
      <c r="J559">
        <v>100.31825577611454</v>
      </c>
    </row>
    <row r="560" spans="1:10" x14ac:dyDescent="0.25">
      <c r="A560" s="36"/>
      <c r="B560" t="s">
        <v>451</v>
      </c>
      <c r="C560" s="64">
        <v>41145</v>
      </c>
      <c r="D560">
        <v>29.5</v>
      </c>
      <c r="E560">
        <v>100.28983050847458</v>
      </c>
      <c r="F560" t="s">
        <v>427</v>
      </c>
      <c r="G560" s="64">
        <v>41145</v>
      </c>
      <c r="H560">
        <v>245.74</v>
      </c>
      <c r="I560">
        <v>100.51818995686497</v>
      </c>
      <c r="J560">
        <v>100.28983050847458</v>
      </c>
    </row>
    <row r="561" spans="1:10" x14ac:dyDescent="0.25">
      <c r="A561" s="36"/>
      <c r="B561" t="s">
        <v>451</v>
      </c>
      <c r="C561" s="64">
        <v>41148</v>
      </c>
      <c r="D561">
        <v>28.32</v>
      </c>
      <c r="E561">
        <v>100.26024011299435</v>
      </c>
      <c r="F561" t="s">
        <v>427</v>
      </c>
      <c r="G561" s="64">
        <v>41148</v>
      </c>
      <c r="H561">
        <v>243.92</v>
      </c>
      <c r="I561">
        <v>100.51459494916367</v>
      </c>
      <c r="J561">
        <v>100.26024011299435</v>
      </c>
    </row>
    <row r="562" spans="1:10" x14ac:dyDescent="0.25">
      <c r="A562" s="36"/>
      <c r="B562" t="s">
        <v>451</v>
      </c>
      <c r="C562" s="64">
        <v>41149</v>
      </c>
      <c r="D562">
        <v>28.69</v>
      </c>
      <c r="E562">
        <v>100.26978041129313</v>
      </c>
      <c r="F562" t="s">
        <v>427</v>
      </c>
      <c r="G562" s="64">
        <v>41149</v>
      </c>
      <c r="H562">
        <v>246.11</v>
      </c>
      <c r="I562">
        <v>100.51891430661087</v>
      </c>
      <c r="J562">
        <v>100.26978041129313</v>
      </c>
    </row>
    <row r="563" spans="1:10" x14ac:dyDescent="0.25">
      <c r="A563" s="36"/>
      <c r="B563" t="s">
        <v>451</v>
      </c>
      <c r="C563" s="64">
        <v>41150</v>
      </c>
      <c r="D563">
        <v>28.41</v>
      </c>
      <c r="E563">
        <v>100.26258359732489</v>
      </c>
      <c r="F563" t="s">
        <v>427</v>
      </c>
      <c r="G563" s="64">
        <v>41150</v>
      </c>
      <c r="H563">
        <v>247.12</v>
      </c>
      <c r="I563">
        <v>100.52088054386533</v>
      </c>
      <c r="J563">
        <v>100.26258359732489</v>
      </c>
    </row>
    <row r="564" spans="1:10" x14ac:dyDescent="0.25">
      <c r="A564" s="36"/>
      <c r="B564" t="s">
        <v>451</v>
      </c>
      <c r="C564" s="64">
        <v>41151</v>
      </c>
      <c r="D564">
        <v>28.41</v>
      </c>
      <c r="E564">
        <v>100.26258359732489</v>
      </c>
      <c r="F564" t="s">
        <v>427</v>
      </c>
      <c r="G564" s="64">
        <v>41151</v>
      </c>
      <c r="H564">
        <v>246.22</v>
      </c>
      <c r="I564">
        <v>100.51912923401835</v>
      </c>
      <c r="J564">
        <v>100.26258359732489</v>
      </c>
    </row>
    <row r="565" spans="1:10" x14ac:dyDescent="0.25">
      <c r="A565" s="36"/>
      <c r="B565" t="s">
        <v>451</v>
      </c>
      <c r="C565" s="64">
        <v>41152</v>
      </c>
      <c r="D565">
        <v>28.52</v>
      </c>
      <c r="E565">
        <v>100.26542776998598</v>
      </c>
      <c r="F565" t="s">
        <v>427</v>
      </c>
      <c r="G565" s="64">
        <v>41152</v>
      </c>
      <c r="H565">
        <v>248.27</v>
      </c>
      <c r="I565">
        <v>100.52309985096871</v>
      </c>
      <c r="J565">
        <v>100.26542776998598</v>
      </c>
    </row>
    <row r="566" spans="1:10" x14ac:dyDescent="0.25">
      <c r="A566" s="36"/>
      <c r="B566" t="s">
        <v>451</v>
      </c>
      <c r="C566" s="64">
        <v>41156</v>
      </c>
      <c r="D566">
        <v>28.14</v>
      </c>
      <c r="E566">
        <v>100.25550817341862</v>
      </c>
      <c r="F566" t="s">
        <v>427</v>
      </c>
      <c r="G566" s="64">
        <v>41156</v>
      </c>
      <c r="H566">
        <v>247.88</v>
      </c>
      <c r="I566">
        <v>100.52234952396321</v>
      </c>
      <c r="J566">
        <v>100.25550817341862</v>
      </c>
    </row>
    <row r="567" spans="1:10" x14ac:dyDescent="0.25">
      <c r="A567" s="36"/>
      <c r="B567" t="s">
        <v>451</v>
      </c>
      <c r="C567" s="64">
        <v>41157</v>
      </c>
      <c r="D567">
        <v>27.94</v>
      </c>
      <c r="E567">
        <v>100.25017895490336</v>
      </c>
      <c r="F567" t="s">
        <v>427</v>
      </c>
      <c r="G567" s="64">
        <v>41157</v>
      </c>
      <c r="H567">
        <v>246.22</v>
      </c>
      <c r="I567">
        <v>100.51912923401835</v>
      </c>
      <c r="J567">
        <v>100.25017895490336</v>
      </c>
    </row>
    <row r="568" spans="1:10" x14ac:dyDescent="0.25">
      <c r="A568" s="36"/>
      <c r="B568" t="s">
        <v>451</v>
      </c>
      <c r="C568" s="64">
        <v>41158</v>
      </c>
      <c r="D568">
        <v>28.55</v>
      </c>
      <c r="E568">
        <v>100.2661996497373</v>
      </c>
      <c r="F568" t="s">
        <v>427</v>
      </c>
      <c r="G568" s="64">
        <v>41158</v>
      </c>
      <c r="H568">
        <v>251.38</v>
      </c>
      <c r="I568">
        <v>100.52899992043918</v>
      </c>
      <c r="J568">
        <v>100.2661996497373</v>
      </c>
    </row>
    <row r="569" spans="1:10" x14ac:dyDescent="0.25">
      <c r="A569" s="36"/>
      <c r="B569" t="s">
        <v>451</v>
      </c>
      <c r="C569" s="64">
        <v>41159</v>
      </c>
      <c r="D569">
        <v>29.35</v>
      </c>
      <c r="E569">
        <v>100.28620102214651</v>
      </c>
      <c r="F569" t="s">
        <v>427</v>
      </c>
      <c r="G569" s="64">
        <v>41159</v>
      </c>
      <c r="H569">
        <v>259.14</v>
      </c>
      <c r="I569">
        <v>100.54310411360655</v>
      </c>
      <c r="J569">
        <v>100.28620102214651</v>
      </c>
    </row>
    <row r="570" spans="1:10" x14ac:dyDescent="0.25">
      <c r="A570" s="36"/>
      <c r="B570" t="s">
        <v>451</v>
      </c>
      <c r="C570" s="64">
        <v>41162</v>
      </c>
      <c r="D570">
        <v>27.37</v>
      </c>
      <c r="E570">
        <v>100.23456339057363</v>
      </c>
      <c r="F570" t="s">
        <v>427</v>
      </c>
      <c r="G570" s="64">
        <v>41162</v>
      </c>
      <c r="H570">
        <v>257.08999999999997</v>
      </c>
      <c r="I570">
        <v>100.53946088918278</v>
      </c>
      <c r="J570">
        <v>100.23456339057363</v>
      </c>
    </row>
    <row r="571" spans="1:10" x14ac:dyDescent="0.25">
      <c r="A571" s="36"/>
      <c r="B571" t="s">
        <v>451</v>
      </c>
      <c r="C571" s="64">
        <v>41163</v>
      </c>
      <c r="D571">
        <v>27.8</v>
      </c>
      <c r="E571">
        <v>100.24640287769785</v>
      </c>
      <c r="F571" t="s">
        <v>427</v>
      </c>
      <c r="G571" s="64">
        <v>41163</v>
      </c>
      <c r="H571">
        <v>255.67</v>
      </c>
      <c r="I571">
        <v>100.53690303907381</v>
      </c>
      <c r="J571">
        <v>100.24640287769785</v>
      </c>
    </row>
    <row r="572" spans="1:10" x14ac:dyDescent="0.25">
      <c r="A572" s="36"/>
      <c r="B572" t="s">
        <v>451</v>
      </c>
      <c r="C572" s="64">
        <v>41164</v>
      </c>
      <c r="D572">
        <v>28.28</v>
      </c>
      <c r="E572">
        <v>100.2591937765205</v>
      </c>
      <c r="F572" t="s">
        <v>427</v>
      </c>
      <c r="G572" s="64">
        <v>41164</v>
      </c>
      <c r="H572">
        <v>255.63</v>
      </c>
      <c r="I572">
        <v>100.53683057544107</v>
      </c>
      <c r="J572">
        <v>100.2591937765205</v>
      </c>
    </row>
    <row r="573" spans="1:10" x14ac:dyDescent="0.25">
      <c r="A573" s="36"/>
      <c r="B573" t="s">
        <v>451</v>
      </c>
      <c r="C573" s="64">
        <v>41165</v>
      </c>
      <c r="D573">
        <v>29.48</v>
      </c>
      <c r="E573">
        <v>100.2893487109905</v>
      </c>
      <c r="F573" t="s">
        <v>427</v>
      </c>
      <c r="G573" s="64">
        <v>41165</v>
      </c>
      <c r="H573">
        <v>260.24</v>
      </c>
      <c r="I573">
        <v>100.54503535198279</v>
      </c>
      <c r="J573">
        <v>100.2893487109905</v>
      </c>
    </row>
    <row r="574" spans="1:10" x14ac:dyDescent="0.25">
      <c r="A574" s="36"/>
      <c r="B574" t="s">
        <v>451</v>
      </c>
      <c r="C574" s="64">
        <v>41166</v>
      </c>
      <c r="D574">
        <v>30.39</v>
      </c>
      <c r="E574">
        <v>100.31062849621586</v>
      </c>
      <c r="F574" t="s">
        <v>427</v>
      </c>
      <c r="G574" s="64">
        <v>41166</v>
      </c>
      <c r="H574">
        <v>261.27</v>
      </c>
      <c r="I574">
        <v>100.54682895089371</v>
      </c>
      <c r="J574">
        <v>100.31062849621586</v>
      </c>
    </row>
    <row r="575" spans="1:10" x14ac:dyDescent="0.25">
      <c r="A575" s="36"/>
      <c r="B575" t="s">
        <v>451</v>
      </c>
      <c r="C575" s="64">
        <v>41169</v>
      </c>
      <c r="D575">
        <v>32.54</v>
      </c>
      <c r="E575">
        <v>100.3561770129072</v>
      </c>
      <c r="F575" t="s">
        <v>427</v>
      </c>
      <c r="G575" s="64">
        <v>41169</v>
      </c>
      <c r="H575">
        <v>258</v>
      </c>
      <c r="I575">
        <v>100.54108527131783</v>
      </c>
      <c r="J575">
        <v>100.3561770129072</v>
      </c>
    </row>
    <row r="576" spans="1:10" x14ac:dyDescent="0.25">
      <c r="A576" s="36"/>
      <c r="B576" t="s">
        <v>451</v>
      </c>
      <c r="C576" s="64">
        <v>41170</v>
      </c>
      <c r="D576">
        <v>31.34</v>
      </c>
      <c r="E576">
        <v>100.33152520740268</v>
      </c>
      <c r="F576" t="s">
        <v>427</v>
      </c>
      <c r="G576" s="64">
        <v>41170</v>
      </c>
      <c r="H576">
        <v>258.75</v>
      </c>
      <c r="I576">
        <v>100.5424154589372</v>
      </c>
      <c r="J576">
        <v>100.33152520740268</v>
      </c>
    </row>
    <row r="577" spans="1:10" x14ac:dyDescent="0.25">
      <c r="A577" s="36"/>
      <c r="B577" t="s">
        <v>451</v>
      </c>
      <c r="C577" s="64">
        <v>41171</v>
      </c>
      <c r="D577">
        <v>31.05</v>
      </c>
      <c r="E577">
        <v>100.32528180354268</v>
      </c>
      <c r="F577" t="s">
        <v>427</v>
      </c>
      <c r="G577" s="64">
        <v>41171</v>
      </c>
      <c r="H577">
        <v>261.68</v>
      </c>
      <c r="I577">
        <v>100.54753897890554</v>
      </c>
      <c r="J577">
        <v>100.32528180354268</v>
      </c>
    </row>
    <row r="578" spans="1:10" x14ac:dyDescent="0.25">
      <c r="A578" s="36"/>
      <c r="B578" t="s">
        <v>451</v>
      </c>
      <c r="C578" s="64">
        <v>41172</v>
      </c>
      <c r="D578">
        <v>30.9</v>
      </c>
      <c r="E578">
        <v>100.32200647249191</v>
      </c>
      <c r="F578" t="s">
        <v>427</v>
      </c>
      <c r="G578" s="64">
        <v>41172</v>
      </c>
      <c r="H578">
        <v>260.81</v>
      </c>
      <c r="I578">
        <v>100.5460296767762</v>
      </c>
      <c r="J578">
        <v>100.32200647249191</v>
      </c>
    </row>
    <row r="579" spans="1:10" x14ac:dyDescent="0.25">
      <c r="A579" s="36"/>
      <c r="B579" t="s">
        <v>451</v>
      </c>
      <c r="C579" s="64">
        <v>41173</v>
      </c>
      <c r="D579">
        <v>30.02</v>
      </c>
      <c r="E579">
        <v>100.30213191205863</v>
      </c>
      <c r="F579" t="s">
        <v>427</v>
      </c>
      <c r="G579" s="64">
        <v>41173</v>
      </c>
      <c r="H579">
        <v>257.47000000000003</v>
      </c>
      <c r="I579">
        <v>100.54014059890473</v>
      </c>
      <c r="J579">
        <v>100.30213191205863</v>
      </c>
    </row>
    <row r="580" spans="1:10" x14ac:dyDescent="0.25">
      <c r="A580" s="36"/>
      <c r="B580" t="s">
        <v>451</v>
      </c>
      <c r="C580" s="64">
        <v>41176</v>
      </c>
      <c r="D580">
        <v>30.66</v>
      </c>
      <c r="E580">
        <v>100.3166992824527</v>
      </c>
      <c r="F580" t="s">
        <v>427</v>
      </c>
      <c r="G580" s="64">
        <v>41176</v>
      </c>
      <c r="H580">
        <v>254.80500000000001</v>
      </c>
      <c r="I580">
        <v>100.53533093934577</v>
      </c>
      <c r="J580">
        <v>100.3166992824527</v>
      </c>
    </row>
    <row r="581" spans="1:10" x14ac:dyDescent="0.25">
      <c r="A581" s="36"/>
      <c r="B581" t="s">
        <v>451</v>
      </c>
      <c r="C581" s="64">
        <v>41177</v>
      </c>
      <c r="D581">
        <v>27.66</v>
      </c>
      <c r="E581">
        <v>100.24258857556038</v>
      </c>
      <c r="F581" t="s">
        <v>427</v>
      </c>
      <c r="G581" s="64">
        <v>41177</v>
      </c>
      <c r="H581">
        <v>252.46</v>
      </c>
      <c r="I581">
        <v>100.531014814228</v>
      </c>
      <c r="J581">
        <v>100.24258857556038</v>
      </c>
    </row>
    <row r="582" spans="1:10" x14ac:dyDescent="0.25">
      <c r="A582" s="36"/>
      <c r="B582" t="s">
        <v>451</v>
      </c>
      <c r="C582" s="64">
        <v>41178</v>
      </c>
      <c r="D582">
        <v>27.54</v>
      </c>
      <c r="E582">
        <v>100.23928830791576</v>
      </c>
      <c r="F582" t="s">
        <v>427</v>
      </c>
      <c r="G582" s="64">
        <v>41178</v>
      </c>
      <c r="H582">
        <v>249.67</v>
      </c>
      <c r="I582">
        <v>100.52577402170866</v>
      </c>
      <c r="J582">
        <v>100.23928830791576</v>
      </c>
    </row>
    <row r="583" spans="1:10" x14ac:dyDescent="0.25">
      <c r="A583" s="36"/>
      <c r="B583" t="s">
        <v>451</v>
      </c>
      <c r="C583" s="64">
        <v>41179</v>
      </c>
      <c r="D583">
        <v>28.49</v>
      </c>
      <c r="E583">
        <v>100.26465426465427</v>
      </c>
      <c r="F583" t="s">
        <v>427</v>
      </c>
      <c r="G583" s="64">
        <v>41179</v>
      </c>
      <c r="H583">
        <v>256.58999999999997</v>
      </c>
      <c r="I583">
        <v>100.53856346700962</v>
      </c>
      <c r="J583">
        <v>100.26465426465427</v>
      </c>
    </row>
    <row r="584" spans="1:10" x14ac:dyDescent="0.25">
      <c r="A584" s="36"/>
      <c r="B584" t="s">
        <v>451</v>
      </c>
      <c r="C584" s="64">
        <v>41180</v>
      </c>
      <c r="D584">
        <v>29.28</v>
      </c>
      <c r="E584">
        <v>100.28449453551913</v>
      </c>
      <c r="F584" t="s">
        <v>427</v>
      </c>
      <c r="G584" s="64">
        <v>41180</v>
      </c>
      <c r="H584">
        <v>254.32</v>
      </c>
      <c r="I584">
        <v>100.53444479396036</v>
      </c>
      <c r="J584">
        <v>100.28449453551913</v>
      </c>
    </row>
    <row r="585" spans="1:10" x14ac:dyDescent="0.25">
      <c r="A585" s="36"/>
      <c r="B585" t="s">
        <v>451</v>
      </c>
      <c r="C585" s="64">
        <v>41183</v>
      </c>
      <c r="D585">
        <v>29.16</v>
      </c>
      <c r="E585">
        <v>100.28155006858711</v>
      </c>
      <c r="F585" t="s">
        <v>427</v>
      </c>
      <c r="G585" s="64">
        <v>41183</v>
      </c>
      <c r="H585">
        <v>252.01</v>
      </c>
      <c r="I585">
        <v>100.53017737391373</v>
      </c>
      <c r="J585">
        <v>100.28155006858711</v>
      </c>
    </row>
    <row r="586" spans="1:10" x14ac:dyDescent="0.25">
      <c r="A586" s="36"/>
      <c r="B586" t="s">
        <v>451</v>
      </c>
      <c r="C586" s="64">
        <v>41184</v>
      </c>
      <c r="D586">
        <v>29.8</v>
      </c>
      <c r="E586">
        <v>100.29697986577182</v>
      </c>
      <c r="F586" t="s">
        <v>427</v>
      </c>
      <c r="G586" s="64">
        <v>41184</v>
      </c>
      <c r="H586">
        <v>250.6</v>
      </c>
      <c r="I586">
        <v>100.52753391859537</v>
      </c>
      <c r="J586">
        <v>100.29697986577182</v>
      </c>
    </row>
    <row r="587" spans="1:10" x14ac:dyDescent="0.25">
      <c r="A587" s="36"/>
      <c r="B587" t="s">
        <v>451</v>
      </c>
      <c r="C587" s="64">
        <v>41185</v>
      </c>
      <c r="D587">
        <v>29.3</v>
      </c>
      <c r="E587">
        <v>100.28498293515358</v>
      </c>
      <c r="F587" t="s">
        <v>427</v>
      </c>
      <c r="G587" s="64">
        <v>41185</v>
      </c>
      <c r="H587">
        <v>255.92</v>
      </c>
      <c r="I587">
        <v>100.53735542356986</v>
      </c>
      <c r="J587">
        <v>100.28498293515358</v>
      </c>
    </row>
    <row r="588" spans="1:10" x14ac:dyDescent="0.25">
      <c r="A588" s="36"/>
      <c r="B588" t="s">
        <v>451</v>
      </c>
      <c r="C588" s="64">
        <v>41186</v>
      </c>
      <c r="D588">
        <v>29.4</v>
      </c>
      <c r="E588">
        <v>100.2874149659864</v>
      </c>
      <c r="F588" t="s">
        <v>427</v>
      </c>
      <c r="G588" s="64">
        <v>41186</v>
      </c>
      <c r="H588">
        <v>260.47000000000003</v>
      </c>
      <c r="I588">
        <v>100.54543709448305</v>
      </c>
      <c r="J588">
        <v>100.2874149659864</v>
      </c>
    </row>
    <row r="589" spans="1:10" x14ac:dyDescent="0.25">
      <c r="A589" s="36"/>
      <c r="B589" t="s">
        <v>451</v>
      </c>
      <c r="C589" s="64">
        <v>41187</v>
      </c>
      <c r="D589">
        <v>28.89</v>
      </c>
      <c r="E589">
        <v>100.2748355832468</v>
      </c>
      <c r="F589" t="s">
        <v>427</v>
      </c>
      <c r="G589" s="64">
        <v>41187</v>
      </c>
      <c r="H589">
        <v>258.51</v>
      </c>
      <c r="I589">
        <v>100.54199063866001</v>
      </c>
      <c r="J589">
        <v>100.2748355832468</v>
      </c>
    </row>
    <row r="590" spans="1:10" x14ac:dyDescent="0.25">
      <c r="A590" s="36"/>
      <c r="B590" t="s">
        <v>451</v>
      </c>
      <c r="C590" s="64">
        <v>41190</v>
      </c>
      <c r="D590">
        <v>29.25</v>
      </c>
      <c r="E590">
        <v>100.28376068376069</v>
      </c>
      <c r="F590" t="s">
        <v>427</v>
      </c>
      <c r="G590" s="64">
        <v>41190</v>
      </c>
      <c r="H590">
        <v>259.06</v>
      </c>
      <c r="I590">
        <v>100.54296302014977</v>
      </c>
      <c r="J590">
        <v>100.28376068376069</v>
      </c>
    </row>
    <row r="591" spans="1:10" x14ac:dyDescent="0.25">
      <c r="A591" s="36"/>
      <c r="B591" t="s">
        <v>451</v>
      </c>
      <c r="C591" s="64">
        <v>41191</v>
      </c>
      <c r="D591">
        <v>28.37</v>
      </c>
      <c r="E591">
        <v>100.26154388438492</v>
      </c>
      <c r="F591" t="s">
        <v>427</v>
      </c>
      <c r="G591" s="64">
        <v>41191</v>
      </c>
      <c r="H591">
        <v>250.96</v>
      </c>
      <c r="I591">
        <v>100.52821166719797</v>
      </c>
      <c r="J591">
        <v>100.26154388438492</v>
      </c>
    </row>
    <row r="592" spans="1:10" x14ac:dyDescent="0.25">
      <c r="A592" s="36"/>
      <c r="B592" t="s">
        <v>451</v>
      </c>
      <c r="C592" s="64">
        <v>41192</v>
      </c>
      <c r="D592">
        <v>28.4</v>
      </c>
      <c r="E592">
        <v>100.26232394366197</v>
      </c>
      <c r="F592" t="s">
        <v>427</v>
      </c>
      <c r="G592" s="64">
        <v>41192</v>
      </c>
      <c r="H592">
        <v>244.99</v>
      </c>
      <c r="I592">
        <v>100.51671496795788</v>
      </c>
      <c r="J592">
        <v>100.26232394366197</v>
      </c>
    </row>
    <row r="593" spans="1:10" x14ac:dyDescent="0.25">
      <c r="A593" s="36"/>
      <c r="B593" t="s">
        <v>451</v>
      </c>
      <c r="C593" s="64">
        <v>41193</v>
      </c>
      <c r="D593">
        <v>28.32</v>
      </c>
      <c r="E593">
        <v>100.26024011299435</v>
      </c>
      <c r="F593" t="s">
        <v>427</v>
      </c>
      <c r="G593" s="64">
        <v>41193</v>
      </c>
      <c r="H593">
        <v>244.22</v>
      </c>
      <c r="I593">
        <v>100.51519122103022</v>
      </c>
      <c r="J593">
        <v>100.26024011299435</v>
      </c>
    </row>
    <row r="594" spans="1:10" x14ac:dyDescent="0.25">
      <c r="A594" s="36"/>
      <c r="B594" t="s">
        <v>451</v>
      </c>
      <c r="C594" s="64">
        <v>41194</v>
      </c>
      <c r="D594">
        <v>27.64</v>
      </c>
      <c r="E594">
        <v>100.24204052098408</v>
      </c>
      <c r="F594" t="s">
        <v>427</v>
      </c>
      <c r="G594" s="64">
        <v>41194</v>
      </c>
      <c r="H594">
        <v>242.36</v>
      </c>
      <c r="I594">
        <v>100.51147053969302</v>
      </c>
      <c r="J594">
        <v>100.24204052098408</v>
      </c>
    </row>
    <row r="595" spans="1:10" x14ac:dyDescent="0.25">
      <c r="A595" s="36"/>
      <c r="B595" t="s">
        <v>451</v>
      </c>
      <c r="C595" s="64">
        <v>41197</v>
      </c>
      <c r="D595">
        <v>27.33</v>
      </c>
      <c r="E595">
        <v>100.23344310281742</v>
      </c>
      <c r="F595" t="s">
        <v>427</v>
      </c>
      <c r="G595" s="64">
        <v>41197</v>
      </c>
      <c r="H595">
        <v>244.18</v>
      </c>
      <c r="I595">
        <v>100.51511180276844</v>
      </c>
      <c r="J595">
        <v>100.23344310281742</v>
      </c>
    </row>
    <row r="596" spans="1:10" x14ac:dyDescent="0.25">
      <c r="A596" s="36"/>
      <c r="B596" t="s">
        <v>451</v>
      </c>
      <c r="C596" s="64">
        <v>41198</v>
      </c>
      <c r="D596">
        <v>28.06</v>
      </c>
      <c r="E596">
        <v>100.25338560228083</v>
      </c>
      <c r="F596" t="s">
        <v>427</v>
      </c>
      <c r="G596" s="64">
        <v>41198</v>
      </c>
      <c r="H596">
        <v>243.94</v>
      </c>
      <c r="I596">
        <v>100.51463474624907</v>
      </c>
      <c r="J596">
        <v>100.25338560228083</v>
      </c>
    </row>
    <row r="597" spans="1:10" x14ac:dyDescent="0.25">
      <c r="A597" s="36"/>
      <c r="B597" t="s">
        <v>451</v>
      </c>
      <c r="C597" s="64">
        <v>41199</v>
      </c>
      <c r="D597">
        <v>28.818999999999999</v>
      </c>
      <c r="E597">
        <v>100.27304903015371</v>
      </c>
      <c r="F597" t="s">
        <v>427</v>
      </c>
      <c r="G597" s="64">
        <v>41199</v>
      </c>
      <c r="H597">
        <v>247.49</v>
      </c>
      <c r="I597">
        <v>100.52159683219524</v>
      </c>
      <c r="J597">
        <v>100.27304903015371</v>
      </c>
    </row>
    <row r="598" spans="1:10" x14ac:dyDescent="0.25">
      <c r="A598" s="36"/>
      <c r="B598" t="s">
        <v>451</v>
      </c>
      <c r="C598" s="64">
        <v>41200</v>
      </c>
      <c r="D598">
        <v>28.04</v>
      </c>
      <c r="E598">
        <v>100.25285306704707</v>
      </c>
      <c r="F598" t="s">
        <v>427</v>
      </c>
      <c r="G598" s="64">
        <v>41200</v>
      </c>
      <c r="H598">
        <v>244.85</v>
      </c>
      <c r="I598">
        <v>100.51643863589953</v>
      </c>
      <c r="J598">
        <v>100.25285306704707</v>
      </c>
    </row>
    <row r="599" spans="1:10" x14ac:dyDescent="0.25">
      <c r="A599" s="36"/>
      <c r="B599" t="s">
        <v>451</v>
      </c>
      <c r="C599" s="64">
        <v>41201</v>
      </c>
      <c r="D599">
        <v>27.74</v>
      </c>
      <c r="E599">
        <v>100.24477289113194</v>
      </c>
      <c r="F599" t="s">
        <v>427</v>
      </c>
      <c r="G599" s="64">
        <v>41201</v>
      </c>
      <c r="H599">
        <v>240</v>
      </c>
      <c r="I599">
        <v>100.50666666666666</v>
      </c>
      <c r="J599">
        <v>100.24477289113194</v>
      </c>
    </row>
    <row r="600" spans="1:10" x14ac:dyDescent="0.25">
      <c r="A600" s="36"/>
      <c r="B600" t="s">
        <v>451</v>
      </c>
      <c r="C600" s="64">
        <v>41204</v>
      </c>
      <c r="D600">
        <v>27.85</v>
      </c>
      <c r="E600">
        <v>100.24775583482945</v>
      </c>
      <c r="F600" t="s">
        <v>427</v>
      </c>
      <c r="G600" s="64">
        <v>41204</v>
      </c>
      <c r="H600">
        <v>233.78</v>
      </c>
      <c r="I600">
        <v>100.49354093592267</v>
      </c>
      <c r="J600">
        <v>100.24775583482945</v>
      </c>
    </row>
    <row r="601" spans="1:10" x14ac:dyDescent="0.25">
      <c r="A601" s="36"/>
      <c r="B601" t="s">
        <v>451</v>
      </c>
      <c r="C601" s="64">
        <v>41205</v>
      </c>
      <c r="D601">
        <v>28.39</v>
      </c>
      <c r="E601">
        <v>100.26206410707995</v>
      </c>
      <c r="F601" t="s">
        <v>427</v>
      </c>
      <c r="G601" s="64">
        <v>41205</v>
      </c>
      <c r="H601">
        <v>234.31</v>
      </c>
      <c r="I601">
        <v>100.49468652639665</v>
      </c>
      <c r="J601">
        <v>100.26206410707995</v>
      </c>
    </row>
    <row r="602" spans="1:10" x14ac:dyDescent="0.25">
      <c r="A602" s="36"/>
      <c r="B602" t="s">
        <v>451</v>
      </c>
      <c r="C602" s="64">
        <v>41206</v>
      </c>
      <c r="D602">
        <v>27.42</v>
      </c>
      <c r="E602">
        <v>100.23595915390226</v>
      </c>
      <c r="F602" t="s">
        <v>427</v>
      </c>
      <c r="G602" s="64">
        <v>41206</v>
      </c>
      <c r="H602">
        <v>228.49</v>
      </c>
      <c r="I602">
        <v>100.48181539673509</v>
      </c>
      <c r="J602">
        <v>100.23595915390226</v>
      </c>
    </row>
    <row r="603" spans="1:10" x14ac:dyDescent="0.25">
      <c r="A603" s="36"/>
      <c r="B603" t="s">
        <v>451</v>
      </c>
      <c r="C603" s="64">
        <v>41207</v>
      </c>
      <c r="D603">
        <v>27.52</v>
      </c>
      <c r="E603">
        <v>100.23873546511628</v>
      </c>
      <c r="F603" t="s">
        <v>427</v>
      </c>
      <c r="G603" s="64">
        <v>41207</v>
      </c>
      <c r="H603">
        <v>222.92</v>
      </c>
      <c r="I603">
        <v>100.46886775524852</v>
      </c>
      <c r="J603">
        <v>100.23873546511628</v>
      </c>
    </row>
    <row r="604" spans="1:10" x14ac:dyDescent="0.25">
      <c r="A604" s="36"/>
      <c r="B604" t="s">
        <v>451</v>
      </c>
      <c r="C604" s="64">
        <v>41208</v>
      </c>
      <c r="D604">
        <v>27.38</v>
      </c>
      <c r="E604">
        <v>100.23484295105916</v>
      </c>
      <c r="F604" t="s">
        <v>427</v>
      </c>
      <c r="G604" s="64">
        <v>41208</v>
      </c>
      <c r="H604">
        <v>238.24</v>
      </c>
      <c r="I604">
        <v>100.50302216252518</v>
      </c>
      <c r="J604">
        <v>100.23484295105916</v>
      </c>
    </row>
    <row r="605" spans="1:10" x14ac:dyDescent="0.25">
      <c r="A605" s="36"/>
      <c r="B605" t="s">
        <v>451</v>
      </c>
      <c r="C605" s="64">
        <v>41213</v>
      </c>
      <c r="D605">
        <v>28.131</v>
      </c>
      <c r="E605">
        <v>100.25526998684725</v>
      </c>
      <c r="F605" t="s">
        <v>427</v>
      </c>
      <c r="G605" s="64">
        <v>41213</v>
      </c>
      <c r="H605">
        <v>232.893</v>
      </c>
      <c r="I605">
        <v>100.49161202784111</v>
      </c>
      <c r="J605">
        <v>100.25526998684725</v>
      </c>
    </row>
    <row r="606" spans="1:10" x14ac:dyDescent="0.25">
      <c r="A606" s="36"/>
      <c r="B606" t="s">
        <v>451</v>
      </c>
      <c r="C606" s="64">
        <v>41214</v>
      </c>
      <c r="D606">
        <v>29.245000000000001</v>
      </c>
      <c r="E606">
        <v>100.28363822875706</v>
      </c>
      <c r="F606" t="s">
        <v>427</v>
      </c>
      <c r="G606" s="64">
        <v>41214</v>
      </c>
      <c r="H606">
        <v>232.14</v>
      </c>
      <c r="I606">
        <v>100.48996295339019</v>
      </c>
      <c r="J606">
        <v>100.28363822875706</v>
      </c>
    </row>
    <row r="607" spans="1:10" x14ac:dyDescent="0.25">
      <c r="A607" s="36"/>
      <c r="B607" t="s">
        <v>451</v>
      </c>
      <c r="C607" s="64">
        <v>41215</v>
      </c>
      <c r="D607">
        <v>28.917999999999999</v>
      </c>
      <c r="E607">
        <v>100.27553772736704</v>
      </c>
      <c r="F607" t="s">
        <v>427</v>
      </c>
      <c r="G607" s="64">
        <v>41215</v>
      </c>
      <c r="H607">
        <v>232.422</v>
      </c>
      <c r="I607">
        <v>100.49058178657786</v>
      </c>
      <c r="J607">
        <v>100.27553772736704</v>
      </c>
    </row>
    <row r="608" spans="1:10" x14ac:dyDescent="0.25">
      <c r="A608" s="36"/>
      <c r="B608" t="s">
        <v>451</v>
      </c>
      <c r="C608" s="64">
        <v>41218</v>
      </c>
      <c r="D608">
        <v>31.5</v>
      </c>
      <c r="E608">
        <v>100.33492063492064</v>
      </c>
      <c r="F608" t="s">
        <v>427</v>
      </c>
      <c r="G608" s="64">
        <v>41218</v>
      </c>
      <c r="H608">
        <v>234.33</v>
      </c>
      <c r="I608">
        <v>100.49472965476038</v>
      </c>
      <c r="J608">
        <v>100.33492063492064</v>
      </c>
    </row>
    <row r="609" spans="1:10" x14ac:dyDescent="0.25">
      <c r="A609" s="36"/>
      <c r="B609" t="s">
        <v>451</v>
      </c>
      <c r="C609" s="64">
        <v>41219</v>
      </c>
      <c r="D609">
        <v>31.15</v>
      </c>
      <c r="E609">
        <v>100.3274478330658</v>
      </c>
      <c r="F609" t="s">
        <v>427</v>
      </c>
      <c r="G609" s="64">
        <v>41219</v>
      </c>
      <c r="H609">
        <v>237.56</v>
      </c>
      <c r="I609">
        <v>100.50159959589156</v>
      </c>
      <c r="J609">
        <v>100.3274478330658</v>
      </c>
    </row>
    <row r="610" spans="1:10" x14ac:dyDescent="0.25">
      <c r="A610" s="36"/>
      <c r="B610" t="s">
        <v>451</v>
      </c>
      <c r="C610" s="64">
        <v>41220</v>
      </c>
      <c r="D610">
        <v>31.54</v>
      </c>
      <c r="E610">
        <v>100.33576410906785</v>
      </c>
      <c r="F610" t="s">
        <v>427</v>
      </c>
      <c r="G610" s="64">
        <v>41220</v>
      </c>
      <c r="H610">
        <v>232.06100000000001</v>
      </c>
      <c r="I610">
        <v>100.48978932263499</v>
      </c>
      <c r="J610">
        <v>100.33576410906785</v>
      </c>
    </row>
    <row r="611" spans="1:10" x14ac:dyDescent="0.25">
      <c r="A611" s="36"/>
      <c r="B611" t="s">
        <v>451</v>
      </c>
      <c r="C611" s="64">
        <v>41221</v>
      </c>
      <c r="D611">
        <v>31.31</v>
      </c>
      <c r="E611">
        <v>100.33088470137336</v>
      </c>
      <c r="F611" t="s">
        <v>427</v>
      </c>
      <c r="G611" s="64">
        <v>41221</v>
      </c>
      <c r="H611">
        <v>227.35</v>
      </c>
      <c r="I611">
        <v>100.47921706619749</v>
      </c>
      <c r="J611">
        <v>100.33088470137336</v>
      </c>
    </row>
    <row r="612" spans="1:10" x14ac:dyDescent="0.25">
      <c r="A612" s="36"/>
      <c r="B612" t="s">
        <v>451</v>
      </c>
      <c r="C612" s="64">
        <v>41222</v>
      </c>
      <c r="D612">
        <v>30.32</v>
      </c>
      <c r="E612">
        <v>100.30903693931398</v>
      </c>
      <c r="F612" t="s">
        <v>427</v>
      </c>
      <c r="G612" s="64">
        <v>41222</v>
      </c>
      <c r="H612">
        <v>226.31</v>
      </c>
      <c r="I612">
        <v>100.47682382572577</v>
      </c>
      <c r="J612">
        <v>100.30903693931398</v>
      </c>
    </row>
    <row r="613" spans="1:10" x14ac:dyDescent="0.25">
      <c r="A613" s="36"/>
      <c r="B613" t="s">
        <v>451</v>
      </c>
      <c r="C613" s="64">
        <v>41225</v>
      </c>
      <c r="D613">
        <v>31.07</v>
      </c>
      <c r="E613">
        <v>100.32571612487931</v>
      </c>
      <c r="F613" t="s">
        <v>427</v>
      </c>
      <c r="G613" s="64">
        <v>41225</v>
      </c>
      <c r="H613">
        <v>226.47</v>
      </c>
      <c r="I613">
        <v>100.4771934472557</v>
      </c>
      <c r="J613">
        <v>100.32571612487931</v>
      </c>
    </row>
    <row r="614" spans="1:10" x14ac:dyDescent="0.25">
      <c r="A614" s="36"/>
      <c r="B614" t="s">
        <v>451</v>
      </c>
      <c r="C614" s="64">
        <v>41226</v>
      </c>
      <c r="D614">
        <v>31.614000000000001</v>
      </c>
      <c r="E614">
        <v>100.33731890934396</v>
      </c>
      <c r="F614" t="s">
        <v>427</v>
      </c>
      <c r="G614" s="64">
        <v>41226</v>
      </c>
      <c r="H614">
        <v>226.6</v>
      </c>
      <c r="I614">
        <v>100.477493380406</v>
      </c>
      <c r="J614">
        <v>100.33731890934396</v>
      </c>
    </row>
    <row r="615" spans="1:10" x14ac:dyDescent="0.25">
      <c r="A615" s="36"/>
      <c r="B615" t="s">
        <v>451</v>
      </c>
      <c r="C615" s="64">
        <v>41227</v>
      </c>
      <c r="D615">
        <v>31.38</v>
      </c>
      <c r="E615">
        <v>100.33237731038878</v>
      </c>
      <c r="F615" t="s">
        <v>427</v>
      </c>
      <c r="G615" s="64">
        <v>41227</v>
      </c>
      <c r="H615">
        <v>222.95</v>
      </c>
      <c r="I615">
        <v>100.46893922404126</v>
      </c>
      <c r="J615">
        <v>100.33237731038878</v>
      </c>
    </row>
    <row r="616" spans="1:10" x14ac:dyDescent="0.25">
      <c r="A616" s="36"/>
      <c r="B616" t="s">
        <v>451</v>
      </c>
      <c r="C616" s="64">
        <v>41228</v>
      </c>
      <c r="D616">
        <v>30.82</v>
      </c>
      <c r="E616">
        <v>100.32024659312135</v>
      </c>
      <c r="F616" t="s">
        <v>427</v>
      </c>
      <c r="G616" s="64">
        <v>41228</v>
      </c>
      <c r="H616">
        <v>220.59899999999999</v>
      </c>
      <c r="I616">
        <v>100.46327952529249</v>
      </c>
      <c r="J616">
        <v>100.32024659312135</v>
      </c>
    </row>
    <row r="617" spans="1:10" x14ac:dyDescent="0.25">
      <c r="A617" s="36"/>
      <c r="B617" t="s">
        <v>451</v>
      </c>
      <c r="C617" s="64">
        <v>41229</v>
      </c>
      <c r="D617">
        <v>31.84</v>
      </c>
      <c r="E617">
        <v>100.34202261306532</v>
      </c>
      <c r="F617" t="s">
        <v>427</v>
      </c>
      <c r="G617" s="64">
        <v>41229</v>
      </c>
      <c r="H617">
        <v>225.23</v>
      </c>
      <c r="I617">
        <v>100.47431514451894</v>
      </c>
      <c r="J617">
        <v>100.34202261306532</v>
      </c>
    </row>
    <row r="618" spans="1:10" x14ac:dyDescent="0.25">
      <c r="A618" s="36"/>
      <c r="B618" t="s">
        <v>451</v>
      </c>
      <c r="C618" s="64">
        <v>41232</v>
      </c>
      <c r="D618">
        <v>32.92</v>
      </c>
      <c r="E618">
        <v>100.36360874848117</v>
      </c>
      <c r="F618" t="s">
        <v>427</v>
      </c>
      <c r="G618" s="64">
        <v>41232</v>
      </c>
      <c r="H618">
        <v>229.71</v>
      </c>
      <c r="I618">
        <v>100.48456749814984</v>
      </c>
      <c r="J618">
        <v>100.36360874848117</v>
      </c>
    </row>
    <row r="619" spans="1:10" x14ac:dyDescent="0.25">
      <c r="A619" s="36"/>
      <c r="B619" t="s">
        <v>451</v>
      </c>
      <c r="C619" s="64">
        <v>41233</v>
      </c>
      <c r="D619">
        <v>33</v>
      </c>
      <c r="E619">
        <v>100.36515151515151</v>
      </c>
      <c r="F619" t="s">
        <v>427</v>
      </c>
      <c r="G619" s="64">
        <v>41233</v>
      </c>
      <c r="H619">
        <v>233.78</v>
      </c>
      <c r="I619">
        <v>100.49354093592267</v>
      </c>
      <c r="J619">
        <v>100.36515151515151</v>
      </c>
    </row>
    <row r="620" spans="1:10" x14ac:dyDescent="0.25">
      <c r="A620" s="36"/>
      <c r="B620" t="s">
        <v>451</v>
      </c>
      <c r="C620" s="64">
        <v>41234</v>
      </c>
      <c r="D620">
        <v>32.47</v>
      </c>
      <c r="E620">
        <v>100.35478903603327</v>
      </c>
      <c r="F620" t="s">
        <v>427</v>
      </c>
      <c r="G620" s="64">
        <v>41234</v>
      </c>
      <c r="H620">
        <v>238.03</v>
      </c>
      <c r="I620">
        <v>100.50258370793597</v>
      </c>
      <c r="J620">
        <v>100.35478903603327</v>
      </c>
    </row>
    <row r="621" spans="1:10" x14ac:dyDescent="0.25">
      <c r="A621" s="36"/>
      <c r="B621" t="s">
        <v>451</v>
      </c>
      <c r="C621" s="64">
        <v>41236</v>
      </c>
      <c r="D621">
        <v>32.130000000000003</v>
      </c>
      <c r="E621">
        <v>100.34796140678493</v>
      </c>
      <c r="F621" t="s">
        <v>427</v>
      </c>
      <c r="G621" s="64">
        <v>41236</v>
      </c>
      <c r="H621">
        <v>239.88</v>
      </c>
      <c r="I621">
        <v>100.50641987660497</v>
      </c>
      <c r="J621">
        <v>100.34796140678493</v>
      </c>
    </row>
    <row r="622" spans="1:10" x14ac:dyDescent="0.25">
      <c r="A622" s="36"/>
      <c r="B622" t="s">
        <v>451</v>
      </c>
      <c r="C622" s="64">
        <v>41239</v>
      </c>
      <c r="D622">
        <v>32.270000000000003</v>
      </c>
      <c r="E622">
        <v>100.35079020762318</v>
      </c>
      <c r="F622" t="s">
        <v>427</v>
      </c>
      <c r="G622" s="64">
        <v>41239</v>
      </c>
      <c r="H622">
        <v>243.62</v>
      </c>
      <c r="I622">
        <v>100.51399720876775</v>
      </c>
      <c r="J622">
        <v>100.35079020762318</v>
      </c>
    </row>
    <row r="623" spans="1:10" x14ac:dyDescent="0.25">
      <c r="A623" s="36"/>
      <c r="B623" t="s">
        <v>451</v>
      </c>
      <c r="C623" s="64">
        <v>41240</v>
      </c>
      <c r="D623">
        <v>32.15</v>
      </c>
      <c r="E623">
        <v>100.348367029549</v>
      </c>
      <c r="F623" t="s">
        <v>427</v>
      </c>
      <c r="G623" s="64">
        <v>41240</v>
      </c>
      <c r="H623">
        <v>243.40199999999999</v>
      </c>
      <c r="I623">
        <v>100.51356192636051</v>
      </c>
      <c r="J623">
        <v>100.348367029549</v>
      </c>
    </row>
    <row r="624" spans="1:10" x14ac:dyDescent="0.25">
      <c r="A624" s="36"/>
      <c r="B624" t="s">
        <v>451</v>
      </c>
      <c r="C624" s="64">
        <v>41241</v>
      </c>
      <c r="D624">
        <v>33.229999999999997</v>
      </c>
      <c r="E624">
        <v>100.36954559133314</v>
      </c>
      <c r="F624" t="s">
        <v>427</v>
      </c>
      <c r="G624" s="64">
        <v>41241</v>
      </c>
      <c r="H624">
        <v>247.11</v>
      </c>
      <c r="I624">
        <v>100.52086115495123</v>
      </c>
      <c r="J624">
        <v>100.36954559133314</v>
      </c>
    </row>
    <row r="625" spans="1:10" x14ac:dyDescent="0.25">
      <c r="A625" s="36"/>
      <c r="B625" t="s">
        <v>451</v>
      </c>
      <c r="C625" s="64">
        <v>41242</v>
      </c>
      <c r="D625">
        <v>33.69</v>
      </c>
      <c r="E625">
        <v>100.37815375482339</v>
      </c>
      <c r="F625" t="s">
        <v>427</v>
      </c>
      <c r="G625" s="64">
        <v>41242</v>
      </c>
      <c r="H625">
        <v>251.27</v>
      </c>
      <c r="I625">
        <v>100.52879372786246</v>
      </c>
      <c r="J625">
        <v>100.37815375482339</v>
      </c>
    </row>
    <row r="626" spans="1:10" x14ac:dyDescent="0.25">
      <c r="A626" s="36"/>
      <c r="B626" t="s">
        <v>451</v>
      </c>
      <c r="C626" s="64">
        <v>41243</v>
      </c>
      <c r="D626">
        <v>33.82</v>
      </c>
      <c r="E626">
        <v>100.38054405677114</v>
      </c>
      <c r="F626" t="s">
        <v>427</v>
      </c>
      <c r="G626" s="64">
        <v>41243</v>
      </c>
      <c r="H626">
        <v>252.05</v>
      </c>
      <c r="I626">
        <v>100.53025193414005</v>
      </c>
      <c r="J626">
        <v>100.38054405677114</v>
      </c>
    </row>
    <row r="627" spans="1:10" x14ac:dyDescent="0.25">
      <c r="A627" s="36"/>
      <c r="B627" t="s">
        <v>451</v>
      </c>
      <c r="C627" s="64">
        <v>41246</v>
      </c>
      <c r="D627">
        <v>34.619999999999997</v>
      </c>
      <c r="E627">
        <v>100.394858463316</v>
      </c>
      <c r="F627" t="s">
        <v>427</v>
      </c>
      <c r="G627" s="64">
        <v>41246</v>
      </c>
      <c r="H627">
        <v>250.32900000000001</v>
      </c>
      <c r="I627">
        <v>100.52702243847098</v>
      </c>
      <c r="J627">
        <v>100.394858463316</v>
      </c>
    </row>
    <row r="628" spans="1:10" x14ac:dyDescent="0.25">
      <c r="A628" s="36"/>
      <c r="B628" t="s">
        <v>451</v>
      </c>
      <c r="C628" s="64">
        <v>41247</v>
      </c>
      <c r="D628">
        <v>33.9</v>
      </c>
      <c r="E628">
        <v>100.38200589970502</v>
      </c>
      <c r="F628" t="s">
        <v>427</v>
      </c>
      <c r="G628" s="64">
        <v>41247</v>
      </c>
      <c r="H628">
        <v>252.488</v>
      </c>
      <c r="I628">
        <v>100.53106682297772</v>
      </c>
      <c r="J628">
        <v>100.38200589970502</v>
      </c>
    </row>
    <row r="629" spans="1:10" x14ac:dyDescent="0.25">
      <c r="A629" s="36"/>
      <c r="B629" t="s">
        <v>451</v>
      </c>
      <c r="C629" s="64">
        <v>41248</v>
      </c>
      <c r="D629">
        <v>33.71</v>
      </c>
      <c r="E629">
        <v>100.37852269356274</v>
      </c>
      <c r="F629" t="s">
        <v>427</v>
      </c>
      <c r="G629" s="64">
        <v>41248</v>
      </c>
      <c r="H629">
        <v>253.96</v>
      </c>
      <c r="I629">
        <v>100.53378484800756</v>
      </c>
      <c r="J629">
        <v>100.37852269356274</v>
      </c>
    </row>
    <row r="630" spans="1:10" x14ac:dyDescent="0.25">
      <c r="A630" s="36"/>
      <c r="B630" t="s">
        <v>451</v>
      </c>
      <c r="C630" s="64">
        <v>41249</v>
      </c>
      <c r="D630">
        <v>33.9</v>
      </c>
      <c r="E630">
        <v>100.38200589970502</v>
      </c>
      <c r="F630" t="s">
        <v>427</v>
      </c>
      <c r="G630" s="64">
        <v>41249</v>
      </c>
      <c r="H630">
        <v>253.37</v>
      </c>
      <c r="I630">
        <v>100.53269921458737</v>
      </c>
      <c r="J630">
        <v>100.38200589970502</v>
      </c>
    </row>
    <row r="631" spans="1:10" x14ac:dyDescent="0.25">
      <c r="A631" s="36"/>
      <c r="B631" t="s">
        <v>451</v>
      </c>
      <c r="C631" s="64">
        <v>41250</v>
      </c>
      <c r="D631">
        <v>34.17</v>
      </c>
      <c r="E631">
        <v>100.3868890839918</v>
      </c>
      <c r="F631" t="s">
        <v>427</v>
      </c>
      <c r="G631" s="64">
        <v>41250</v>
      </c>
      <c r="H631">
        <v>253.268</v>
      </c>
      <c r="I631">
        <v>100.53251101599886</v>
      </c>
      <c r="J631">
        <v>100.3868890839918</v>
      </c>
    </row>
    <row r="632" spans="1:10" x14ac:dyDescent="0.25">
      <c r="A632" s="36"/>
      <c r="B632" t="s">
        <v>451</v>
      </c>
      <c r="C632" s="64">
        <v>41253</v>
      </c>
      <c r="D632">
        <v>34.57</v>
      </c>
      <c r="E632">
        <v>100.3939832224472</v>
      </c>
      <c r="F632" t="s">
        <v>427</v>
      </c>
      <c r="G632" s="64">
        <v>41253</v>
      </c>
      <c r="H632">
        <v>247.77</v>
      </c>
      <c r="I632">
        <v>100.52213746619849</v>
      </c>
      <c r="J632">
        <v>100.3939832224472</v>
      </c>
    </row>
    <row r="633" spans="1:10" x14ac:dyDescent="0.25">
      <c r="A633" s="36"/>
      <c r="B633" t="s">
        <v>451</v>
      </c>
      <c r="C633" s="64">
        <v>41254</v>
      </c>
      <c r="D633">
        <v>35.28</v>
      </c>
      <c r="E633">
        <v>100.40617913832199</v>
      </c>
      <c r="F633" t="s">
        <v>427</v>
      </c>
      <c r="G633" s="64">
        <v>41254</v>
      </c>
      <c r="H633">
        <v>250.69</v>
      </c>
      <c r="I633">
        <v>100.52770353823448</v>
      </c>
      <c r="J633">
        <v>100.40617913832199</v>
      </c>
    </row>
    <row r="634" spans="1:10" x14ac:dyDescent="0.25">
      <c r="A634" s="36"/>
      <c r="B634" t="s">
        <v>451</v>
      </c>
      <c r="C634" s="64">
        <v>41255</v>
      </c>
      <c r="D634">
        <v>35.26</v>
      </c>
      <c r="E634">
        <v>100.40584231423709</v>
      </c>
      <c r="F634" t="s">
        <v>427</v>
      </c>
      <c r="G634" s="64">
        <v>41255</v>
      </c>
      <c r="H634">
        <v>251.76</v>
      </c>
      <c r="I634">
        <v>100.52971083571656</v>
      </c>
      <c r="J634">
        <v>100.40584231423709</v>
      </c>
    </row>
    <row r="635" spans="1:10" x14ac:dyDescent="0.25">
      <c r="A635" s="36"/>
      <c r="B635" t="s">
        <v>451</v>
      </c>
      <c r="C635" s="64">
        <v>41256</v>
      </c>
      <c r="D635">
        <v>33.61</v>
      </c>
      <c r="E635">
        <v>100.37667360904493</v>
      </c>
      <c r="F635" t="s">
        <v>427</v>
      </c>
      <c r="G635" s="64">
        <v>41256</v>
      </c>
      <c r="H635">
        <v>251.25</v>
      </c>
      <c r="I635">
        <v>100.52875621890547</v>
      </c>
      <c r="J635">
        <v>100.37667360904493</v>
      </c>
    </row>
    <row r="636" spans="1:10" x14ac:dyDescent="0.25">
      <c r="A636" s="36"/>
      <c r="B636" t="s">
        <v>451</v>
      </c>
      <c r="C636" s="64">
        <v>41257</v>
      </c>
      <c r="D636">
        <v>33.81</v>
      </c>
      <c r="E636">
        <v>100.38036083998817</v>
      </c>
      <c r="F636" t="s">
        <v>427</v>
      </c>
      <c r="G636" s="64">
        <v>41257</v>
      </c>
      <c r="H636">
        <v>249.19</v>
      </c>
      <c r="I636">
        <v>100.52486054817609</v>
      </c>
      <c r="J636">
        <v>100.38036083998817</v>
      </c>
    </row>
    <row r="637" spans="1:10" x14ac:dyDescent="0.25">
      <c r="A637" s="36"/>
      <c r="B637" t="s">
        <v>451</v>
      </c>
      <c r="C637" s="64">
        <v>41260</v>
      </c>
      <c r="D637">
        <v>34.4</v>
      </c>
      <c r="E637">
        <v>100.39098837209302</v>
      </c>
      <c r="F637" t="s">
        <v>427</v>
      </c>
      <c r="G637" s="64">
        <v>41260</v>
      </c>
      <c r="H637">
        <v>253.86</v>
      </c>
      <c r="I637">
        <v>100.53360119751044</v>
      </c>
      <c r="J637">
        <v>100.39098837209302</v>
      </c>
    </row>
    <row r="638" spans="1:10" x14ac:dyDescent="0.25">
      <c r="A638" s="36"/>
      <c r="B638" t="s">
        <v>451</v>
      </c>
      <c r="C638" s="64">
        <v>41261</v>
      </c>
      <c r="D638">
        <v>34.590000000000003</v>
      </c>
      <c r="E638">
        <v>100.39433362243423</v>
      </c>
      <c r="F638" t="s">
        <v>427</v>
      </c>
      <c r="G638" s="64">
        <v>41261</v>
      </c>
      <c r="H638">
        <v>260.39999999999998</v>
      </c>
      <c r="I638">
        <v>100.54531490015361</v>
      </c>
      <c r="J638">
        <v>100.39433362243423</v>
      </c>
    </row>
    <row r="639" spans="1:10" x14ac:dyDescent="0.25">
      <c r="A639" s="36"/>
      <c r="B639" t="s">
        <v>451</v>
      </c>
      <c r="C639" s="64">
        <v>41262</v>
      </c>
      <c r="D639">
        <v>34.61</v>
      </c>
      <c r="E639">
        <v>100.39468361745161</v>
      </c>
      <c r="F639" t="s">
        <v>427</v>
      </c>
      <c r="G639" s="64">
        <v>41262</v>
      </c>
      <c r="H639">
        <v>257.99</v>
      </c>
      <c r="I639">
        <v>100.54106748323578</v>
      </c>
      <c r="J639">
        <v>100.39468361745161</v>
      </c>
    </row>
    <row r="640" spans="1:10" x14ac:dyDescent="0.25">
      <c r="A640" s="36"/>
      <c r="B640" t="s">
        <v>451</v>
      </c>
      <c r="C640" s="64">
        <v>41263</v>
      </c>
      <c r="D640">
        <v>34.43</v>
      </c>
      <c r="E640">
        <v>100.39151902410688</v>
      </c>
      <c r="F640" t="s">
        <v>427</v>
      </c>
      <c r="G640" s="64">
        <v>41263</v>
      </c>
      <c r="H640">
        <v>261.5</v>
      </c>
      <c r="I640">
        <v>100.5472275334608</v>
      </c>
      <c r="J640">
        <v>100.39151902410688</v>
      </c>
    </row>
    <row r="641" spans="1:10" x14ac:dyDescent="0.25">
      <c r="A641" s="36"/>
      <c r="B641" t="s">
        <v>451</v>
      </c>
      <c r="C641" s="64">
        <v>41264</v>
      </c>
      <c r="D641">
        <v>34</v>
      </c>
      <c r="E641">
        <v>100.38382352941177</v>
      </c>
      <c r="F641" t="s">
        <v>427</v>
      </c>
      <c r="G641" s="64">
        <v>41264</v>
      </c>
      <c r="H641">
        <v>256.92</v>
      </c>
      <c r="I641">
        <v>100.53915615755878</v>
      </c>
      <c r="J641">
        <v>100.38382352941177</v>
      </c>
    </row>
    <row r="642" spans="1:10" x14ac:dyDescent="0.25">
      <c r="A642" s="36"/>
      <c r="B642" t="s">
        <v>451</v>
      </c>
      <c r="C642" s="64">
        <v>41267</v>
      </c>
      <c r="D642">
        <v>34.28</v>
      </c>
      <c r="E642">
        <v>100.38885647607934</v>
      </c>
      <c r="F642" t="s">
        <v>427</v>
      </c>
      <c r="G642" s="64">
        <v>41267</v>
      </c>
      <c r="H642">
        <v>258.62</v>
      </c>
      <c r="I642">
        <v>100.54218544582785</v>
      </c>
      <c r="J642">
        <v>100.38885647607934</v>
      </c>
    </row>
    <row r="643" spans="1:10" x14ac:dyDescent="0.25">
      <c r="A643" s="36"/>
      <c r="B643" t="s">
        <v>451</v>
      </c>
      <c r="C643" s="64">
        <v>41269</v>
      </c>
      <c r="D643">
        <v>33.590000000000003</v>
      </c>
      <c r="E643">
        <v>100.3763024709735</v>
      </c>
      <c r="F643" t="s">
        <v>427</v>
      </c>
      <c r="G643" s="64">
        <v>41269</v>
      </c>
      <c r="H643">
        <v>248.631</v>
      </c>
      <c r="I643">
        <v>100.5237922865612</v>
      </c>
      <c r="J643">
        <v>100.3763024709735</v>
      </c>
    </row>
    <row r="644" spans="1:10" x14ac:dyDescent="0.25">
      <c r="A644" s="36"/>
      <c r="B644" t="s">
        <v>451</v>
      </c>
      <c r="C644" s="64">
        <v>41270</v>
      </c>
      <c r="D644">
        <v>33.69</v>
      </c>
      <c r="E644">
        <v>100.37815375482339</v>
      </c>
      <c r="F644" t="s">
        <v>427</v>
      </c>
      <c r="G644" s="64">
        <v>41270</v>
      </c>
      <c r="H644">
        <v>248.31</v>
      </c>
      <c r="I644">
        <v>100.52317667431839</v>
      </c>
      <c r="J644">
        <v>100.37815375482339</v>
      </c>
    </row>
    <row r="645" spans="1:10" x14ac:dyDescent="0.25">
      <c r="A645" s="36"/>
      <c r="B645" t="s">
        <v>451</v>
      </c>
      <c r="C645" s="64">
        <v>41271</v>
      </c>
      <c r="D645">
        <v>33.22</v>
      </c>
      <c r="E645">
        <v>100.36935580975316</v>
      </c>
      <c r="F645" t="s">
        <v>427</v>
      </c>
      <c r="G645" s="64">
        <v>41271</v>
      </c>
      <c r="H645">
        <v>245.18</v>
      </c>
      <c r="I645">
        <v>100.51708948527613</v>
      </c>
      <c r="J645">
        <v>100.36935580975316</v>
      </c>
    </row>
    <row r="646" spans="1:10" x14ac:dyDescent="0.25">
      <c r="A646" s="36"/>
      <c r="B646" t="s">
        <v>451</v>
      </c>
      <c r="C646" s="64">
        <v>41274</v>
      </c>
      <c r="D646">
        <v>33.869999999999997</v>
      </c>
      <c r="E646">
        <v>100.38145851786241</v>
      </c>
      <c r="F646" t="s">
        <v>427</v>
      </c>
      <c r="G646" s="64">
        <v>41274</v>
      </c>
      <c r="H646">
        <v>250.87</v>
      </c>
      <c r="I646">
        <v>100.52804241240483</v>
      </c>
      <c r="J646">
        <v>100.38145851786241</v>
      </c>
    </row>
    <row r="647" spans="1:10" x14ac:dyDescent="0.25">
      <c r="A647" s="36"/>
      <c r="B647" t="s">
        <v>451</v>
      </c>
      <c r="C647" s="64">
        <v>41276</v>
      </c>
      <c r="D647">
        <v>35.36</v>
      </c>
      <c r="E647">
        <v>100.40752262443439</v>
      </c>
      <c r="F647" t="s">
        <v>427</v>
      </c>
      <c r="G647" s="64">
        <v>41276</v>
      </c>
      <c r="H647">
        <v>257.31</v>
      </c>
      <c r="I647">
        <v>100.53985465003304</v>
      </c>
      <c r="J647">
        <v>100.40752262443439</v>
      </c>
    </row>
    <row r="648" spans="1:10" x14ac:dyDescent="0.25">
      <c r="A648" s="36"/>
      <c r="B648" t="s">
        <v>451</v>
      </c>
      <c r="C648" s="64">
        <v>41277</v>
      </c>
      <c r="D648">
        <v>34.770000000000003</v>
      </c>
      <c r="E648">
        <v>100.39746908254241</v>
      </c>
      <c r="F648" t="s">
        <v>427</v>
      </c>
      <c r="G648" s="64">
        <v>41277</v>
      </c>
      <c r="H648">
        <v>258.48</v>
      </c>
      <c r="I648">
        <v>100.54193748065614</v>
      </c>
      <c r="J648">
        <v>100.39746908254241</v>
      </c>
    </row>
    <row r="649" spans="1:10" x14ac:dyDescent="0.25">
      <c r="A649" s="36"/>
      <c r="B649" t="s">
        <v>451</v>
      </c>
      <c r="C649" s="64">
        <v>41278</v>
      </c>
      <c r="D649">
        <v>34.4</v>
      </c>
      <c r="E649">
        <v>100.39098837209302</v>
      </c>
      <c r="F649" t="s">
        <v>427</v>
      </c>
      <c r="G649" s="64">
        <v>41278</v>
      </c>
      <c r="H649">
        <v>259.14999999999998</v>
      </c>
      <c r="I649">
        <v>100.54312174416361</v>
      </c>
      <c r="J649">
        <v>100.39098837209302</v>
      </c>
    </row>
    <row r="650" spans="1:10" x14ac:dyDescent="0.25">
      <c r="A650" s="36"/>
      <c r="B650" t="s">
        <v>451</v>
      </c>
      <c r="C650" s="64">
        <v>41281</v>
      </c>
      <c r="D650">
        <v>34.340000000000003</v>
      </c>
      <c r="E650">
        <v>100.3899242865463</v>
      </c>
      <c r="F650" t="s">
        <v>427</v>
      </c>
      <c r="G650" s="64">
        <v>41281</v>
      </c>
      <c r="H650">
        <v>268.459</v>
      </c>
      <c r="I650">
        <v>100.55896431112386</v>
      </c>
      <c r="J650">
        <v>100.3899242865463</v>
      </c>
    </row>
    <row r="651" spans="1:10" x14ac:dyDescent="0.25">
      <c r="A651" s="36"/>
      <c r="B651" t="s">
        <v>451</v>
      </c>
      <c r="C651" s="64">
        <v>41282</v>
      </c>
      <c r="D651">
        <v>33.68</v>
      </c>
      <c r="E651">
        <v>100.37796912114014</v>
      </c>
      <c r="F651" t="s">
        <v>427</v>
      </c>
      <c r="G651" s="64">
        <v>41282</v>
      </c>
      <c r="H651">
        <v>266.38</v>
      </c>
      <c r="I651">
        <v>100.55552218635033</v>
      </c>
      <c r="J651">
        <v>100.37796912114014</v>
      </c>
    </row>
    <row r="652" spans="1:10" x14ac:dyDescent="0.25">
      <c r="A652" s="36"/>
      <c r="B652" t="s">
        <v>451</v>
      </c>
      <c r="C652" s="64">
        <v>41283</v>
      </c>
      <c r="D652">
        <v>33.64</v>
      </c>
      <c r="E652">
        <v>100.37722948870392</v>
      </c>
      <c r="F652" t="s">
        <v>427</v>
      </c>
      <c r="G652" s="64">
        <v>41283</v>
      </c>
      <c r="H652">
        <v>266.35000000000002</v>
      </c>
      <c r="I652">
        <v>100.55547212314623</v>
      </c>
      <c r="J652">
        <v>100.37722948870392</v>
      </c>
    </row>
    <row r="653" spans="1:10" x14ac:dyDescent="0.25">
      <c r="A653" s="36"/>
      <c r="B653" t="s">
        <v>451</v>
      </c>
      <c r="C653" s="64">
        <v>41284</v>
      </c>
      <c r="D653">
        <v>33.53</v>
      </c>
      <c r="E653">
        <v>100.37518640023859</v>
      </c>
      <c r="F653" t="s">
        <v>427</v>
      </c>
      <c r="G653" s="64">
        <v>41284</v>
      </c>
      <c r="H653">
        <v>265.33999999999997</v>
      </c>
      <c r="I653">
        <v>100.55378005577749</v>
      </c>
      <c r="J653">
        <v>100.37518640023859</v>
      </c>
    </row>
    <row r="654" spans="1:10" x14ac:dyDescent="0.25">
      <c r="A654" s="36"/>
      <c r="B654" t="s">
        <v>451</v>
      </c>
      <c r="C654" s="64">
        <v>41285</v>
      </c>
      <c r="D654">
        <v>32.909999999999997</v>
      </c>
      <c r="E654">
        <v>100.36341537526587</v>
      </c>
      <c r="F654" t="s">
        <v>427</v>
      </c>
      <c r="G654" s="64">
        <v>41285</v>
      </c>
      <c r="H654">
        <v>267.94</v>
      </c>
      <c r="I654">
        <v>100.55811002463238</v>
      </c>
      <c r="J654">
        <v>100.36341537526587</v>
      </c>
    </row>
    <row r="655" spans="1:10" x14ac:dyDescent="0.25">
      <c r="A655" s="36"/>
      <c r="B655" t="s">
        <v>451</v>
      </c>
      <c r="C655" s="64">
        <v>41288</v>
      </c>
      <c r="D655">
        <v>33.26</v>
      </c>
      <c r="E655">
        <v>100.37011425135297</v>
      </c>
      <c r="F655" t="s">
        <v>427</v>
      </c>
      <c r="G655" s="64">
        <v>41288</v>
      </c>
      <c r="H655">
        <v>272.73</v>
      </c>
      <c r="I655">
        <v>100.56587100795659</v>
      </c>
      <c r="J655">
        <v>100.37011425135297</v>
      </c>
    </row>
    <row r="656" spans="1:10" x14ac:dyDescent="0.25">
      <c r="A656" s="36"/>
      <c r="B656" t="s">
        <v>451</v>
      </c>
      <c r="C656" s="64">
        <v>41289</v>
      </c>
      <c r="D656">
        <v>33.9</v>
      </c>
      <c r="E656">
        <v>100.38200589970502</v>
      </c>
      <c r="F656" t="s">
        <v>427</v>
      </c>
      <c r="G656" s="64">
        <v>41289</v>
      </c>
      <c r="H656">
        <v>271.89999999999998</v>
      </c>
      <c r="I656">
        <v>100.56454578889297</v>
      </c>
      <c r="J656">
        <v>100.38200589970502</v>
      </c>
    </row>
    <row r="657" spans="1:10" x14ac:dyDescent="0.25">
      <c r="A657" s="36"/>
      <c r="B657" t="s">
        <v>451</v>
      </c>
      <c r="C657" s="64">
        <v>41290</v>
      </c>
      <c r="D657">
        <v>34.1</v>
      </c>
      <c r="E657">
        <v>100.38563049853373</v>
      </c>
      <c r="F657" t="s">
        <v>427</v>
      </c>
      <c r="G657" s="64">
        <v>41290</v>
      </c>
      <c r="H657">
        <v>268.93</v>
      </c>
      <c r="I657">
        <v>100.55973673446621</v>
      </c>
      <c r="J657">
        <v>100.38563049853373</v>
      </c>
    </row>
    <row r="658" spans="1:10" x14ac:dyDescent="0.25">
      <c r="A658" s="36"/>
      <c r="B658" t="s">
        <v>451</v>
      </c>
      <c r="C658" s="64">
        <v>41291</v>
      </c>
      <c r="D658">
        <v>34.380000000000003</v>
      </c>
      <c r="E658">
        <v>100.39063408958697</v>
      </c>
      <c r="F658" t="s">
        <v>427</v>
      </c>
      <c r="G658" s="64">
        <v>41291</v>
      </c>
      <c r="H658">
        <v>270.48</v>
      </c>
      <c r="I658">
        <v>100.56225968648329</v>
      </c>
      <c r="J658">
        <v>100.39063408958697</v>
      </c>
    </row>
    <row r="659" spans="1:10" x14ac:dyDescent="0.25">
      <c r="A659" s="36"/>
      <c r="B659" t="s">
        <v>451</v>
      </c>
      <c r="C659" s="64">
        <v>41292</v>
      </c>
      <c r="D659">
        <v>34.520000000000003</v>
      </c>
      <c r="E659">
        <v>100.3931054461182</v>
      </c>
      <c r="F659" t="s">
        <v>427</v>
      </c>
      <c r="G659" s="64">
        <v>41292</v>
      </c>
      <c r="H659">
        <v>272.12</v>
      </c>
      <c r="I659">
        <v>100.56489783918859</v>
      </c>
      <c r="J659">
        <v>100.3931054461182</v>
      </c>
    </row>
    <row r="660" spans="1:10" x14ac:dyDescent="0.25">
      <c r="A660" s="36"/>
      <c r="B660" t="s">
        <v>451</v>
      </c>
      <c r="C660" s="64">
        <v>41296</v>
      </c>
      <c r="D660">
        <v>35.19</v>
      </c>
      <c r="E660">
        <v>100.4046604148906</v>
      </c>
      <c r="F660" t="s">
        <v>427</v>
      </c>
      <c r="G660" s="64">
        <v>41296</v>
      </c>
      <c r="H660">
        <v>270.19</v>
      </c>
      <c r="I660">
        <v>100.56178985158593</v>
      </c>
      <c r="J660">
        <v>100.4046604148906</v>
      </c>
    </row>
    <row r="661" spans="1:10" x14ac:dyDescent="0.25">
      <c r="A661" s="36"/>
      <c r="B661" t="s">
        <v>451</v>
      </c>
      <c r="C661" s="64">
        <v>41297</v>
      </c>
      <c r="D661">
        <v>36</v>
      </c>
      <c r="E661">
        <v>100.41805555555555</v>
      </c>
      <c r="F661" t="s">
        <v>427</v>
      </c>
      <c r="G661" s="64">
        <v>41297</v>
      </c>
      <c r="H661">
        <v>268.11</v>
      </c>
      <c r="I661">
        <v>100.55839021297228</v>
      </c>
      <c r="J661">
        <v>100.41805555555555</v>
      </c>
    </row>
    <row r="662" spans="1:10" x14ac:dyDescent="0.25">
      <c r="A662" s="36"/>
      <c r="B662" t="s">
        <v>451</v>
      </c>
      <c r="C662" s="64">
        <v>41298</v>
      </c>
      <c r="D662">
        <v>36.99</v>
      </c>
      <c r="E662">
        <v>100.43363071100298</v>
      </c>
      <c r="F662" t="s">
        <v>427</v>
      </c>
      <c r="G662" s="64">
        <v>41298</v>
      </c>
      <c r="H662">
        <v>273.62</v>
      </c>
      <c r="I662">
        <v>100.56728309334113</v>
      </c>
      <c r="J662">
        <v>100.43363071100298</v>
      </c>
    </row>
    <row r="663" spans="1:10" x14ac:dyDescent="0.25">
      <c r="A663" s="36"/>
      <c r="B663" t="s">
        <v>451</v>
      </c>
      <c r="C663" s="64">
        <v>41299</v>
      </c>
      <c r="D663">
        <v>36.979999999999997</v>
      </c>
      <c r="E663">
        <v>100.43347755543537</v>
      </c>
      <c r="F663" t="s">
        <v>427</v>
      </c>
      <c r="G663" s="64">
        <v>41299</v>
      </c>
      <c r="H663">
        <v>283.99</v>
      </c>
      <c r="I663">
        <v>100.58308391140532</v>
      </c>
      <c r="J663">
        <v>100.43347755543537</v>
      </c>
    </row>
    <row r="664" spans="1:10" x14ac:dyDescent="0.25">
      <c r="A664" s="36"/>
      <c r="B664" t="s">
        <v>451</v>
      </c>
      <c r="C664" s="64">
        <v>41302</v>
      </c>
      <c r="D664">
        <v>38.03</v>
      </c>
      <c r="E664">
        <v>100.44911911648698</v>
      </c>
      <c r="F664" t="s">
        <v>427</v>
      </c>
      <c r="G664" s="64">
        <v>41302</v>
      </c>
      <c r="H664">
        <v>276.04000000000002</v>
      </c>
      <c r="I664">
        <v>100.57107665555716</v>
      </c>
      <c r="J664">
        <v>100.44911911648698</v>
      </c>
    </row>
    <row r="665" spans="1:10" x14ac:dyDescent="0.25">
      <c r="A665" s="36"/>
      <c r="B665" t="s">
        <v>451</v>
      </c>
      <c r="C665" s="64">
        <v>41303</v>
      </c>
      <c r="D665">
        <v>37.950000000000003</v>
      </c>
      <c r="E665">
        <v>100.44795783926219</v>
      </c>
      <c r="F665" t="s">
        <v>427</v>
      </c>
      <c r="G665" s="64">
        <v>41303</v>
      </c>
      <c r="H665">
        <v>260.35000000000002</v>
      </c>
      <c r="I665">
        <v>100.54522757826004</v>
      </c>
      <c r="J665">
        <v>100.44795783926219</v>
      </c>
    </row>
    <row r="666" spans="1:10" x14ac:dyDescent="0.25">
      <c r="A666" s="36"/>
      <c r="B666" t="s">
        <v>451</v>
      </c>
      <c r="C666" s="64">
        <v>41304</v>
      </c>
      <c r="D666">
        <v>37.520000000000003</v>
      </c>
      <c r="E666">
        <v>100.44163113006397</v>
      </c>
      <c r="F666" t="s">
        <v>427</v>
      </c>
      <c r="G666" s="64">
        <v>41304</v>
      </c>
      <c r="H666">
        <v>272.76400000000001</v>
      </c>
      <c r="I666">
        <v>100.56592512208356</v>
      </c>
      <c r="J666">
        <v>100.44163113006397</v>
      </c>
    </row>
    <row r="667" spans="1:10" x14ac:dyDescent="0.25">
      <c r="A667" s="36"/>
      <c r="B667" t="s">
        <v>451</v>
      </c>
      <c r="C667" s="64">
        <v>41305</v>
      </c>
      <c r="D667">
        <v>37.51</v>
      </c>
      <c r="E667">
        <v>100.44148227139429</v>
      </c>
      <c r="F667" t="s">
        <v>427</v>
      </c>
      <c r="G667" s="64">
        <v>41305</v>
      </c>
      <c r="H667">
        <v>265.5</v>
      </c>
      <c r="I667">
        <v>100.55404896421845</v>
      </c>
      <c r="J667">
        <v>100.44148227139429</v>
      </c>
    </row>
    <row r="668" spans="1:10" x14ac:dyDescent="0.25">
      <c r="A668" s="36"/>
      <c r="B668" t="s">
        <v>451</v>
      </c>
      <c r="C668" s="64">
        <v>41306</v>
      </c>
      <c r="D668">
        <v>38.299999999999997</v>
      </c>
      <c r="E668">
        <v>100.45300261096605</v>
      </c>
      <c r="F668" t="s">
        <v>427</v>
      </c>
      <c r="G668" s="64">
        <v>41306</v>
      </c>
      <c r="H668">
        <v>265</v>
      </c>
      <c r="I668">
        <v>100.55320754716981</v>
      </c>
      <c r="J668">
        <v>100.45300261096605</v>
      </c>
    </row>
    <row r="669" spans="1:10" x14ac:dyDescent="0.25">
      <c r="A669" s="36"/>
      <c r="B669" t="s">
        <v>451</v>
      </c>
      <c r="C669" s="64">
        <v>41309</v>
      </c>
      <c r="D669">
        <v>37.74</v>
      </c>
      <c r="E669">
        <v>100.44488606253312</v>
      </c>
      <c r="F669" t="s">
        <v>427</v>
      </c>
      <c r="G669" s="64">
        <v>41309</v>
      </c>
      <c r="H669">
        <v>259.98</v>
      </c>
      <c r="I669">
        <v>100.54458035233479</v>
      </c>
      <c r="J669">
        <v>100.44488606253312</v>
      </c>
    </row>
    <row r="670" spans="1:10" x14ac:dyDescent="0.25">
      <c r="A670" s="36"/>
      <c r="B670" t="s">
        <v>451</v>
      </c>
      <c r="C670" s="64">
        <v>41310</v>
      </c>
      <c r="D670">
        <v>38.130000000000003</v>
      </c>
      <c r="E670">
        <v>100.45056386047732</v>
      </c>
      <c r="F670" t="s">
        <v>427</v>
      </c>
      <c r="G670" s="64">
        <v>41310</v>
      </c>
      <c r="H670">
        <v>266.89</v>
      </c>
      <c r="I670">
        <v>100.55637153883623</v>
      </c>
      <c r="J670">
        <v>100.45056386047732</v>
      </c>
    </row>
    <row r="671" spans="1:10" x14ac:dyDescent="0.25">
      <c r="A671" s="36"/>
      <c r="B671" t="s">
        <v>451</v>
      </c>
      <c r="C671" s="64">
        <v>41311</v>
      </c>
      <c r="D671">
        <v>39.17</v>
      </c>
      <c r="E671">
        <v>100.4651519019658</v>
      </c>
      <c r="F671" t="s">
        <v>427</v>
      </c>
      <c r="G671" s="64">
        <v>41311</v>
      </c>
      <c r="H671">
        <v>262.22000000000003</v>
      </c>
      <c r="I671">
        <v>100.54847074975211</v>
      </c>
      <c r="J671">
        <v>100.4651519019658</v>
      </c>
    </row>
    <row r="672" spans="1:10" x14ac:dyDescent="0.25">
      <c r="A672" s="36"/>
      <c r="B672" t="s">
        <v>451</v>
      </c>
      <c r="C672" s="64">
        <v>41312</v>
      </c>
      <c r="D672">
        <v>39.479999999999997</v>
      </c>
      <c r="E672">
        <v>100.4693515704154</v>
      </c>
      <c r="F672" t="s">
        <v>427</v>
      </c>
      <c r="G672" s="64">
        <v>41312</v>
      </c>
      <c r="H672">
        <v>260.23</v>
      </c>
      <c r="I672">
        <v>100.54501786880836</v>
      </c>
      <c r="J672">
        <v>100.4693515704154</v>
      </c>
    </row>
    <row r="673" spans="1:10" x14ac:dyDescent="0.25">
      <c r="A673" s="36"/>
      <c r="B673" t="s">
        <v>451</v>
      </c>
      <c r="C673" s="64">
        <v>41313</v>
      </c>
      <c r="D673">
        <v>39.24</v>
      </c>
      <c r="E673">
        <v>100.46610601427115</v>
      </c>
      <c r="F673" t="s">
        <v>427</v>
      </c>
      <c r="G673" s="64">
        <v>41313</v>
      </c>
      <c r="H673">
        <v>261.95</v>
      </c>
      <c r="I673">
        <v>100.5480053445314</v>
      </c>
      <c r="J673">
        <v>100.46610601427115</v>
      </c>
    </row>
    <row r="674" spans="1:10" x14ac:dyDescent="0.25">
      <c r="A674" s="36"/>
      <c r="B674" t="s">
        <v>451</v>
      </c>
      <c r="C674" s="64">
        <v>41316</v>
      </c>
      <c r="D674">
        <v>38.42</v>
      </c>
      <c r="E674">
        <v>100.45471108797501</v>
      </c>
      <c r="F674" t="s">
        <v>427</v>
      </c>
      <c r="G674" s="64">
        <v>41316</v>
      </c>
      <c r="H674">
        <v>257.20999999999998</v>
      </c>
      <c r="I674">
        <v>100.5396757513316</v>
      </c>
      <c r="J674">
        <v>100.45471108797501</v>
      </c>
    </row>
    <row r="675" spans="1:10" x14ac:dyDescent="0.25">
      <c r="A675" s="36"/>
      <c r="B675" t="s">
        <v>451</v>
      </c>
      <c r="C675" s="64">
        <v>41317</v>
      </c>
      <c r="D675">
        <v>37.89</v>
      </c>
      <c r="E675">
        <v>100.44708366323569</v>
      </c>
      <c r="F675" t="s">
        <v>427</v>
      </c>
      <c r="G675" s="64">
        <v>41317</v>
      </c>
      <c r="H675">
        <v>258.7</v>
      </c>
      <c r="I675">
        <v>100.54232701971395</v>
      </c>
      <c r="J675">
        <v>100.44708366323569</v>
      </c>
    </row>
    <row r="676" spans="1:10" x14ac:dyDescent="0.25">
      <c r="A676" s="36"/>
      <c r="B676" t="s">
        <v>451</v>
      </c>
      <c r="C676" s="64">
        <v>41318</v>
      </c>
      <c r="D676">
        <v>38.450000000000003</v>
      </c>
      <c r="E676">
        <v>100.45513654096229</v>
      </c>
      <c r="F676" t="s">
        <v>427</v>
      </c>
      <c r="G676" s="64">
        <v>41318</v>
      </c>
      <c r="H676">
        <v>269.47000000000003</v>
      </c>
      <c r="I676">
        <v>100.56061899283779</v>
      </c>
      <c r="J676">
        <v>100.45513654096229</v>
      </c>
    </row>
    <row r="677" spans="1:10" x14ac:dyDescent="0.25">
      <c r="A677" s="36"/>
      <c r="B677" t="s">
        <v>451</v>
      </c>
      <c r="C677" s="64">
        <v>41319</v>
      </c>
      <c r="D677">
        <v>38.299999999999997</v>
      </c>
      <c r="E677">
        <v>100.45300261096605</v>
      </c>
      <c r="F677" t="s">
        <v>427</v>
      </c>
      <c r="G677" s="64">
        <v>41319</v>
      </c>
      <c r="H677">
        <v>269.24</v>
      </c>
      <c r="I677">
        <v>100.56024364878918</v>
      </c>
      <c r="J677">
        <v>100.45300261096605</v>
      </c>
    </row>
    <row r="678" spans="1:10" x14ac:dyDescent="0.25">
      <c r="A678" s="36"/>
      <c r="B678" t="s">
        <v>451</v>
      </c>
      <c r="C678" s="64">
        <v>41320</v>
      </c>
      <c r="D678">
        <v>37.04</v>
      </c>
      <c r="E678">
        <v>100.43439524838013</v>
      </c>
      <c r="F678" t="s">
        <v>427</v>
      </c>
      <c r="G678" s="64">
        <v>41320</v>
      </c>
      <c r="H678">
        <v>265.08999999999997</v>
      </c>
      <c r="I678">
        <v>100.55335923648572</v>
      </c>
      <c r="J678">
        <v>100.43439524838013</v>
      </c>
    </row>
    <row r="679" spans="1:10" x14ac:dyDescent="0.25">
      <c r="A679" s="36"/>
      <c r="B679" t="s">
        <v>451</v>
      </c>
      <c r="C679" s="64">
        <v>41324</v>
      </c>
      <c r="D679">
        <v>39.28</v>
      </c>
      <c r="E679">
        <v>100.46664969450102</v>
      </c>
      <c r="F679" t="s">
        <v>427</v>
      </c>
      <c r="G679" s="64">
        <v>41324</v>
      </c>
      <c r="H679">
        <v>269.75</v>
      </c>
      <c r="I679">
        <v>100.5610750695088</v>
      </c>
      <c r="J679">
        <v>100.46664969450102</v>
      </c>
    </row>
    <row r="680" spans="1:10" x14ac:dyDescent="0.25">
      <c r="A680" s="36"/>
      <c r="B680" t="s">
        <v>451</v>
      </c>
      <c r="C680" s="64">
        <v>41325</v>
      </c>
      <c r="D680">
        <v>38.54</v>
      </c>
      <c r="E680">
        <v>100.45640892579138</v>
      </c>
      <c r="F680" t="s">
        <v>427</v>
      </c>
      <c r="G680" s="64">
        <v>41325</v>
      </c>
      <c r="H680">
        <v>266.41000000000003</v>
      </c>
      <c r="I680">
        <v>100.55557223827934</v>
      </c>
      <c r="J680">
        <v>100.45640892579138</v>
      </c>
    </row>
    <row r="681" spans="1:10" x14ac:dyDescent="0.25">
      <c r="A681" s="36"/>
      <c r="B681" t="s">
        <v>451</v>
      </c>
      <c r="C681" s="64">
        <v>41326</v>
      </c>
      <c r="D681">
        <v>35.159999999999997</v>
      </c>
      <c r="E681">
        <v>100.40415244596132</v>
      </c>
      <c r="F681" t="s">
        <v>427</v>
      </c>
      <c r="G681" s="64">
        <v>41326</v>
      </c>
      <c r="H681">
        <v>265.94</v>
      </c>
      <c r="I681">
        <v>100.55478679401369</v>
      </c>
      <c r="J681">
        <v>100.40415244596132</v>
      </c>
    </row>
    <row r="682" spans="1:10" x14ac:dyDescent="0.25">
      <c r="A682" s="36"/>
      <c r="B682" t="s">
        <v>451</v>
      </c>
      <c r="C682" s="64">
        <v>41327</v>
      </c>
      <c r="D682">
        <v>36.11</v>
      </c>
      <c r="E682">
        <v>100.4198283024093</v>
      </c>
      <c r="F682" t="s">
        <v>427</v>
      </c>
      <c r="G682" s="64">
        <v>41327</v>
      </c>
      <c r="H682">
        <v>265.42</v>
      </c>
      <c r="I682">
        <v>100.5539145505237</v>
      </c>
      <c r="J682">
        <v>100.4198283024093</v>
      </c>
    </row>
    <row r="683" spans="1:10" x14ac:dyDescent="0.25">
      <c r="A683" s="36"/>
      <c r="B683" t="s">
        <v>451</v>
      </c>
      <c r="C683" s="64">
        <v>41330</v>
      </c>
      <c r="D683">
        <v>34.380000000000003</v>
      </c>
      <c r="E683">
        <v>100.39063408958697</v>
      </c>
      <c r="F683" t="s">
        <v>427</v>
      </c>
      <c r="G683" s="64">
        <v>41330</v>
      </c>
      <c r="H683">
        <v>259.87</v>
      </c>
      <c r="I683">
        <v>100.54438757840458</v>
      </c>
      <c r="J683">
        <v>100.39063408958697</v>
      </c>
    </row>
    <row r="684" spans="1:10" x14ac:dyDescent="0.25">
      <c r="A684" s="36"/>
      <c r="B684" t="s">
        <v>451</v>
      </c>
      <c r="C684" s="64">
        <v>41331</v>
      </c>
      <c r="D684">
        <v>34.43</v>
      </c>
      <c r="E684">
        <v>100.39151902410688</v>
      </c>
      <c r="F684" t="s">
        <v>427</v>
      </c>
      <c r="G684" s="64">
        <v>41331</v>
      </c>
      <c r="H684">
        <v>259.36</v>
      </c>
      <c r="I684">
        <v>100.54349167180753</v>
      </c>
      <c r="J684">
        <v>100.39151902410688</v>
      </c>
    </row>
    <row r="685" spans="1:10" x14ac:dyDescent="0.25">
      <c r="A685" s="36"/>
      <c r="B685" t="s">
        <v>451</v>
      </c>
      <c r="C685" s="64">
        <v>41332</v>
      </c>
      <c r="D685">
        <v>35.1</v>
      </c>
      <c r="E685">
        <v>100.40313390313391</v>
      </c>
      <c r="F685" t="s">
        <v>427</v>
      </c>
      <c r="G685" s="64">
        <v>41332</v>
      </c>
      <c r="H685">
        <v>263.25</v>
      </c>
      <c r="I685">
        <v>100.55023741690408</v>
      </c>
      <c r="J685">
        <v>100.40313390313391</v>
      </c>
    </row>
    <row r="686" spans="1:10" x14ac:dyDescent="0.25">
      <c r="A686" s="36"/>
      <c r="B686" t="s">
        <v>451</v>
      </c>
      <c r="C686" s="64">
        <v>41333</v>
      </c>
      <c r="D686">
        <v>34.83</v>
      </c>
      <c r="E686">
        <v>100.39850703416595</v>
      </c>
      <c r="F686" t="s">
        <v>427</v>
      </c>
      <c r="G686" s="64">
        <v>41333</v>
      </c>
      <c r="H686">
        <v>264.27</v>
      </c>
      <c r="I686">
        <v>100.5519733605782</v>
      </c>
      <c r="J686">
        <v>100.39850703416595</v>
      </c>
    </row>
    <row r="687" spans="1:10" x14ac:dyDescent="0.25">
      <c r="A687" s="36"/>
      <c r="B687" t="s">
        <v>451</v>
      </c>
      <c r="C687" s="64">
        <v>41334</v>
      </c>
      <c r="D687">
        <v>34.65</v>
      </c>
      <c r="E687">
        <v>100.3953823953824</v>
      </c>
      <c r="F687" t="s">
        <v>427</v>
      </c>
      <c r="G687" s="64">
        <v>41334</v>
      </c>
      <c r="H687">
        <v>265.74</v>
      </c>
      <c r="I687">
        <v>100.55445171972605</v>
      </c>
      <c r="J687">
        <v>100.3953823953824</v>
      </c>
    </row>
    <row r="688" spans="1:10" x14ac:dyDescent="0.25">
      <c r="A688" s="36"/>
      <c r="B688" t="s">
        <v>451</v>
      </c>
      <c r="C688" s="64">
        <v>41337</v>
      </c>
      <c r="D688">
        <v>35.58</v>
      </c>
      <c r="E688">
        <v>100.41118605958404</v>
      </c>
      <c r="F688" t="s">
        <v>427</v>
      </c>
      <c r="G688" s="64">
        <v>41337</v>
      </c>
      <c r="H688">
        <v>273.11</v>
      </c>
      <c r="I688">
        <v>100.56647504668449</v>
      </c>
      <c r="J688">
        <v>100.41118605958404</v>
      </c>
    </row>
    <row r="689" spans="1:10" x14ac:dyDescent="0.25">
      <c r="A689" s="36"/>
      <c r="B689" t="s">
        <v>451</v>
      </c>
      <c r="C689" s="64">
        <v>41338</v>
      </c>
      <c r="D689">
        <v>36.65</v>
      </c>
      <c r="E689">
        <v>100.42837653478854</v>
      </c>
      <c r="F689" t="s">
        <v>427</v>
      </c>
      <c r="G689" s="64">
        <v>41338</v>
      </c>
      <c r="H689">
        <v>275.58999999999997</v>
      </c>
      <c r="I689">
        <v>100.5703762836097</v>
      </c>
      <c r="J689">
        <v>100.42837653478854</v>
      </c>
    </row>
    <row r="690" spans="1:10" x14ac:dyDescent="0.25">
      <c r="A690" s="36"/>
      <c r="B690" t="s">
        <v>451</v>
      </c>
      <c r="C690" s="64">
        <v>41339</v>
      </c>
      <c r="D690">
        <v>37.69</v>
      </c>
      <c r="E690">
        <v>100.4441496418148</v>
      </c>
      <c r="F690" t="s">
        <v>427</v>
      </c>
      <c r="G690" s="64">
        <v>41339</v>
      </c>
      <c r="H690">
        <v>273.79000000000002</v>
      </c>
      <c r="I690">
        <v>100.56755177325688</v>
      </c>
      <c r="J690">
        <v>100.4441496418148</v>
      </c>
    </row>
    <row r="691" spans="1:10" x14ac:dyDescent="0.25">
      <c r="A691" s="36"/>
      <c r="B691" t="s">
        <v>451</v>
      </c>
      <c r="C691" s="64">
        <v>41340</v>
      </c>
      <c r="D691">
        <v>38.229999999999997</v>
      </c>
      <c r="E691">
        <v>100.45200104629872</v>
      </c>
      <c r="F691" t="s">
        <v>427</v>
      </c>
      <c r="G691" s="64">
        <v>41340</v>
      </c>
      <c r="H691">
        <v>273.88</v>
      </c>
      <c r="I691">
        <v>100.56769388053162</v>
      </c>
      <c r="J691">
        <v>100.45200104629872</v>
      </c>
    </row>
    <row r="692" spans="1:10" x14ac:dyDescent="0.25">
      <c r="A692" s="36"/>
      <c r="B692" t="s">
        <v>451</v>
      </c>
      <c r="C692" s="64">
        <v>41341</v>
      </c>
      <c r="D692">
        <v>38.47</v>
      </c>
      <c r="E692">
        <v>100.45541980764231</v>
      </c>
      <c r="F692" t="s">
        <v>427</v>
      </c>
      <c r="G692" s="64">
        <v>41341</v>
      </c>
      <c r="H692">
        <v>274.19</v>
      </c>
      <c r="I692">
        <v>100.56818264706955</v>
      </c>
      <c r="J692">
        <v>100.45541980764231</v>
      </c>
    </row>
    <row r="693" spans="1:10" x14ac:dyDescent="0.25">
      <c r="A693" s="36"/>
      <c r="B693" t="s">
        <v>451</v>
      </c>
      <c r="C693" s="64">
        <v>41344</v>
      </c>
      <c r="D693">
        <v>39.1</v>
      </c>
      <c r="E693">
        <v>100.46419437340154</v>
      </c>
      <c r="F693" t="s">
        <v>427</v>
      </c>
      <c r="G693" s="64">
        <v>41344</v>
      </c>
      <c r="H693">
        <v>271.24</v>
      </c>
      <c r="I693">
        <v>100.56348621147323</v>
      </c>
      <c r="J693">
        <v>100.46419437340154</v>
      </c>
    </row>
    <row r="694" spans="1:10" x14ac:dyDescent="0.25">
      <c r="A694" s="36"/>
      <c r="B694" t="s">
        <v>451</v>
      </c>
      <c r="C694" s="64">
        <v>41345</v>
      </c>
      <c r="D694">
        <v>39.119999999999997</v>
      </c>
      <c r="E694">
        <v>100.46446830265849</v>
      </c>
      <c r="F694" t="s">
        <v>427</v>
      </c>
      <c r="G694" s="64">
        <v>41345</v>
      </c>
      <c r="H694">
        <v>274.13</v>
      </c>
      <c r="I694">
        <v>100.56808813336738</v>
      </c>
      <c r="J694">
        <v>100.46446830265849</v>
      </c>
    </row>
    <row r="695" spans="1:10" x14ac:dyDescent="0.25">
      <c r="A695" s="36"/>
      <c r="B695" t="s">
        <v>451</v>
      </c>
      <c r="C695" s="64">
        <v>41346</v>
      </c>
      <c r="D695">
        <v>38.979999999999997</v>
      </c>
      <c r="E695">
        <v>100.46254489481785</v>
      </c>
      <c r="F695" t="s">
        <v>427</v>
      </c>
      <c r="G695" s="64">
        <v>41346</v>
      </c>
      <c r="H695">
        <v>275.10000000000002</v>
      </c>
      <c r="I695">
        <v>100.56961105052709</v>
      </c>
      <c r="J695">
        <v>100.46254489481785</v>
      </c>
    </row>
    <row r="696" spans="1:10" x14ac:dyDescent="0.25">
      <c r="A696" s="36"/>
      <c r="B696" t="s">
        <v>451</v>
      </c>
      <c r="C696" s="64">
        <v>41347</v>
      </c>
      <c r="D696">
        <v>36.85</v>
      </c>
      <c r="E696">
        <v>100.4314789687924</v>
      </c>
      <c r="F696" t="s">
        <v>427</v>
      </c>
      <c r="G696" s="64">
        <v>41347</v>
      </c>
      <c r="H696">
        <v>265.74</v>
      </c>
      <c r="I696">
        <v>100.55445171972605</v>
      </c>
      <c r="J696">
        <v>100.4314789687924</v>
      </c>
    </row>
    <row r="697" spans="1:10" x14ac:dyDescent="0.25">
      <c r="A697" s="36"/>
      <c r="B697" t="s">
        <v>451</v>
      </c>
      <c r="C697" s="64">
        <v>41348</v>
      </c>
      <c r="D697">
        <v>35.29</v>
      </c>
      <c r="E697">
        <v>100.4063474071975</v>
      </c>
      <c r="F697" t="s">
        <v>427</v>
      </c>
      <c r="G697" s="64">
        <v>41348</v>
      </c>
      <c r="H697">
        <v>261.82</v>
      </c>
      <c r="I697">
        <v>100.54778091818807</v>
      </c>
      <c r="J697">
        <v>100.4063474071975</v>
      </c>
    </row>
    <row r="698" spans="1:10" x14ac:dyDescent="0.25">
      <c r="A698" s="36"/>
      <c r="B698" t="s">
        <v>451</v>
      </c>
      <c r="C698" s="64">
        <v>41351</v>
      </c>
      <c r="D698">
        <v>35.15</v>
      </c>
      <c r="E698">
        <v>100.40398293029872</v>
      </c>
      <c r="F698" t="s">
        <v>427</v>
      </c>
      <c r="G698" s="64">
        <v>41351</v>
      </c>
      <c r="H698">
        <v>257.89</v>
      </c>
      <c r="I698">
        <v>100.54088952654233</v>
      </c>
      <c r="J698">
        <v>100.40398293029872</v>
      </c>
    </row>
    <row r="699" spans="1:10" x14ac:dyDescent="0.25">
      <c r="A699" s="36"/>
      <c r="B699" t="s">
        <v>451</v>
      </c>
      <c r="C699" s="64">
        <v>41352</v>
      </c>
      <c r="D699">
        <v>35.08</v>
      </c>
      <c r="E699">
        <v>100.40279361459521</v>
      </c>
      <c r="F699" t="s">
        <v>427</v>
      </c>
      <c r="G699" s="64">
        <v>41352</v>
      </c>
      <c r="H699">
        <v>256.41000000000003</v>
      </c>
      <c r="I699">
        <v>100.53823953823954</v>
      </c>
      <c r="J699">
        <v>100.40279361459521</v>
      </c>
    </row>
    <row r="700" spans="1:10" x14ac:dyDescent="0.25">
      <c r="A700" s="36"/>
      <c r="B700" t="s">
        <v>451</v>
      </c>
      <c r="C700" s="64">
        <v>41353</v>
      </c>
      <c r="D700">
        <v>35.950000000000003</v>
      </c>
      <c r="E700">
        <v>100.41724617524339</v>
      </c>
      <c r="F700" t="s">
        <v>427</v>
      </c>
      <c r="G700" s="64">
        <v>41353</v>
      </c>
      <c r="H700">
        <v>257.27800000000002</v>
      </c>
      <c r="I700">
        <v>100.53979741757942</v>
      </c>
      <c r="J700">
        <v>100.41724617524339</v>
      </c>
    </row>
    <row r="701" spans="1:10" x14ac:dyDescent="0.25">
      <c r="A701" s="36"/>
      <c r="B701" t="s">
        <v>451</v>
      </c>
      <c r="C701" s="64">
        <v>41354</v>
      </c>
      <c r="D701">
        <v>36.01</v>
      </c>
      <c r="E701">
        <v>100.41821716189948</v>
      </c>
      <c r="F701" t="s">
        <v>427</v>
      </c>
      <c r="G701" s="64">
        <v>41354</v>
      </c>
      <c r="H701">
        <v>253.39</v>
      </c>
      <c r="I701">
        <v>100.53273609850429</v>
      </c>
      <c r="J701">
        <v>100.41821716189948</v>
      </c>
    </row>
    <row r="702" spans="1:10" x14ac:dyDescent="0.25">
      <c r="A702" s="36"/>
      <c r="B702" t="s">
        <v>451</v>
      </c>
      <c r="C702" s="64">
        <v>41355</v>
      </c>
      <c r="D702">
        <v>36.619999999999997</v>
      </c>
      <c r="E702">
        <v>100.42790824685964</v>
      </c>
      <c r="F702" t="s">
        <v>427</v>
      </c>
      <c r="G702" s="64">
        <v>41355</v>
      </c>
      <c r="H702">
        <v>257.75</v>
      </c>
      <c r="I702">
        <v>100.54064015518914</v>
      </c>
      <c r="J702">
        <v>100.42790824685964</v>
      </c>
    </row>
    <row r="703" spans="1:10" x14ac:dyDescent="0.25">
      <c r="A703" s="36"/>
      <c r="B703" t="s">
        <v>451</v>
      </c>
      <c r="C703" s="64">
        <v>41358</v>
      </c>
      <c r="D703">
        <v>37.53</v>
      </c>
      <c r="E703">
        <v>100.44177990940581</v>
      </c>
      <c r="F703" t="s">
        <v>427</v>
      </c>
      <c r="G703" s="64">
        <v>41358</v>
      </c>
      <c r="H703">
        <v>256.02</v>
      </c>
      <c r="I703">
        <v>100.53753612998985</v>
      </c>
      <c r="J703">
        <v>100.44177990940581</v>
      </c>
    </row>
    <row r="704" spans="1:10" x14ac:dyDescent="0.25">
      <c r="A704" s="36"/>
      <c r="B704" t="s">
        <v>451</v>
      </c>
      <c r="C704" s="64">
        <v>41359</v>
      </c>
      <c r="D704">
        <v>37.86</v>
      </c>
      <c r="E704">
        <v>100.44664553618595</v>
      </c>
      <c r="F704" t="s">
        <v>427</v>
      </c>
      <c r="G704" s="64">
        <v>41359</v>
      </c>
      <c r="H704">
        <v>260.31</v>
      </c>
      <c r="I704">
        <v>100.54515769659253</v>
      </c>
      <c r="J704">
        <v>100.44664553618595</v>
      </c>
    </row>
    <row r="705" spans="1:10" x14ac:dyDescent="0.25">
      <c r="A705" s="36"/>
      <c r="B705" t="s">
        <v>451</v>
      </c>
      <c r="C705" s="64">
        <v>41360</v>
      </c>
      <c r="D705">
        <v>38.159999999999997</v>
      </c>
      <c r="E705">
        <v>100.45099580712788</v>
      </c>
      <c r="F705" t="s">
        <v>427</v>
      </c>
      <c r="G705" s="64">
        <v>41360</v>
      </c>
      <c r="H705">
        <v>265.3</v>
      </c>
      <c r="I705">
        <v>100.55371277798719</v>
      </c>
      <c r="J705">
        <v>100.45099580712788</v>
      </c>
    </row>
    <row r="706" spans="1:10" x14ac:dyDescent="0.25">
      <c r="A706" s="36"/>
      <c r="B706" t="s">
        <v>451</v>
      </c>
      <c r="C706" s="64">
        <v>41361</v>
      </c>
      <c r="D706">
        <v>37.89</v>
      </c>
      <c r="E706">
        <v>100.44708366323569</v>
      </c>
      <c r="F706" t="s">
        <v>427</v>
      </c>
      <c r="G706" s="64">
        <v>41361</v>
      </c>
      <c r="H706">
        <v>266.49</v>
      </c>
      <c r="I706">
        <v>100.55570565499643</v>
      </c>
      <c r="J706">
        <v>100.44708366323569</v>
      </c>
    </row>
    <row r="707" spans="1:10" x14ac:dyDescent="0.25">
      <c r="A707" s="36"/>
      <c r="B707" t="s">
        <v>451</v>
      </c>
      <c r="C707" s="64">
        <v>41365</v>
      </c>
      <c r="D707">
        <v>43.93</v>
      </c>
      <c r="E707">
        <v>100.52310493967676</v>
      </c>
      <c r="F707" t="s">
        <v>427</v>
      </c>
      <c r="G707" s="64">
        <v>41365</v>
      </c>
      <c r="H707">
        <v>261.61</v>
      </c>
      <c r="I707">
        <v>100.54741791215932</v>
      </c>
      <c r="J707">
        <v>100.52310493967676</v>
      </c>
    </row>
    <row r="708" spans="1:10" x14ac:dyDescent="0.25">
      <c r="A708" s="36"/>
      <c r="B708" t="s">
        <v>451</v>
      </c>
      <c r="C708" s="64">
        <v>41366</v>
      </c>
      <c r="D708">
        <v>44.34</v>
      </c>
      <c r="E708">
        <v>100.52751465944971</v>
      </c>
      <c r="F708" t="s">
        <v>427</v>
      </c>
      <c r="G708" s="64">
        <v>41366</v>
      </c>
      <c r="H708">
        <v>263.322</v>
      </c>
      <c r="I708">
        <v>100.55036039525751</v>
      </c>
      <c r="J708">
        <v>100.52751465944971</v>
      </c>
    </row>
    <row r="709" spans="1:10" x14ac:dyDescent="0.25">
      <c r="A709" s="36"/>
      <c r="B709" t="s">
        <v>451</v>
      </c>
      <c r="C709" s="64">
        <v>41367</v>
      </c>
      <c r="D709">
        <v>41.1</v>
      </c>
      <c r="E709">
        <v>100.49026763990268</v>
      </c>
      <c r="F709" t="s">
        <v>427</v>
      </c>
      <c r="G709" s="64">
        <v>41367</v>
      </c>
      <c r="H709">
        <v>259.02999999999997</v>
      </c>
      <c r="I709">
        <v>100.54291008763464</v>
      </c>
      <c r="J709">
        <v>100.49026763990268</v>
      </c>
    </row>
    <row r="710" spans="1:10" x14ac:dyDescent="0.25">
      <c r="A710" s="36"/>
      <c r="B710" t="s">
        <v>451</v>
      </c>
      <c r="C710" s="64">
        <v>41368</v>
      </c>
      <c r="D710">
        <v>42.01</v>
      </c>
      <c r="E710">
        <v>100.50130921209237</v>
      </c>
      <c r="F710" t="s">
        <v>427</v>
      </c>
      <c r="G710" s="64">
        <v>41368</v>
      </c>
      <c r="H710">
        <v>259.08</v>
      </c>
      <c r="I710">
        <v>100.54299830168287</v>
      </c>
      <c r="J710">
        <v>100.50130921209237</v>
      </c>
    </row>
    <row r="711" spans="1:10" x14ac:dyDescent="0.25">
      <c r="A711" s="36"/>
      <c r="B711" t="s">
        <v>451</v>
      </c>
      <c r="C711" s="64">
        <v>41369</v>
      </c>
      <c r="D711">
        <v>41.37</v>
      </c>
      <c r="E711">
        <v>100.49359439207154</v>
      </c>
      <c r="F711" t="s">
        <v>427</v>
      </c>
      <c r="G711" s="64">
        <v>41369</v>
      </c>
      <c r="H711">
        <v>255.48</v>
      </c>
      <c r="I711">
        <v>100.53655863472679</v>
      </c>
      <c r="J711">
        <v>100.49359439207154</v>
      </c>
    </row>
    <row r="712" spans="1:10" x14ac:dyDescent="0.25">
      <c r="A712" s="36"/>
      <c r="B712" t="s">
        <v>451</v>
      </c>
      <c r="C712" s="64">
        <v>41372</v>
      </c>
      <c r="D712">
        <v>41.83</v>
      </c>
      <c r="E712">
        <v>100.49916327994262</v>
      </c>
      <c r="F712" t="s">
        <v>427</v>
      </c>
      <c r="G712" s="64">
        <v>41372</v>
      </c>
      <c r="H712">
        <v>258.95</v>
      </c>
      <c r="I712">
        <v>100.54276887430005</v>
      </c>
      <c r="J712">
        <v>100.49916327994262</v>
      </c>
    </row>
    <row r="713" spans="1:10" x14ac:dyDescent="0.25">
      <c r="A713" s="36"/>
      <c r="B713" t="s">
        <v>451</v>
      </c>
      <c r="C713" s="64">
        <v>41373</v>
      </c>
      <c r="D713">
        <v>40.5</v>
      </c>
      <c r="E713">
        <v>100.48271604938272</v>
      </c>
      <c r="F713" t="s">
        <v>427</v>
      </c>
      <c r="G713" s="64">
        <v>41373</v>
      </c>
      <c r="H713">
        <v>261.14</v>
      </c>
      <c r="I713">
        <v>100.54660335452247</v>
      </c>
      <c r="J713">
        <v>100.48271604938272</v>
      </c>
    </row>
    <row r="714" spans="1:10" x14ac:dyDescent="0.25">
      <c r="A714" s="36"/>
      <c r="B714" t="s">
        <v>451</v>
      </c>
      <c r="C714" s="64">
        <v>41374</v>
      </c>
      <c r="D714">
        <v>41.86</v>
      </c>
      <c r="E714">
        <v>100.49952221691352</v>
      </c>
      <c r="F714" t="s">
        <v>427</v>
      </c>
      <c r="G714" s="64">
        <v>41374</v>
      </c>
      <c r="H714">
        <v>264.77</v>
      </c>
      <c r="I714">
        <v>100.55281942818296</v>
      </c>
      <c r="J714">
        <v>100.49952221691352</v>
      </c>
    </row>
    <row r="715" spans="1:10" x14ac:dyDescent="0.25">
      <c r="A715" s="36"/>
      <c r="B715" t="s">
        <v>451</v>
      </c>
      <c r="C715" s="64">
        <v>41375</v>
      </c>
      <c r="D715">
        <v>43.59</v>
      </c>
      <c r="E715">
        <v>100.51938518008717</v>
      </c>
      <c r="F715" t="s">
        <v>427</v>
      </c>
      <c r="G715" s="64">
        <v>41375</v>
      </c>
      <c r="H715">
        <v>269.85000000000002</v>
      </c>
      <c r="I715">
        <v>100.56123772466185</v>
      </c>
      <c r="J715">
        <v>100.51938518008717</v>
      </c>
    </row>
    <row r="716" spans="1:10" x14ac:dyDescent="0.25">
      <c r="A716" s="36"/>
      <c r="B716" t="s">
        <v>451</v>
      </c>
      <c r="C716" s="64">
        <v>41376</v>
      </c>
      <c r="D716">
        <v>43.75</v>
      </c>
      <c r="E716">
        <v>100.52114285714286</v>
      </c>
      <c r="F716" t="s">
        <v>427</v>
      </c>
      <c r="G716" s="64">
        <v>41376</v>
      </c>
      <c r="H716">
        <v>272.87</v>
      </c>
      <c r="I716">
        <v>100.56609374427383</v>
      </c>
      <c r="J716">
        <v>100.52114285714286</v>
      </c>
    </row>
    <row r="717" spans="1:10" x14ac:dyDescent="0.25">
      <c r="A717" s="36"/>
      <c r="B717" t="s">
        <v>451</v>
      </c>
      <c r="C717" s="64">
        <v>41379</v>
      </c>
      <c r="D717">
        <v>43.3</v>
      </c>
      <c r="E717">
        <v>100.51616628175519</v>
      </c>
      <c r="F717" t="s">
        <v>427</v>
      </c>
      <c r="G717" s="64">
        <v>41379</v>
      </c>
      <c r="H717">
        <v>267.72000000000003</v>
      </c>
      <c r="I717">
        <v>100.55774689974601</v>
      </c>
      <c r="J717">
        <v>100.51616628175519</v>
      </c>
    </row>
    <row r="718" spans="1:10" x14ac:dyDescent="0.25">
      <c r="A718" s="36"/>
      <c r="B718" t="s">
        <v>451</v>
      </c>
      <c r="C718" s="64">
        <v>41380</v>
      </c>
      <c r="D718">
        <v>45.59</v>
      </c>
      <c r="E718">
        <v>100.54046940118447</v>
      </c>
      <c r="F718" t="s">
        <v>427</v>
      </c>
      <c r="G718" s="64">
        <v>41380</v>
      </c>
      <c r="H718">
        <v>272.33999999999997</v>
      </c>
      <c r="I718">
        <v>100.56524932070207</v>
      </c>
      <c r="J718">
        <v>100.54046940118447</v>
      </c>
    </row>
    <row r="719" spans="1:10" x14ac:dyDescent="0.25">
      <c r="A719" s="36"/>
      <c r="B719" t="s">
        <v>451</v>
      </c>
      <c r="C719" s="64">
        <v>41381</v>
      </c>
      <c r="D719">
        <v>45.45</v>
      </c>
      <c r="E719">
        <v>100.53905390539055</v>
      </c>
      <c r="F719" t="s">
        <v>427</v>
      </c>
      <c r="G719" s="64">
        <v>41381</v>
      </c>
      <c r="H719">
        <v>267.39999999999998</v>
      </c>
      <c r="I719">
        <v>100.55721765145849</v>
      </c>
      <c r="J719">
        <v>100.53905390539055</v>
      </c>
    </row>
    <row r="720" spans="1:10" x14ac:dyDescent="0.25">
      <c r="A720" s="36"/>
      <c r="B720" t="s">
        <v>451</v>
      </c>
      <c r="C720" s="64">
        <v>41382</v>
      </c>
      <c r="D720">
        <v>46.97</v>
      </c>
      <c r="E720">
        <v>100.55397061954439</v>
      </c>
      <c r="F720" t="s">
        <v>427</v>
      </c>
      <c r="G720" s="64">
        <v>41382</v>
      </c>
      <c r="H720">
        <v>259.42</v>
      </c>
      <c r="I720">
        <v>100.54359725541593</v>
      </c>
      <c r="J720">
        <v>100.54359725541593</v>
      </c>
    </row>
    <row r="721" spans="1:10" x14ac:dyDescent="0.25">
      <c r="A721" s="36"/>
      <c r="B721" t="s">
        <v>451</v>
      </c>
      <c r="C721" s="64">
        <v>41383</v>
      </c>
      <c r="D721">
        <v>47.83</v>
      </c>
      <c r="E721">
        <v>100.56199038260506</v>
      </c>
      <c r="F721" t="s">
        <v>427</v>
      </c>
      <c r="G721" s="64">
        <v>41383</v>
      </c>
      <c r="H721">
        <v>260.32</v>
      </c>
      <c r="I721">
        <v>100.54517516902274</v>
      </c>
      <c r="J721">
        <v>100.54517516902274</v>
      </c>
    </row>
    <row r="722" spans="1:10" x14ac:dyDescent="0.25">
      <c r="A722" s="36"/>
      <c r="B722" t="s">
        <v>451</v>
      </c>
      <c r="C722" s="64">
        <v>41386</v>
      </c>
      <c r="D722">
        <v>50.19</v>
      </c>
      <c r="E722">
        <v>100.58258617254432</v>
      </c>
      <c r="F722" t="s">
        <v>427</v>
      </c>
      <c r="G722" s="64">
        <v>41386</v>
      </c>
      <c r="H722">
        <v>263.55</v>
      </c>
      <c r="I722">
        <v>100.5507493834187</v>
      </c>
      <c r="J722">
        <v>100.5507493834187</v>
      </c>
    </row>
    <row r="723" spans="1:10" x14ac:dyDescent="0.25">
      <c r="A723" s="36"/>
      <c r="B723" t="s">
        <v>451</v>
      </c>
      <c r="C723" s="64">
        <v>41387</v>
      </c>
      <c r="D723">
        <v>51.01</v>
      </c>
      <c r="E723">
        <v>100.58929621642815</v>
      </c>
      <c r="F723" t="s">
        <v>427</v>
      </c>
      <c r="G723" s="64">
        <v>41387</v>
      </c>
      <c r="H723">
        <v>268.89999999999998</v>
      </c>
      <c r="I723">
        <v>100.55968761621421</v>
      </c>
      <c r="J723">
        <v>100.55968761621421</v>
      </c>
    </row>
    <row r="724" spans="1:10" x14ac:dyDescent="0.25">
      <c r="A724" s="36"/>
      <c r="B724" t="s">
        <v>451</v>
      </c>
      <c r="C724" s="64">
        <v>41388</v>
      </c>
      <c r="D724">
        <v>50.43</v>
      </c>
      <c r="E724">
        <v>100.58457267499504</v>
      </c>
      <c r="F724" t="s">
        <v>427</v>
      </c>
      <c r="G724" s="64">
        <v>41388</v>
      </c>
      <c r="H724">
        <v>268.77999999999997</v>
      </c>
      <c r="I724">
        <v>100.55949103355904</v>
      </c>
      <c r="J724">
        <v>100.55949103355904</v>
      </c>
    </row>
    <row r="725" spans="1:10" x14ac:dyDescent="0.25">
      <c r="A725" s="36"/>
      <c r="B725" t="s">
        <v>451</v>
      </c>
      <c r="C725" s="64">
        <v>41389</v>
      </c>
      <c r="D725">
        <v>52</v>
      </c>
      <c r="E725">
        <v>100.59711538461538</v>
      </c>
      <c r="F725" t="s">
        <v>427</v>
      </c>
      <c r="G725" s="64">
        <v>41389</v>
      </c>
      <c r="H725">
        <v>274.7</v>
      </c>
      <c r="I725">
        <v>100.56898434655989</v>
      </c>
      <c r="J725">
        <v>100.56898434655989</v>
      </c>
    </row>
    <row r="726" spans="1:10" x14ac:dyDescent="0.25">
      <c r="A726" s="36"/>
      <c r="B726" t="s">
        <v>451</v>
      </c>
      <c r="C726" s="64">
        <v>41390</v>
      </c>
      <c r="D726">
        <v>51.2</v>
      </c>
      <c r="E726">
        <v>100.5908203125</v>
      </c>
      <c r="F726" t="s">
        <v>427</v>
      </c>
      <c r="G726" s="64">
        <v>41390</v>
      </c>
      <c r="H726">
        <v>254.81</v>
      </c>
      <c r="I726">
        <v>100.53534005729759</v>
      </c>
      <c r="J726">
        <v>100.53534005729759</v>
      </c>
    </row>
    <row r="727" spans="1:10" x14ac:dyDescent="0.25">
      <c r="A727" s="36"/>
      <c r="B727" t="s">
        <v>451</v>
      </c>
      <c r="C727" s="64">
        <v>41393</v>
      </c>
      <c r="D727">
        <v>54.94</v>
      </c>
      <c r="E727">
        <v>100.61867491809247</v>
      </c>
      <c r="F727" t="s">
        <v>427</v>
      </c>
      <c r="G727" s="64">
        <v>41393</v>
      </c>
      <c r="H727">
        <v>249.74</v>
      </c>
      <c r="I727">
        <v>100.52590694322095</v>
      </c>
      <c r="J727">
        <v>100.52590694322095</v>
      </c>
    </row>
    <row r="728" spans="1:10" x14ac:dyDescent="0.25">
      <c r="A728" s="36"/>
      <c r="B728" t="s">
        <v>451</v>
      </c>
      <c r="C728" s="64">
        <v>41394</v>
      </c>
      <c r="D728">
        <v>53.99</v>
      </c>
      <c r="E728">
        <v>100.61196517873681</v>
      </c>
      <c r="F728" t="s">
        <v>427</v>
      </c>
      <c r="G728" s="64">
        <v>41394</v>
      </c>
      <c r="H728">
        <v>253.81</v>
      </c>
      <c r="I728">
        <v>100.53350931799378</v>
      </c>
      <c r="J728">
        <v>100.53350931799378</v>
      </c>
    </row>
    <row r="729" spans="1:10" x14ac:dyDescent="0.25">
      <c r="A729" s="36"/>
      <c r="B729" t="s">
        <v>451</v>
      </c>
      <c r="C729" s="64">
        <v>41395</v>
      </c>
      <c r="D729">
        <v>53.28</v>
      </c>
      <c r="E729">
        <v>100.60679429429429</v>
      </c>
      <c r="F729" t="s">
        <v>427</v>
      </c>
      <c r="G729" s="64">
        <v>41395</v>
      </c>
      <c r="H729">
        <v>248.23</v>
      </c>
      <c r="I729">
        <v>100.52302300286026</v>
      </c>
      <c r="J729">
        <v>100.52302300286026</v>
      </c>
    </row>
    <row r="730" spans="1:10" x14ac:dyDescent="0.25">
      <c r="A730" s="36"/>
      <c r="B730" t="s">
        <v>451</v>
      </c>
      <c r="C730" s="64">
        <v>41396</v>
      </c>
      <c r="D730">
        <v>54.11</v>
      </c>
      <c r="E730">
        <v>100.61282572537424</v>
      </c>
      <c r="F730" t="s">
        <v>427</v>
      </c>
      <c r="G730" s="64">
        <v>41396</v>
      </c>
      <c r="H730">
        <v>252.55</v>
      </c>
      <c r="I730">
        <v>100.53118194416948</v>
      </c>
      <c r="J730">
        <v>100.53118194416948</v>
      </c>
    </row>
    <row r="731" spans="1:10" x14ac:dyDescent="0.25">
      <c r="A731" s="36"/>
      <c r="B731" t="s">
        <v>451</v>
      </c>
      <c r="C731" s="64">
        <v>41397</v>
      </c>
      <c r="D731">
        <v>54.55</v>
      </c>
      <c r="E731">
        <v>100.61594867094409</v>
      </c>
      <c r="F731" t="s">
        <v>427</v>
      </c>
      <c r="G731" s="64">
        <v>41397</v>
      </c>
      <c r="H731">
        <v>258.05</v>
      </c>
      <c r="I731">
        <v>100.54117419104824</v>
      </c>
      <c r="J731">
        <v>100.54117419104824</v>
      </c>
    </row>
    <row r="732" spans="1:10" x14ac:dyDescent="0.25">
      <c r="A732" s="36"/>
      <c r="B732" t="s">
        <v>451</v>
      </c>
      <c r="C732" s="64">
        <v>41400</v>
      </c>
      <c r="D732">
        <v>59.5</v>
      </c>
      <c r="E732">
        <v>100.64789915966387</v>
      </c>
      <c r="F732" t="s">
        <v>427</v>
      </c>
      <c r="G732" s="64">
        <v>41400</v>
      </c>
      <c r="H732">
        <v>255.72</v>
      </c>
      <c r="I732">
        <v>100.53699358673549</v>
      </c>
      <c r="J732">
        <v>100.53699358673549</v>
      </c>
    </row>
    <row r="733" spans="1:10" x14ac:dyDescent="0.25">
      <c r="A733" s="36"/>
      <c r="B733" t="s">
        <v>451</v>
      </c>
      <c r="C733" s="64">
        <v>41401</v>
      </c>
      <c r="D733">
        <v>55.51</v>
      </c>
      <c r="E733">
        <v>100.62259052422986</v>
      </c>
      <c r="F733" t="s">
        <v>427</v>
      </c>
      <c r="G733" s="64">
        <v>41401</v>
      </c>
      <c r="H733">
        <v>257.73</v>
      </c>
      <c r="I733">
        <v>100.54060450859427</v>
      </c>
      <c r="J733">
        <v>100.54060450859427</v>
      </c>
    </row>
    <row r="734" spans="1:10" x14ac:dyDescent="0.25">
      <c r="A734" s="36"/>
      <c r="B734" t="s">
        <v>451</v>
      </c>
      <c r="C734" s="64">
        <v>41402</v>
      </c>
      <c r="D734">
        <v>55.786999999999999</v>
      </c>
      <c r="E734">
        <v>100.62446448097226</v>
      </c>
      <c r="F734" t="s">
        <v>427</v>
      </c>
      <c r="G734" s="64">
        <v>41402</v>
      </c>
      <c r="H734">
        <v>258.68</v>
      </c>
      <c r="I734">
        <v>100.54229163445183</v>
      </c>
      <c r="J734">
        <v>100.54229163445183</v>
      </c>
    </row>
    <row r="735" spans="1:10" x14ac:dyDescent="0.25">
      <c r="A735" s="36"/>
      <c r="B735" t="s">
        <v>451</v>
      </c>
      <c r="C735" s="64">
        <v>41403</v>
      </c>
      <c r="D735">
        <v>69.400000000000006</v>
      </c>
      <c r="E735">
        <v>100.69812680115274</v>
      </c>
      <c r="F735" t="s">
        <v>427</v>
      </c>
      <c r="G735" s="64">
        <v>41403</v>
      </c>
      <c r="H735">
        <v>260.16000000000003</v>
      </c>
      <c r="I735">
        <v>100.54489544895449</v>
      </c>
      <c r="J735">
        <v>100.54489544895449</v>
      </c>
    </row>
    <row r="736" spans="1:10" x14ac:dyDescent="0.25">
      <c r="A736" s="36"/>
      <c r="B736" t="s">
        <v>451</v>
      </c>
      <c r="C736" s="64">
        <v>41404</v>
      </c>
      <c r="D736">
        <v>76.763999999999996</v>
      </c>
      <c r="E736">
        <v>100.72708561304778</v>
      </c>
      <c r="F736" t="s">
        <v>427</v>
      </c>
      <c r="G736" s="64">
        <v>41404</v>
      </c>
      <c r="H736">
        <v>263.63</v>
      </c>
      <c r="I736">
        <v>100.55088571103441</v>
      </c>
      <c r="J736">
        <v>100.55088571103441</v>
      </c>
    </row>
    <row r="737" spans="1:10" x14ac:dyDescent="0.25">
      <c r="A737" s="36"/>
      <c r="B737" t="s">
        <v>451</v>
      </c>
      <c r="C737" s="64">
        <v>41407</v>
      </c>
      <c r="D737">
        <v>87.8</v>
      </c>
      <c r="E737">
        <v>100.7613895216401</v>
      </c>
      <c r="F737" t="s">
        <v>427</v>
      </c>
      <c r="G737" s="64">
        <v>41407</v>
      </c>
      <c r="H737">
        <v>264.51</v>
      </c>
      <c r="I737">
        <v>100.55237987221655</v>
      </c>
      <c r="J737">
        <v>100.55237987221655</v>
      </c>
    </row>
    <row r="738" spans="1:10" x14ac:dyDescent="0.25">
      <c r="A738" s="36"/>
      <c r="B738" t="s">
        <v>451</v>
      </c>
      <c r="C738" s="64">
        <v>41408</v>
      </c>
      <c r="D738">
        <v>83.24</v>
      </c>
      <c r="E738">
        <v>100.74831811629025</v>
      </c>
      <c r="F738" t="s">
        <v>427</v>
      </c>
      <c r="G738" s="64">
        <v>41408</v>
      </c>
      <c r="H738">
        <v>268.33</v>
      </c>
      <c r="I738">
        <v>100.55875228263704</v>
      </c>
      <c r="J738">
        <v>100.55875228263704</v>
      </c>
    </row>
    <row r="739" spans="1:10" x14ac:dyDescent="0.25">
      <c r="A739" s="36"/>
      <c r="B739" t="s">
        <v>451</v>
      </c>
      <c r="C739" s="64">
        <v>41409</v>
      </c>
      <c r="D739">
        <v>84.841999999999999</v>
      </c>
      <c r="E739">
        <v>100.75307041323873</v>
      </c>
      <c r="F739" t="s">
        <v>427</v>
      </c>
      <c r="G739" s="64">
        <v>41409</v>
      </c>
      <c r="H739">
        <v>266.56</v>
      </c>
      <c r="I739">
        <v>100.55582232893157</v>
      </c>
      <c r="J739">
        <v>100.55582232893157</v>
      </c>
    </row>
    <row r="740" spans="1:10" x14ac:dyDescent="0.25">
      <c r="A740" s="36"/>
      <c r="B740" t="s">
        <v>451</v>
      </c>
      <c r="C740" s="64">
        <v>41410</v>
      </c>
      <c r="D740">
        <v>92.248000000000005</v>
      </c>
      <c r="E740">
        <v>100.77289480530743</v>
      </c>
      <c r="F740" t="s">
        <v>427</v>
      </c>
      <c r="G740" s="64">
        <v>41410</v>
      </c>
      <c r="H740">
        <v>264.12</v>
      </c>
      <c r="I740">
        <v>100.5517189156444</v>
      </c>
      <c r="J740">
        <v>100.5517189156444</v>
      </c>
    </row>
    <row r="741" spans="1:10" x14ac:dyDescent="0.25">
      <c r="A741" s="36"/>
      <c r="B741" t="s">
        <v>451</v>
      </c>
      <c r="C741" s="64">
        <v>41411</v>
      </c>
      <c r="D741">
        <v>91.5</v>
      </c>
      <c r="E741">
        <v>100.77103825136612</v>
      </c>
      <c r="F741" t="s">
        <v>427</v>
      </c>
      <c r="G741" s="64">
        <v>41411</v>
      </c>
      <c r="H741">
        <v>269.89999999999998</v>
      </c>
      <c r="I741">
        <v>100.56131900703964</v>
      </c>
      <c r="J741">
        <v>100.56131900703964</v>
      </c>
    </row>
    <row r="742" spans="1:10" x14ac:dyDescent="0.25">
      <c r="A742" s="36"/>
      <c r="B742" t="s">
        <v>451</v>
      </c>
      <c r="C742" s="64">
        <v>41414</v>
      </c>
      <c r="D742">
        <v>89.94</v>
      </c>
      <c r="E742">
        <v>100.76706693351123</v>
      </c>
      <c r="F742" t="s">
        <v>427</v>
      </c>
      <c r="G742" s="64">
        <v>41414</v>
      </c>
      <c r="H742">
        <v>267.63</v>
      </c>
      <c r="I742">
        <v>100.55759817658708</v>
      </c>
      <c r="J742">
        <v>100.55759817658708</v>
      </c>
    </row>
    <row r="743" spans="1:10" x14ac:dyDescent="0.25">
      <c r="A743" s="36"/>
      <c r="B743" t="s">
        <v>451</v>
      </c>
      <c r="C743" s="64">
        <v>41415</v>
      </c>
      <c r="D743">
        <v>87.59</v>
      </c>
      <c r="E743">
        <v>100.7608174449138</v>
      </c>
      <c r="F743" t="s">
        <v>427</v>
      </c>
      <c r="G743" s="64">
        <v>41415</v>
      </c>
      <c r="H743">
        <v>268.86</v>
      </c>
      <c r="I743">
        <v>100.55962210816038</v>
      </c>
      <c r="J743">
        <v>100.55962210816038</v>
      </c>
    </row>
    <row r="744" spans="1:10" x14ac:dyDescent="0.25">
      <c r="A744" s="36"/>
      <c r="B744" t="s">
        <v>451</v>
      </c>
      <c r="C744" s="64">
        <v>41416</v>
      </c>
      <c r="D744">
        <v>87.24</v>
      </c>
      <c r="E744">
        <v>100.75985786336543</v>
      </c>
      <c r="F744" t="s">
        <v>427</v>
      </c>
      <c r="G744" s="64">
        <v>41416</v>
      </c>
      <c r="H744">
        <v>262.95999999999998</v>
      </c>
      <c r="I744">
        <v>100.54974140553696</v>
      </c>
      <c r="J744">
        <v>100.54974140553696</v>
      </c>
    </row>
    <row r="745" spans="1:10" x14ac:dyDescent="0.25">
      <c r="A745" s="36"/>
      <c r="B745" t="s">
        <v>451</v>
      </c>
      <c r="C745" s="64">
        <v>41417</v>
      </c>
      <c r="D745">
        <v>92.73</v>
      </c>
      <c r="E745">
        <v>100.77407527229592</v>
      </c>
      <c r="F745" t="s">
        <v>427</v>
      </c>
      <c r="G745" s="64">
        <v>41417</v>
      </c>
      <c r="H745">
        <v>261.8</v>
      </c>
      <c r="I745">
        <v>100.54774637127578</v>
      </c>
      <c r="J745">
        <v>100.54774637127578</v>
      </c>
    </row>
    <row r="746" spans="1:10" x14ac:dyDescent="0.25">
      <c r="A746" s="36"/>
      <c r="B746" t="s">
        <v>451</v>
      </c>
      <c r="C746" s="64">
        <v>41418</v>
      </c>
      <c r="D746">
        <v>97.08</v>
      </c>
      <c r="E746">
        <v>100.78419859909353</v>
      </c>
      <c r="F746" t="s">
        <v>427</v>
      </c>
      <c r="G746" s="64">
        <v>41418</v>
      </c>
      <c r="H746">
        <v>261.74</v>
      </c>
      <c r="I746">
        <v>100.54764269886147</v>
      </c>
      <c r="J746">
        <v>100.54764269886147</v>
      </c>
    </row>
    <row r="747" spans="1:10" x14ac:dyDescent="0.25">
      <c r="A747" s="36"/>
      <c r="B747" t="s">
        <v>451</v>
      </c>
      <c r="C747" s="64">
        <v>41422</v>
      </c>
      <c r="D747">
        <v>110.334</v>
      </c>
      <c r="E747">
        <v>100.81012199322059</v>
      </c>
      <c r="F747" t="s">
        <v>427</v>
      </c>
      <c r="G747" s="64">
        <v>41422</v>
      </c>
      <c r="H747">
        <v>267.29000000000002</v>
      </c>
      <c r="I747">
        <v>100.55703542968311</v>
      </c>
      <c r="J747">
        <v>100.55703542968311</v>
      </c>
    </row>
    <row r="748" spans="1:10" x14ac:dyDescent="0.25">
      <c r="A748" s="36"/>
      <c r="B748" t="s">
        <v>451</v>
      </c>
      <c r="C748" s="64">
        <v>41423</v>
      </c>
      <c r="D748">
        <v>104.629</v>
      </c>
      <c r="E748">
        <v>100.79976870657275</v>
      </c>
      <c r="F748" t="s">
        <v>427</v>
      </c>
      <c r="G748" s="64">
        <v>41423</v>
      </c>
      <c r="H748">
        <v>265.52999999999997</v>
      </c>
      <c r="I748">
        <v>100.55409934847286</v>
      </c>
      <c r="J748">
        <v>100.55409934847286</v>
      </c>
    </row>
    <row r="749" spans="1:10" x14ac:dyDescent="0.25">
      <c r="A749" s="36"/>
      <c r="B749" t="s">
        <v>451</v>
      </c>
      <c r="C749" s="64">
        <v>41424</v>
      </c>
      <c r="D749">
        <v>104.95</v>
      </c>
      <c r="E749">
        <v>100.80038113387327</v>
      </c>
      <c r="F749" t="s">
        <v>427</v>
      </c>
      <c r="G749" s="64">
        <v>41424</v>
      </c>
      <c r="H749">
        <v>266.83</v>
      </c>
      <c r="I749">
        <v>100.55627178353258</v>
      </c>
      <c r="J749">
        <v>100.55627178353258</v>
      </c>
    </row>
    <row r="750" spans="1:10" x14ac:dyDescent="0.25">
      <c r="A750" s="36"/>
      <c r="B750" t="s">
        <v>451</v>
      </c>
      <c r="C750" s="64">
        <v>41425</v>
      </c>
      <c r="D750">
        <v>97.76</v>
      </c>
      <c r="E750">
        <v>100.78569967266776</v>
      </c>
      <c r="F750" t="s">
        <v>427</v>
      </c>
      <c r="G750" s="64">
        <v>41425</v>
      </c>
      <c r="H750">
        <v>269.2</v>
      </c>
      <c r="I750">
        <v>100.56017830609213</v>
      </c>
      <c r="J750">
        <v>100.56017830609213</v>
      </c>
    </row>
    <row r="751" spans="1:10" x14ac:dyDescent="0.25">
      <c r="A751" s="36"/>
      <c r="B751" t="s">
        <v>451</v>
      </c>
      <c r="C751" s="64">
        <v>41428</v>
      </c>
      <c r="D751">
        <v>92.59</v>
      </c>
      <c r="E751">
        <v>100.7737336645426</v>
      </c>
      <c r="F751" t="s">
        <v>427</v>
      </c>
      <c r="G751" s="64">
        <v>41428</v>
      </c>
      <c r="H751">
        <v>266.88</v>
      </c>
      <c r="I751">
        <v>100.55635491606715</v>
      </c>
      <c r="J751">
        <v>100.55635491606715</v>
      </c>
    </row>
    <row r="752" spans="1:10" x14ac:dyDescent="0.25">
      <c r="A752" s="36"/>
      <c r="B752" t="s">
        <v>451</v>
      </c>
      <c r="C752" s="64">
        <v>41429</v>
      </c>
      <c r="D752">
        <v>94.84</v>
      </c>
      <c r="E752">
        <v>100.77910164487558</v>
      </c>
      <c r="F752" t="s">
        <v>427</v>
      </c>
      <c r="G752" s="64">
        <v>41429</v>
      </c>
      <c r="H752">
        <v>265.7</v>
      </c>
      <c r="I752">
        <v>100.55438464433571</v>
      </c>
      <c r="J752">
        <v>100.55438464433571</v>
      </c>
    </row>
    <row r="753" spans="1:10" x14ac:dyDescent="0.25">
      <c r="A753" s="36"/>
      <c r="B753" t="s">
        <v>451</v>
      </c>
      <c r="C753" s="64">
        <v>41430</v>
      </c>
      <c r="D753">
        <v>95.37</v>
      </c>
      <c r="E753">
        <v>100.78032924399706</v>
      </c>
      <c r="F753" t="s">
        <v>427</v>
      </c>
      <c r="G753" s="64">
        <v>41430</v>
      </c>
      <c r="H753">
        <v>267.17</v>
      </c>
      <c r="I753">
        <v>100.55683647116068</v>
      </c>
      <c r="J753">
        <v>100.55683647116068</v>
      </c>
    </row>
    <row r="754" spans="1:10" x14ac:dyDescent="0.25">
      <c r="A754" s="36"/>
      <c r="B754" t="s">
        <v>451</v>
      </c>
      <c r="C754" s="64">
        <v>41431</v>
      </c>
      <c r="D754">
        <v>97.35</v>
      </c>
      <c r="E754">
        <v>100.78479712378018</v>
      </c>
      <c r="F754" t="s">
        <v>427</v>
      </c>
      <c r="G754" s="64">
        <v>41431</v>
      </c>
      <c r="H754">
        <v>267.83</v>
      </c>
      <c r="I754">
        <v>100.5579285367584</v>
      </c>
      <c r="J754">
        <v>100.5579285367584</v>
      </c>
    </row>
    <row r="755" spans="1:10" x14ac:dyDescent="0.25">
      <c r="A755" s="36"/>
      <c r="B755" t="s">
        <v>451</v>
      </c>
      <c r="C755" s="64">
        <v>41432</v>
      </c>
      <c r="D755">
        <v>102.04</v>
      </c>
      <c r="E755">
        <v>100.79468835750686</v>
      </c>
      <c r="F755" t="s">
        <v>427</v>
      </c>
      <c r="G755" s="64">
        <v>41432</v>
      </c>
      <c r="H755">
        <v>276.87</v>
      </c>
      <c r="I755">
        <v>100.57236248058656</v>
      </c>
      <c r="J755">
        <v>100.57236248058656</v>
      </c>
    </row>
    <row r="756" spans="1:10" x14ac:dyDescent="0.25">
      <c r="A756" s="36"/>
      <c r="B756" t="s">
        <v>451</v>
      </c>
      <c r="C756" s="64">
        <v>41435</v>
      </c>
      <c r="D756">
        <v>100.05</v>
      </c>
      <c r="E756">
        <v>100.79060469765118</v>
      </c>
      <c r="F756" t="s">
        <v>427</v>
      </c>
      <c r="G756" s="64">
        <v>41435</v>
      </c>
      <c r="H756">
        <v>281.07</v>
      </c>
      <c r="I756">
        <v>100.57875262390152</v>
      </c>
      <c r="J756">
        <v>100.57875262390152</v>
      </c>
    </row>
    <row r="757" spans="1:10" x14ac:dyDescent="0.25">
      <c r="A757" s="36"/>
      <c r="B757" t="s">
        <v>451</v>
      </c>
      <c r="C757" s="64">
        <v>41436</v>
      </c>
      <c r="D757">
        <v>94.47</v>
      </c>
      <c r="E757">
        <v>100.77823647718853</v>
      </c>
      <c r="F757" t="s">
        <v>427</v>
      </c>
      <c r="G757" s="64">
        <v>41436</v>
      </c>
      <c r="H757">
        <v>274.77999999999997</v>
      </c>
      <c r="I757">
        <v>100.56910983332121</v>
      </c>
      <c r="J757">
        <v>100.56910983332121</v>
      </c>
    </row>
    <row r="758" spans="1:10" x14ac:dyDescent="0.25">
      <c r="A758" s="36"/>
      <c r="B758" t="s">
        <v>451</v>
      </c>
      <c r="C758" s="64">
        <v>41437</v>
      </c>
      <c r="D758">
        <v>97.73</v>
      </c>
      <c r="E758">
        <v>100.78563388928681</v>
      </c>
      <c r="F758" t="s">
        <v>427</v>
      </c>
      <c r="G758" s="64">
        <v>41437</v>
      </c>
      <c r="H758">
        <v>271.67</v>
      </c>
      <c r="I758">
        <v>100.56417712666102</v>
      </c>
      <c r="J758">
        <v>100.56417712666102</v>
      </c>
    </row>
    <row r="759" spans="1:10" x14ac:dyDescent="0.25">
      <c r="A759" s="36"/>
      <c r="B759" t="s">
        <v>451</v>
      </c>
      <c r="C759" s="64">
        <v>41438</v>
      </c>
      <c r="D759">
        <v>98.18</v>
      </c>
      <c r="E759">
        <v>100.78661641882258</v>
      </c>
      <c r="F759" t="s">
        <v>427</v>
      </c>
      <c r="G759" s="64">
        <v>41438</v>
      </c>
      <c r="H759">
        <v>275.79000000000002</v>
      </c>
      <c r="I759">
        <v>100.57068784219878</v>
      </c>
      <c r="J759">
        <v>100.57068784219878</v>
      </c>
    </row>
    <row r="760" spans="1:10" x14ac:dyDescent="0.25">
      <c r="A760" s="36"/>
      <c r="B760" t="s">
        <v>451</v>
      </c>
      <c r="C760" s="64">
        <v>41439</v>
      </c>
      <c r="D760">
        <v>100.3</v>
      </c>
      <c r="E760">
        <v>100.79112662013958</v>
      </c>
      <c r="F760" t="s">
        <v>427</v>
      </c>
      <c r="G760" s="64">
        <v>41439</v>
      </c>
      <c r="H760">
        <v>273.99</v>
      </c>
      <c r="I760">
        <v>100.56786744041753</v>
      </c>
      <c r="J760">
        <v>100.56786744041753</v>
      </c>
    </row>
    <row r="761" spans="1:10" x14ac:dyDescent="0.25">
      <c r="A761" s="36"/>
      <c r="B761" t="s">
        <v>451</v>
      </c>
      <c r="C761" s="64">
        <v>41442</v>
      </c>
      <c r="D761">
        <v>102.2</v>
      </c>
      <c r="E761">
        <v>100.79500978473581</v>
      </c>
      <c r="F761" t="s">
        <v>427</v>
      </c>
      <c r="G761" s="64">
        <v>41442</v>
      </c>
      <c r="H761">
        <v>278.06</v>
      </c>
      <c r="I761">
        <v>100.57419262029778</v>
      </c>
      <c r="J761">
        <v>100.57419262029778</v>
      </c>
    </row>
    <row r="762" spans="1:10" x14ac:dyDescent="0.25">
      <c r="A762" s="36"/>
      <c r="B762" t="s">
        <v>451</v>
      </c>
      <c r="C762" s="64">
        <v>41443</v>
      </c>
      <c r="D762">
        <v>103.39</v>
      </c>
      <c r="E762">
        <v>100.79736918464069</v>
      </c>
      <c r="F762" t="s">
        <v>427</v>
      </c>
      <c r="G762" s="64">
        <v>41443</v>
      </c>
      <c r="H762">
        <v>281.76</v>
      </c>
      <c r="I762">
        <v>100.57978421351505</v>
      </c>
      <c r="J762">
        <v>100.57978421351505</v>
      </c>
    </row>
    <row r="763" spans="1:10" x14ac:dyDescent="0.25">
      <c r="A763" s="36"/>
      <c r="B763" t="s">
        <v>451</v>
      </c>
      <c r="C763" s="64">
        <v>41444</v>
      </c>
      <c r="D763">
        <v>104.68</v>
      </c>
      <c r="E763">
        <v>100.79986625907527</v>
      </c>
      <c r="F763" t="s">
        <v>427</v>
      </c>
      <c r="G763" s="64">
        <v>41444</v>
      </c>
      <c r="H763">
        <v>278.16000000000003</v>
      </c>
      <c r="I763">
        <v>100.57434570031637</v>
      </c>
      <c r="J763">
        <v>100.57434570031637</v>
      </c>
    </row>
    <row r="764" spans="1:10" x14ac:dyDescent="0.25">
      <c r="A764" s="36"/>
      <c r="B764" t="s">
        <v>451</v>
      </c>
      <c r="C764" s="64">
        <v>41445</v>
      </c>
      <c r="D764">
        <v>100.65</v>
      </c>
      <c r="E764">
        <v>100.79185295578738</v>
      </c>
      <c r="F764" t="s">
        <v>427</v>
      </c>
      <c r="G764" s="64">
        <v>41445</v>
      </c>
      <c r="H764">
        <v>273.44</v>
      </c>
      <c r="I764">
        <v>100.56699824458748</v>
      </c>
      <c r="J764">
        <v>100.56699824458748</v>
      </c>
    </row>
    <row r="765" spans="1:10" x14ac:dyDescent="0.25">
      <c r="A765" s="36"/>
      <c r="B765" t="s">
        <v>451</v>
      </c>
      <c r="C765" s="64">
        <v>41446</v>
      </c>
      <c r="D765">
        <v>99.55</v>
      </c>
      <c r="E765">
        <v>100.78955298844802</v>
      </c>
      <c r="F765" t="s">
        <v>427</v>
      </c>
      <c r="G765" s="64">
        <v>41446</v>
      </c>
      <c r="H765">
        <v>273.36</v>
      </c>
      <c r="I765">
        <v>100.56687152472929</v>
      </c>
      <c r="J765">
        <v>100.56687152472929</v>
      </c>
    </row>
    <row r="766" spans="1:10" x14ac:dyDescent="0.25">
      <c r="A766" s="36"/>
      <c r="B766" t="s">
        <v>451</v>
      </c>
      <c r="C766" s="64">
        <v>41449</v>
      </c>
      <c r="D766">
        <v>101.49</v>
      </c>
      <c r="E766">
        <v>100.79357572174598</v>
      </c>
      <c r="F766" t="s">
        <v>427</v>
      </c>
      <c r="G766" s="64">
        <v>41449</v>
      </c>
      <c r="H766">
        <v>270.61</v>
      </c>
      <c r="I766">
        <v>100.56246997524113</v>
      </c>
      <c r="J766">
        <v>100.56246997524113</v>
      </c>
    </row>
    <row r="767" spans="1:10" x14ac:dyDescent="0.25">
      <c r="A767" s="36"/>
      <c r="B767" t="s">
        <v>451</v>
      </c>
      <c r="C767" s="64">
        <v>41450</v>
      </c>
      <c r="D767">
        <v>102.4</v>
      </c>
      <c r="E767">
        <v>100.79541015625</v>
      </c>
      <c r="F767" t="s">
        <v>427</v>
      </c>
      <c r="G767" s="64">
        <v>41450</v>
      </c>
      <c r="H767">
        <v>272.08800000000002</v>
      </c>
      <c r="I767">
        <v>100.56484666725471</v>
      </c>
      <c r="J767">
        <v>100.56484666725471</v>
      </c>
    </row>
    <row r="768" spans="1:10" x14ac:dyDescent="0.25">
      <c r="A768" s="36"/>
      <c r="B768" t="s">
        <v>451</v>
      </c>
      <c r="C768" s="64">
        <v>41451</v>
      </c>
      <c r="D768">
        <v>105.72</v>
      </c>
      <c r="E768">
        <v>100.80183503594401</v>
      </c>
      <c r="F768" t="s">
        <v>427</v>
      </c>
      <c r="G768" s="64">
        <v>41451</v>
      </c>
      <c r="H768">
        <v>277.57</v>
      </c>
      <c r="I768">
        <v>100.5734409338185</v>
      </c>
      <c r="J768">
        <v>100.5734409338185</v>
      </c>
    </row>
    <row r="769" spans="1:10" x14ac:dyDescent="0.25">
      <c r="A769" s="36"/>
      <c r="B769" t="s">
        <v>451</v>
      </c>
      <c r="C769" s="64">
        <v>41452</v>
      </c>
      <c r="D769">
        <v>109.25</v>
      </c>
      <c r="E769">
        <v>100.80823798627003</v>
      </c>
      <c r="F769" t="s">
        <v>427</v>
      </c>
      <c r="G769" s="64">
        <v>41452</v>
      </c>
      <c r="H769">
        <v>277.55</v>
      </c>
      <c r="I769">
        <v>100.57341019636101</v>
      </c>
      <c r="J769">
        <v>100.57341019636101</v>
      </c>
    </row>
    <row r="770" spans="1:10" x14ac:dyDescent="0.25">
      <c r="A770" s="36"/>
      <c r="B770" t="s">
        <v>451</v>
      </c>
      <c r="C770" s="64">
        <v>41453</v>
      </c>
      <c r="D770">
        <v>107.36</v>
      </c>
      <c r="E770">
        <v>100.80486214605067</v>
      </c>
      <c r="F770" t="s">
        <v>427</v>
      </c>
      <c r="G770" s="64">
        <v>41453</v>
      </c>
      <c r="H770">
        <v>277.69</v>
      </c>
      <c r="I770">
        <v>100.57362526558393</v>
      </c>
      <c r="J770">
        <v>100.57362526558393</v>
      </c>
    </row>
    <row r="771" spans="1:10" x14ac:dyDescent="0.25">
      <c r="A771" s="36"/>
      <c r="B771" t="s">
        <v>451</v>
      </c>
      <c r="C771" s="64">
        <v>41456</v>
      </c>
      <c r="D771">
        <v>117.179</v>
      </c>
      <c r="E771">
        <v>100.82121369870028</v>
      </c>
      <c r="F771" t="s">
        <v>427</v>
      </c>
      <c r="G771" s="64">
        <v>41456</v>
      </c>
      <c r="H771">
        <v>282.10000000000002</v>
      </c>
      <c r="I771">
        <v>100.58029067706487</v>
      </c>
      <c r="J771">
        <v>100.58029067706487</v>
      </c>
    </row>
    <row r="772" spans="1:10" x14ac:dyDescent="0.25">
      <c r="A772" s="36"/>
      <c r="B772" t="s">
        <v>451</v>
      </c>
      <c r="C772" s="64">
        <v>41457</v>
      </c>
      <c r="D772">
        <v>117.82</v>
      </c>
      <c r="E772">
        <v>100.82218638601256</v>
      </c>
      <c r="F772" t="s">
        <v>427</v>
      </c>
      <c r="G772" s="64">
        <v>41457</v>
      </c>
      <c r="H772">
        <v>283.73</v>
      </c>
      <c r="I772">
        <v>100.58270186444859</v>
      </c>
      <c r="J772">
        <v>100.58270186444859</v>
      </c>
    </row>
    <row r="773" spans="1:10" x14ac:dyDescent="0.25">
      <c r="A773" s="36"/>
      <c r="B773" t="s">
        <v>451</v>
      </c>
      <c r="C773" s="64">
        <v>41458</v>
      </c>
      <c r="D773">
        <v>115.24</v>
      </c>
      <c r="E773">
        <v>100.81820548420687</v>
      </c>
      <c r="F773" t="s">
        <v>427</v>
      </c>
      <c r="G773" s="64">
        <v>41458</v>
      </c>
      <c r="H773">
        <v>284.02999999999997</v>
      </c>
      <c r="I773">
        <v>100.58314262577896</v>
      </c>
      <c r="J773">
        <v>100.58314262577896</v>
      </c>
    </row>
    <row r="774" spans="1:10" x14ac:dyDescent="0.25">
      <c r="A774" s="36"/>
      <c r="B774" t="s">
        <v>451</v>
      </c>
      <c r="C774" s="64">
        <v>41460</v>
      </c>
      <c r="D774">
        <v>120.09</v>
      </c>
      <c r="E774">
        <v>100.82554750603714</v>
      </c>
      <c r="F774" t="s">
        <v>427</v>
      </c>
      <c r="G774" s="64">
        <v>41460</v>
      </c>
      <c r="H774">
        <v>285.88</v>
      </c>
      <c r="I774">
        <v>100.58584021267664</v>
      </c>
      <c r="J774">
        <v>100.58584021267664</v>
      </c>
    </row>
    <row r="775" spans="1:10" x14ac:dyDescent="0.25">
      <c r="A775" s="36"/>
      <c r="B775" t="s">
        <v>451</v>
      </c>
      <c r="C775" s="64">
        <v>41463</v>
      </c>
      <c r="D775">
        <v>121.61</v>
      </c>
      <c r="E775">
        <v>100.82772798289615</v>
      </c>
      <c r="F775" t="s">
        <v>427</v>
      </c>
      <c r="G775" s="64">
        <v>41463</v>
      </c>
      <c r="H775">
        <v>290.58999999999997</v>
      </c>
      <c r="I775">
        <v>100.59255308166145</v>
      </c>
      <c r="J775">
        <v>100.59255308166145</v>
      </c>
    </row>
    <row r="776" spans="1:10" x14ac:dyDescent="0.25">
      <c r="A776" s="36"/>
      <c r="B776" t="s">
        <v>451</v>
      </c>
      <c r="C776" s="64">
        <v>41464</v>
      </c>
      <c r="D776">
        <v>123.45</v>
      </c>
      <c r="E776">
        <v>100.83029566626165</v>
      </c>
      <c r="F776" t="s">
        <v>427</v>
      </c>
      <c r="G776" s="64">
        <v>41464</v>
      </c>
      <c r="H776">
        <v>291.52999999999997</v>
      </c>
      <c r="I776">
        <v>100.59386684046238</v>
      </c>
      <c r="J776">
        <v>100.59386684046238</v>
      </c>
    </row>
    <row r="777" spans="1:10" x14ac:dyDescent="0.25">
      <c r="A777" s="36"/>
      <c r="B777" t="s">
        <v>451</v>
      </c>
      <c r="C777" s="64">
        <v>41465</v>
      </c>
      <c r="D777">
        <v>122.27</v>
      </c>
      <c r="E777">
        <v>100.82865788828003</v>
      </c>
      <c r="F777" t="s">
        <v>427</v>
      </c>
      <c r="G777" s="64">
        <v>41465</v>
      </c>
      <c r="H777">
        <v>292.33</v>
      </c>
      <c r="I777">
        <v>100.59497827797352</v>
      </c>
      <c r="J777">
        <v>100.59497827797352</v>
      </c>
    </row>
    <row r="778" spans="1:10" x14ac:dyDescent="0.25">
      <c r="A778" s="36"/>
      <c r="B778" t="s">
        <v>451</v>
      </c>
      <c r="C778" s="64">
        <v>41466</v>
      </c>
      <c r="D778">
        <v>125.61</v>
      </c>
      <c r="E778">
        <v>100.83321391608948</v>
      </c>
      <c r="F778" t="s">
        <v>427</v>
      </c>
      <c r="G778" s="64">
        <v>41466</v>
      </c>
      <c r="H778">
        <v>299.66000000000003</v>
      </c>
      <c r="I778">
        <v>100.60488553694186</v>
      </c>
      <c r="J778">
        <v>100.60488553694186</v>
      </c>
    </row>
    <row r="779" spans="1:10" x14ac:dyDescent="0.25">
      <c r="A779" s="36"/>
      <c r="B779" t="s">
        <v>451</v>
      </c>
      <c r="C779" s="64">
        <v>41467</v>
      </c>
      <c r="D779">
        <v>129.9</v>
      </c>
      <c r="E779">
        <v>100.83872209391839</v>
      </c>
      <c r="F779" t="s">
        <v>427</v>
      </c>
      <c r="G779" s="64">
        <v>41467</v>
      </c>
      <c r="H779">
        <v>307.55</v>
      </c>
      <c r="I779">
        <v>100.61502194765079</v>
      </c>
      <c r="J779">
        <v>100.61502194765079</v>
      </c>
    </row>
    <row r="780" spans="1:10" x14ac:dyDescent="0.25">
      <c r="A780" s="36"/>
      <c r="B780" t="s">
        <v>451</v>
      </c>
      <c r="C780" s="64">
        <v>41470</v>
      </c>
      <c r="D780">
        <v>127.26</v>
      </c>
      <c r="E780">
        <v>100.83537639478233</v>
      </c>
      <c r="F780" t="s">
        <v>427</v>
      </c>
      <c r="G780" s="64">
        <v>41470</v>
      </c>
      <c r="H780">
        <v>306.57</v>
      </c>
      <c r="I780">
        <v>100.61379130378054</v>
      </c>
      <c r="J780">
        <v>100.61379130378054</v>
      </c>
    </row>
    <row r="781" spans="1:10" x14ac:dyDescent="0.25">
      <c r="A781" s="36"/>
      <c r="B781" t="s">
        <v>451</v>
      </c>
      <c r="C781" s="64">
        <v>41471</v>
      </c>
      <c r="D781">
        <v>109.05</v>
      </c>
      <c r="E781">
        <v>100.80788629069234</v>
      </c>
      <c r="F781" t="s">
        <v>427</v>
      </c>
      <c r="G781" s="64">
        <v>41471</v>
      </c>
      <c r="H781">
        <v>306.87</v>
      </c>
      <c r="I781">
        <v>100.61416886629517</v>
      </c>
      <c r="J781">
        <v>100.61416886629517</v>
      </c>
    </row>
    <row r="782" spans="1:10" x14ac:dyDescent="0.25">
      <c r="A782" s="36"/>
      <c r="B782" t="s">
        <v>451</v>
      </c>
      <c r="C782" s="64">
        <v>41472</v>
      </c>
      <c r="D782">
        <v>120.25</v>
      </c>
      <c r="E782">
        <v>100.82577962577963</v>
      </c>
      <c r="F782" t="s">
        <v>427</v>
      </c>
      <c r="G782" s="64">
        <v>41472</v>
      </c>
      <c r="H782">
        <v>308.69</v>
      </c>
      <c r="I782">
        <v>100.61644368136318</v>
      </c>
      <c r="J782">
        <v>100.61644368136318</v>
      </c>
    </row>
    <row r="783" spans="1:10" x14ac:dyDescent="0.25">
      <c r="A783" s="36"/>
      <c r="B783" t="s">
        <v>451</v>
      </c>
      <c r="C783" s="64">
        <v>41473</v>
      </c>
      <c r="D783">
        <v>119.03</v>
      </c>
      <c r="E783">
        <v>100.82399395110477</v>
      </c>
      <c r="F783" t="s">
        <v>427</v>
      </c>
      <c r="G783" s="64">
        <v>41473</v>
      </c>
      <c r="H783">
        <v>304.11</v>
      </c>
      <c r="I783">
        <v>100.61066719279208</v>
      </c>
      <c r="J783">
        <v>100.61066719279208</v>
      </c>
    </row>
    <row r="784" spans="1:10" x14ac:dyDescent="0.25">
      <c r="A784" s="36"/>
      <c r="B784" t="s">
        <v>451</v>
      </c>
      <c r="C784" s="64">
        <v>41474</v>
      </c>
      <c r="D784">
        <v>119.68</v>
      </c>
      <c r="E784">
        <v>100.82494986631016</v>
      </c>
      <c r="F784" t="s">
        <v>427</v>
      </c>
      <c r="G784" s="64">
        <v>41474</v>
      </c>
      <c r="H784">
        <v>305.23</v>
      </c>
      <c r="I784">
        <v>100.61209579661239</v>
      </c>
      <c r="J784">
        <v>100.61209579661239</v>
      </c>
    </row>
    <row r="785" spans="1:10" x14ac:dyDescent="0.25">
      <c r="A785" s="36"/>
      <c r="B785" t="s">
        <v>451</v>
      </c>
      <c r="C785" s="64">
        <v>41477</v>
      </c>
      <c r="D785">
        <v>122.43</v>
      </c>
      <c r="E785">
        <v>100.82888181001388</v>
      </c>
      <c r="F785" t="s">
        <v>427</v>
      </c>
      <c r="G785" s="64">
        <v>41477</v>
      </c>
      <c r="H785">
        <v>303.48</v>
      </c>
      <c r="I785">
        <v>100.60985896928958</v>
      </c>
      <c r="J785">
        <v>100.60985896928958</v>
      </c>
    </row>
    <row r="786" spans="1:10" x14ac:dyDescent="0.25">
      <c r="A786" s="36"/>
      <c r="B786" t="s">
        <v>451</v>
      </c>
      <c r="C786" s="64">
        <v>41478</v>
      </c>
      <c r="D786">
        <v>122.74</v>
      </c>
      <c r="E786">
        <v>100.82931399706698</v>
      </c>
      <c r="F786" t="s">
        <v>427</v>
      </c>
      <c r="G786" s="64">
        <v>41478</v>
      </c>
      <c r="H786">
        <v>301.06</v>
      </c>
      <c r="I786">
        <v>100.60672291237627</v>
      </c>
      <c r="J786">
        <v>100.60672291237627</v>
      </c>
    </row>
    <row r="787" spans="1:10" x14ac:dyDescent="0.25">
      <c r="A787" s="36"/>
      <c r="B787" t="s">
        <v>451</v>
      </c>
      <c r="C787" s="64">
        <v>41479</v>
      </c>
      <c r="D787">
        <v>121.7</v>
      </c>
      <c r="E787">
        <v>100.82785538208709</v>
      </c>
      <c r="F787" t="s">
        <v>427</v>
      </c>
      <c r="G787" s="64">
        <v>41479</v>
      </c>
      <c r="H787">
        <v>298.94</v>
      </c>
      <c r="I787">
        <v>100.60393389977922</v>
      </c>
      <c r="J787">
        <v>100.60393389977922</v>
      </c>
    </row>
    <row r="788" spans="1:10" x14ac:dyDescent="0.25">
      <c r="A788" s="36"/>
      <c r="B788" t="s">
        <v>451</v>
      </c>
      <c r="C788" s="64">
        <v>41480</v>
      </c>
      <c r="D788">
        <v>124.07</v>
      </c>
      <c r="E788">
        <v>100.83114370919643</v>
      </c>
      <c r="F788" t="s">
        <v>427</v>
      </c>
      <c r="G788" s="64">
        <v>41480</v>
      </c>
      <c r="H788">
        <v>303.39999999999998</v>
      </c>
      <c r="I788">
        <v>100.60975609756098</v>
      </c>
      <c r="J788">
        <v>100.60975609756098</v>
      </c>
    </row>
    <row r="789" spans="1:10" x14ac:dyDescent="0.25">
      <c r="A789" s="36"/>
      <c r="B789" t="s">
        <v>451</v>
      </c>
      <c r="C789" s="64">
        <v>41481</v>
      </c>
      <c r="D789">
        <v>129.38999999999999</v>
      </c>
      <c r="E789">
        <v>100.83808640544092</v>
      </c>
      <c r="F789" t="s">
        <v>427</v>
      </c>
      <c r="G789" s="64">
        <v>41481</v>
      </c>
      <c r="H789">
        <v>312.01</v>
      </c>
      <c r="I789">
        <v>100.62052498317361</v>
      </c>
      <c r="J789">
        <v>100.62052498317361</v>
      </c>
    </row>
    <row r="790" spans="1:10" x14ac:dyDescent="0.25">
      <c r="A790" s="36"/>
      <c r="B790" t="s">
        <v>451</v>
      </c>
      <c r="C790" s="64">
        <v>41484</v>
      </c>
      <c r="D790">
        <v>134.62</v>
      </c>
      <c r="E790">
        <v>100.84437676422523</v>
      </c>
      <c r="F790" t="s">
        <v>427</v>
      </c>
      <c r="G790" s="64">
        <v>41484</v>
      </c>
      <c r="H790">
        <v>306.10000000000002</v>
      </c>
      <c r="I790">
        <v>100.61319830120875</v>
      </c>
      <c r="J790">
        <v>100.61319830120875</v>
      </c>
    </row>
    <row r="791" spans="1:10" x14ac:dyDescent="0.25">
      <c r="A791" s="36"/>
      <c r="B791" t="s">
        <v>451</v>
      </c>
      <c r="C791" s="64">
        <v>41485</v>
      </c>
      <c r="D791">
        <v>131.74</v>
      </c>
      <c r="E791">
        <v>100.84097464703203</v>
      </c>
      <c r="F791" t="s">
        <v>427</v>
      </c>
      <c r="G791" s="64">
        <v>41485</v>
      </c>
      <c r="H791">
        <v>302.41000000000003</v>
      </c>
      <c r="I791">
        <v>100.60847855560333</v>
      </c>
      <c r="J791">
        <v>100.60847855560333</v>
      </c>
    </row>
    <row r="792" spans="1:10" x14ac:dyDescent="0.25">
      <c r="A792" s="36"/>
      <c r="B792" t="s">
        <v>451</v>
      </c>
      <c r="C792" s="64">
        <v>41486</v>
      </c>
      <c r="D792">
        <v>134.28</v>
      </c>
      <c r="E792">
        <v>100.84398272266905</v>
      </c>
      <c r="F792" t="s">
        <v>427</v>
      </c>
      <c r="G792" s="64">
        <v>41486</v>
      </c>
      <c r="H792">
        <v>301.22000000000003</v>
      </c>
      <c r="I792">
        <v>100.60693181063674</v>
      </c>
      <c r="J792">
        <v>100.60693181063674</v>
      </c>
    </row>
    <row r="793" spans="1:10" x14ac:dyDescent="0.25">
      <c r="A793" s="36"/>
      <c r="B793" t="s">
        <v>451</v>
      </c>
      <c r="C793" s="64">
        <v>41487</v>
      </c>
      <c r="D793">
        <v>135.55000000000001</v>
      </c>
      <c r="E793">
        <v>100.84544448542974</v>
      </c>
      <c r="F793" t="s">
        <v>427</v>
      </c>
      <c r="G793" s="64">
        <v>41487</v>
      </c>
      <c r="H793">
        <v>305.57</v>
      </c>
      <c r="I793">
        <v>100.61252740779527</v>
      </c>
      <c r="J793">
        <v>100.61252740779527</v>
      </c>
    </row>
    <row r="794" spans="1:10" x14ac:dyDescent="0.25">
      <c r="A794" s="36"/>
      <c r="B794" t="s">
        <v>451</v>
      </c>
      <c r="C794" s="64">
        <v>41488</v>
      </c>
      <c r="D794">
        <v>138</v>
      </c>
      <c r="E794">
        <v>100.8481884057971</v>
      </c>
      <c r="F794" t="s">
        <v>427</v>
      </c>
      <c r="G794" s="64">
        <v>41488</v>
      </c>
      <c r="H794">
        <v>304.20999999999998</v>
      </c>
      <c r="I794">
        <v>100.61079517438611</v>
      </c>
      <c r="J794">
        <v>100.61079517438611</v>
      </c>
    </row>
    <row r="795" spans="1:10" x14ac:dyDescent="0.25">
      <c r="A795" s="36"/>
      <c r="B795" t="s">
        <v>451</v>
      </c>
      <c r="C795" s="64">
        <v>41491</v>
      </c>
      <c r="D795">
        <v>144.68</v>
      </c>
      <c r="E795">
        <v>100.8551976776334</v>
      </c>
      <c r="F795" t="s">
        <v>427</v>
      </c>
      <c r="G795" s="64">
        <v>41491</v>
      </c>
      <c r="H795">
        <v>300.99</v>
      </c>
      <c r="I795">
        <v>100.60663144954982</v>
      </c>
      <c r="J795">
        <v>100.60663144954982</v>
      </c>
    </row>
    <row r="796" spans="1:10" x14ac:dyDescent="0.25">
      <c r="A796" s="36"/>
      <c r="B796" t="s">
        <v>451</v>
      </c>
      <c r="C796" s="64">
        <v>41492</v>
      </c>
      <c r="D796">
        <v>142.15</v>
      </c>
      <c r="E796">
        <v>100.8526204713331</v>
      </c>
      <c r="F796" t="s">
        <v>427</v>
      </c>
      <c r="G796" s="64">
        <v>41492</v>
      </c>
      <c r="H796">
        <v>300.75</v>
      </c>
      <c r="I796">
        <v>100.60631753948462</v>
      </c>
      <c r="J796">
        <v>100.60631753948462</v>
      </c>
    </row>
    <row r="797" spans="1:10" x14ac:dyDescent="0.25">
      <c r="A797" s="36"/>
      <c r="B797" t="s">
        <v>451</v>
      </c>
      <c r="C797" s="64">
        <v>41493</v>
      </c>
      <c r="D797">
        <v>134.22999999999999</v>
      </c>
      <c r="E797">
        <v>100.84392460701781</v>
      </c>
      <c r="F797" t="s">
        <v>427</v>
      </c>
      <c r="G797" s="64">
        <v>41493</v>
      </c>
      <c r="H797">
        <v>296.91000000000003</v>
      </c>
      <c r="I797">
        <v>100.60122596072884</v>
      </c>
      <c r="J797">
        <v>100.60122596072884</v>
      </c>
    </row>
    <row r="798" spans="1:10" x14ac:dyDescent="0.25">
      <c r="A798" s="36"/>
      <c r="B798" t="s">
        <v>451</v>
      </c>
      <c r="C798" s="64">
        <v>41494</v>
      </c>
      <c r="D798">
        <v>153.47999999999999</v>
      </c>
      <c r="E798">
        <v>100.86350013031014</v>
      </c>
      <c r="F798" t="s">
        <v>427</v>
      </c>
      <c r="G798" s="64">
        <v>41494</v>
      </c>
      <c r="H798">
        <v>295.74</v>
      </c>
      <c r="I798">
        <v>100.59964833975789</v>
      </c>
      <c r="J798">
        <v>100.59964833975789</v>
      </c>
    </row>
    <row r="799" spans="1:10" x14ac:dyDescent="0.25">
      <c r="A799" s="36"/>
      <c r="B799" t="s">
        <v>451</v>
      </c>
      <c r="C799" s="64">
        <v>41495</v>
      </c>
      <c r="D799">
        <v>153</v>
      </c>
      <c r="E799">
        <v>100.86307189542484</v>
      </c>
      <c r="F799" t="s">
        <v>427</v>
      </c>
      <c r="G799" s="64">
        <v>41495</v>
      </c>
      <c r="H799">
        <v>297.26</v>
      </c>
      <c r="I799">
        <v>100.60169548543362</v>
      </c>
      <c r="J799">
        <v>100.60169548543362</v>
      </c>
    </row>
    <row r="800" spans="1:10" x14ac:dyDescent="0.25">
      <c r="A800" s="36"/>
      <c r="B800" t="s">
        <v>451</v>
      </c>
      <c r="C800" s="64">
        <v>41498</v>
      </c>
      <c r="D800">
        <v>147.38</v>
      </c>
      <c r="E800">
        <v>100.85785045460713</v>
      </c>
      <c r="F800" t="s">
        <v>427</v>
      </c>
      <c r="G800" s="64">
        <v>41498</v>
      </c>
      <c r="H800">
        <v>296.69</v>
      </c>
      <c r="I800">
        <v>100.60093026391182</v>
      </c>
      <c r="J800">
        <v>100.60093026391182</v>
      </c>
    </row>
    <row r="801" spans="1:10" x14ac:dyDescent="0.25">
      <c r="A801" s="36"/>
      <c r="B801" t="s">
        <v>451</v>
      </c>
      <c r="C801" s="64">
        <v>41499</v>
      </c>
      <c r="D801">
        <v>145.43</v>
      </c>
      <c r="E801">
        <v>100.85594444062436</v>
      </c>
      <c r="F801" t="s">
        <v>427</v>
      </c>
      <c r="G801" s="64">
        <v>41499</v>
      </c>
      <c r="H801">
        <v>293.97000000000003</v>
      </c>
      <c r="I801">
        <v>100.59723781338232</v>
      </c>
      <c r="J801">
        <v>100.59723781338232</v>
      </c>
    </row>
    <row r="802" spans="1:10" x14ac:dyDescent="0.25">
      <c r="A802" s="36"/>
      <c r="B802" t="s">
        <v>451</v>
      </c>
      <c r="C802" s="64">
        <v>41500</v>
      </c>
      <c r="D802">
        <v>139.36000000000001</v>
      </c>
      <c r="E802">
        <v>100.8496699196326</v>
      </c>
      <c r="F802" t="s">
        <v>427</v>
      </c>
      <c r="G802" s="64">
        <v>41500</v>
      </c>
      <c r="H802">
        <v>291.33999999999997</v>
      </c>
      <c r="I802">
        <v>100.59360197707146</v>
      </c>
      <c r="J802">
        <v>100.59360197707146</v>
      </c>
    </row>
    <row r="803" spans="1:10" x14ac:dyDescent="0.25">
      <c r="A803" s="36"/>
      <c r="B803" t="s">
        <v>451</v>
      </c>
      <c r="C803" s="64">
        <v>41501</v>
      </c>
      <c r="D803">
        <v>139.66999999999999</v>
      </c>
      <c r="E803">
        <v>100.85000357986682</v>
      </c>
      <c r="F803" t="s">
        <v>427</v>
      </c>
      <c r="G803" s="64">
        <v>41501</v>
      </c>
      <c r="H803">
        <v>286.47000000000003</v>
      </c>
      <c r="I803">
        <v>100.58669319649528</v>
      </c>
      <c r="J803">
        <v>100.58669319649528</v>
      </c>
    </row>
    <row r="804" spans="1:10" x14ac:dyDescent="0.25">
      <c r="A804" s="36"/>
      <c r="B804" t="s">
        <v>451</v>
      </c>
      <c r="C804" s="64">
        <v>41502</v>
      </c>
      <c r="D804">
        <v>142</v>
      </c>
      <c r="E804">
        <v>100.85246478873239</v>
      </c>
      <c r="F804" t="s">
        <v>427</v>
      </c>
      <c r="G804" s="64">
        <v>41502</v>
      </c>
      <c r="H804">
        <v>284.82</v>
      </c>
      <c r="I804">
        <v>100.58429885541746</v>
      </c>
      <c r="J804">
        <v>100.58429885541746</v>
      </c>
    </row>
    <row r="805" spans="1:10" x14ac:dyDescent="0.25">
      <c r="A805" s="36"/>
      <c r="B805" t="s">
        <v>451</v>
      </c>
      <c r="C805" s="64">
        <v>41505</v>
      </c>
      <c r="D805">
        <v>144.9</v>
      </c>
      <c r="E805">
        <v>100.85541752933057</v>
      </c>
      <c r="F805" t="s">
        <v>427</v>
      </c>
      <c r="G805" s="64">
        <v>41505</v>
      </c>
      <c r="H805">
        <v>285.57</v>
      </c>
      <c r="I805">
        <v>100.58539062226424</v>
      </c>
      <c r="J805">
        <v>100.58539062226424</v>
      </c>
    </row>
    <row r="806" spans="1:10" x14ac:dyDescent="0.25">
      <c r="A806" s="36"/>
      <c r="B806" t="s">
        <v>451</v>
      </c>
      <c r="C806" s="64">
        <v>41506</v>
      </c>
      <c r="D806">
        <v>149.58000000000001</v>
      </c>
      <c r="E806">
        <v>100.85994116860543</v>
      </c>
      <c r="F806" t="s">
        <v>427</v>
      </c>
      <c r="G806" s="64">
        <v>41506</v>
      </c>
      <c r="H806">
        <v>287.08999999999997</v>
      </c>
      <c r="I806">
        <v>100.58758577449581</v>
      </c>
      <c r="J806">
        <v>100.58758577449581</v>
      </c>
    </row>
    <row r="807" spans="1:10" x14ac:dyDescent="0.25">
      <c r="A807" s="36"/>
      <c r="B807" t="s">
        <v>451</v>
      </c>
      <c r="C807" s="64">
        <v>41507</v>
      </c>
      <c r="D807">
        <v>147.86000000000001</v>
      </c>
      <c r="E807">
        <v>100.85831191667793</v>
      </c>
      <c r="F807" t="s">
        <v>427</v>
      </c>
      <c r="G807" s="64">
        <v>41507</v>
      </c>
      <c r="H807">
        <v>284.57</v>
      </c>
      <c r="I807">
        <v>100.58393365428542</v>
      </c>
      <c r="J807">
        <v>100.58393365428542</v>
      </c>
    </row>
    <row r="808" spans="1:10" x14ac:dyDescent="0.25">
      <c r="A808" s="36"/>
      <c r="B808" t="s">
        <v>451</v>
      </c>
      <c r="C808" s="64">
        <v>41508</v>
      </c>
      <c r="D808">
        <v>157.1</v>
      </c>
      <c r="E808">
        <v>100.86664544875875</v>
      </c>
      <c r="F808" t="s">
        <v>427</v>
      </c>
      <c r="G808" s="64">
        <v>41508</v>
      </c>
      <c r="H808">
        <v>289.73</v>
      </c>
      <c r="I808">
        <v>100.59134366479135</v>
      </c>
      <c r="J808">
        <v>100.59134366479135</v>
      </c>
    </row>
    <row r="809" spans="1:10" x14ac:dyDescent="0.25">
      <c r="A809" s="36"/>
      <c r="B809" t="s">
        <v>451</v>
      </c>
      <c r="C809" s="64">
        <v>41509</v>
      </c>
      <c r="D809">
        <v>161.839</v>
      </c>
      <c r="E809">
        <v>100.87055036177929</v>
      </c>
      <c r="F809" t="s">
        <v>427</v>
      </c>
      <c r="G809" s="64">
        <v>41509</v>
      </c>
      <c r="H809">
        <v>290.01</v>
      </c>
      <c r="I809">
        <v>100.59173821592358</v>
      </c>
      <c r="J809">
        <v>100.59173821592358</v>
      </c>
    </row>
    <row r="810" spans="1:10" x14ac:dyDescent="0.25">
      <c r="A810" s="36"/>
      <c r="B810" t="s">
        <v>451</v>
      </c>
      <c r="C810" s="64">
        <v>41512</v>
      </c>
      <c r="D810">
        <v>164.22</v>
      </c>
      <c r="E810">
        <v>100.87242723176227</v>
      </c>
      <c r="F810" t="s">
        <v>427</v>
      </c>
      <c r="G810" s="64">
        <v>41512</v>
      </c>
      <c r="H810">
        <v>286.20999999999998</v>
      </c>
      <c r="I810">
        <v>100.58631773872331</v>
      </c>
      <c r="J810">
        <v>100.58631773872331</v>
      </c>
    </row>
    <row r="811" spans="1:10" x14ac:dyDescent="0.25">
      <c r="A811" s="36"/>
      <c r="B811" t="s">
        <v>451</v>
      </c>
      <c r="C811" s="64">
        <v>41513</v>
      </c>
      <c r="D811">
        <v>167.01</v>
      </c>
      <c r="E811">
        <v>100.87455840967607</v>
      </c>
      <c r="F811" t="s">
        <v>427</v>
      </c>
      <c r="G811" s="64">
        <v>41513</v>
      </c>
      <c r="H811">
        <v>280.93</v>
      </c>
      <c r="I811">
        <v>100.57854269746912</v>
      </c>
      <c r="J811">
        <v>100.57854269746912</v>
      </c>
    </row>
    <row r="812" spans="1:10" x14ac:dyDescent="0.25">
      <c r="A812" s="36"/>
      <c r="B812" t="s">
        <v>451</v>
      </c>
      <c r="C812" s="64">
        <v>41514</v>
      </c>
      <c r="D812">
        <v>166.45</v>
      </c>
      <c r="E812">
        <v>100.87413637729048</v>
      </c>
      <c r="F812" t="s">
        <v>427</v>
      </c>
      <c r="G812" s="64">
        <v>41514</v>
      </c>
      <c r="H812">
        <v>281.58</v>
      </c>
      <c r="I812">
        <v>100.57951559059592</v>
      </c>
      <c r="J812">
        <v>100.57951559059592</v>
      </c>
    </row>
    <row r="813" spans="1:10" x14ac:dyDescent="0.25">
      <c r="A813" s="36"/>
      <c r="B813" t="s">
        <v>451</v>
      </c>
      <c r="C813" s="64">
        <v>41515</v>
      </c>
      <c r="D813">
        <v>166.06</v>
      </c>
      <c r="E813">
        <v>100.8738407804408</v>
      </c>
      <c r="F813" t="s">
        <v>427</v>
      </c>
      <c r="G813" s="64">
        <v>41515</v>
      </c>
      <c r="H813">
        <v>283.98</v>
      </c>
      <c r="I813">
        <v>100.58306923022748</v>
      </c>
      <c r="J813">
        <v>100.58306923022748</v>
      </c>
    </row>
    <row r="814" spans="1:10" x14ac:dyDescent="0.25">
      <c r="A814" s="36"/>
      <c r="B814" t="s">
        <v>451</v>
      </c>
      <c r="C814" s="64">
        <v>41516</v>
      </c>
      <c r="D814">
        <v>169</v>
      </c>
      <c r="E814">
        <v>100.87603550295859</v>
      </c>
      <c r="F814" t="s">
        <v>427</v>
      </c>
      <c r="G814" s="64">
        <v>41516</v>
      </c>
      <c r="H814">
        <v>280.98</v>
      </c>
      <c r="I814">
        <v>100.57861769520963</v>
      </c>
      <c r="J814">
        <v>100.57861769520963</v>
      </c>
    </row>
    <row r="815" spans="1:10" x14ac:dyDescent="0.25">
      <c r="A815" s="36"/>
      <c r="B815" t="s">
        <v>451</v>
      </c>
      <c r="C815" s="64">
        <v>41520</v>
      </c>
      <c r="D815">
        <v>168.94</v>
      </c>
      <c r="E815">
        <v>100.87599147626376</v>
      </c>
      <c r="F815" t="s">
        <v>427</v>
      </c>
      <c r="G815" s="64">
        <v>41520</v>
      </c>
      <c r="H815">
        <v>288.8</v>
      </c>
      <c r="I815">
        <v>100.59002770083103</v>
      </c>
      <c r="J815">
        <v>100.59002770083103</v>
      </c>
    </row>
    <row r="816" spans="1:10" x14ac:dyDescent="0.25">
      <c r="A816" s="36"/>
      <c r="B816" t="s">
        <v>451</v>
      </c>
      <c r="C816" s="64">
        <v>41521</v>
      </c>
      <c r="D816">
        <v>170.62200000000001</v>
      </c>
      <c r="E816">
        <v>100.87721395834066</v>
      </c>
      <c r="F816" t="s">
        <v>427</v>
      </c>
      <c r="G816" s="64">
        <v>41521</v>
      </c>
      <c r="H816">
        <v>293.64</v>
      </c>
      <c r="I816">
        <v>100.5967851791309</v>
      </c>
      <c r="J816">
        <v>100.5967851791309</v>
      </c>
    </row>
    <row r="817" spans="1:10" x14ac:dyDescent="0.25">
      <c r="A817" s="36"/>
      <c r="B817" t="s">
        <v>451</v>
      </c>
      <c r="C817" s="64">
        <v>41522</v>
      </c>
      <c r="D817">
        <v>169.93</v>
      </c>
      <c r="E817">
        <v>100.87671394103454</v>
      </c>
      <c r="F817" t="s">
        <v>427</v>
      </c>
      <c r="G817" s="64">
        <v>41522</v>
      </c>
      <c r="H817">
        <v>294.10000000000002</v>
      </c>
      <c r="I817">
        <v>100.5974158449507</v>
      </c>
      <c r="J817">
        <v>100.5974158449507</v>
      </c>
    </row>
    <row r="818" spans="1:10" x14ac:dyDescent="0.25">
      <c r="A818" s="36"/>
      <c r="B818" t="s">
        <v>451</v>
      </c>
      <c r="C818" s="64">
        <v>41523</v>
      </c>
      <c r="D818">
        <v>166.97</v>
      </c>
      <c r="E818">
        <v>100.87452835838774</v>
      </c>
      <c r="F818" t="s">
        <v>427</v>
      </c>
      <c r="G818" s="64">
        <v>41523</v>
      </c>
      <c r="H818">
        <v>295.86</v>
      </c>
      <c r="I818">
        <v>100.5998107212871</v>
      </c>
      <c r="J818">
        <v>100.5998107212871</v>
      </c>
    </row>
    <row r="819" spans="1:10" x14ac:dyDescent="0.25">
      <c r="A819" s="36"/>
      <c r="B819" t="s">
        <v>451</v>
      </c>
      <c r="C819" s="64">
        <v>41526</v>
      </c>
      <c r="D819">
        <v>160.69999999999999</v>
      </c>
      <c r="E819">
        <v>100.86963285625389</v>
      </c>
      <c r="F819" t="s">
        <v>427</v>
      </c>
      <c r="G819" s="64">
        <v>41526</v>
      </c>
      <c r="H819">
        <v>299.70999999999998</v>
      </c>
      <c r="I819">
        <v>100.60495145307131</v>
      </c>
      <c r="J819">
        <v>100.60495145307131</v>
      </c>
    </row>
    <row r="820" spans="1:10" x14ac:dyDescent="0.25">
      <c r="A820" s="36"/>
      <c r="B820" t="s">
        <v>451</v>
      </c>
      <c r="C820" s="64">
        <v>41527</v>
      </c>
      <c r="D820">
        <v>166.37</v>
      </c>
      <c r="E820">
        <v>100.87407585502194</v>
      </c>
      <c r="F820" t="s">
        <v>427</v>
      </c>
      <c r="G820" s="64">
        <v>41527</v>
      </c>
      <c r="H820">
        <v>300.36</v>
      </c>
      <c r="I820">
        <v>100.60580636569451</v>
      </c>
      <c r="J820">
        <v>100.60580636569451</v>
      </c>
    </row>
    <row r="821" spans="1:10" x14ac:dyDescent="0.25">
      <c r="A821" s="36"/>
      <c r="B821" t="s">
        <v>451</v>
      </c>
      <c r="C821" s="64">
        <v>41528</v>
      </c>
      <c r="D821">
        <v>163.52000000000001</v>
      </c>
      <c r="E821">
        <v>100.87188111545989</v>
      </c>
      <c r="F821" t="s">
        <v>427</v>
      </c>
      <c r="G821" s="64">
        <v>41528</v>
      </c>
      <c r="H821">
        <v>299.64</v>
      </c>
      <c r="I821">
        <v>100.60485916433053</v>
      </c>
      <c r="J821">
        <v>100.60485916433053</v>
      </c>
    </row>
    <row r="822" spans="1:10" x14ac:dyDescent="0.25">
      <c r="A822" s="36"/>
      <c r="B822" t="s">
        <v>451</v>
      </c>
      <c r="C822" s="64">
        <v>41529</v>
      </c>
      <c r="D822">
        <v>164.93</v>
      </c>
      <c r="E822">
        <v>100.87297641423635</v>
      </c>
      <c r="F822" t="s">
        <v>427</v>
      </c>
      <c r="G822" s="64">
        <v>41529</v>
      </c>
      <c r="H822">
        <v>298.86</v>
      </c>
      <c r="I822">
        <v>100.60382787927458</v>
      </c>
      <c r="J822">
        <v>100.60382787927458</v>
      </c>
    </row>
    <row r="823" spans="1:10" x14ac:dyDescent="0.25">
      <c r="A823" s="36"/>
      <c r="B823" t="s">
        <v>451</v>
      </c>
      <c r="C823" s="64">
        <v>41530</v>
      </c>
      <c r="D823">
        <v>165.54</v>
      </c>
      <c r="E823">
        <v>100.87344448471669</v>
      </c>
      <c r="F823" t="s">
        <v>427</v>
      </c>
      <c r="G823" s="64">
        <v>41530</v>
      </c>
      <c r="H823">
        <v>297.92</v>
      </c>
      <c r="I823">
        <v>100.60257787325456</v>
      </c>
      <c r="J823">
        <v>100.60257787325456</v>
      </c>
    </row>
    <row r="824" spans="1:10" x14ac:dyDescent="0.25">
      <c r="A824" s="36"/>
      <c r="B824" t="s">
        <v>451</v>
      </c>
      <c r="C824" s="64">
        <v>41533</v>
      </c>
      <c r="D824">
        <v>166.58</v>
      </c>
      <c r="E824">
        <v>100.87423460199304</v>
      </c>
      <c r="F824" t="s">
        <v>427</v>
      </c>
      <c r="G824" s="64">
        <v>41533</v>
      </c>
      <c r="H824">
        <v>296.06</v>
      </c>
      <c r="I824">
        <v>100.60008106464906</v>
      </c>
      <c r="J824">
        <v>100.60008106464906</v>
      </c>
    </row>
    <row r="825" spans="1:10" x14ac:dyDescent="0.25">
      <c r="A825" s="36"/>
      <c r="B825" t="s">
        <v>451</v>
      </c>
      <c r="C825" s="64">
        <v>41534</v>
      </c>
      <c r="D825">
        <v>166.23</v>
      </c>
      <c r="E825">
        <v>100.8739698008783</v>
      </c>
      <c r="F825" t="s">
        <v>427</v>
      </c>
      <c r="G825" s="64">
        <v>41534</v>
      </c>
      <c r="H825">
        <v>304.17</v>
      </c>
      <c r="I825">
        <v>100.61074399184666</v>
      </c>
      <c r="J825">
        <v>100.61074399184666</v>
      </c>
    </row>
    <row r="826" spans="1:10" x14ac:dyDescent="0.25">
      <c r="A826" s="36"/>
      <c r="B826" t="s">
        <v>451</v>
      </c>
      <c r="C826" s="64">
        <v>41535</v>
      </c>
      <c r="D826">
        <v>166.21799999999999</v>
      </c>
      <c r="E826">
        <v>100.87396070221035</v>
      </c>
      <c r="F826" t="s">
        <v>427</v>
      </c>
      <c r="G826" s="64">
        <v>41535</v>
      </c>
      <c r="H826">
        <v>312.03399999999999</v>
      </c>
      <c r="I826">
        <v>100.62055417037887</v>
      </c>
      <c r="J826">
        <v>100.62055417037887</v>
      </c>
    </row>
    <row r="827" spans="1:10" x14ac:dyDescent="0.25">
      <c r="A827" s="36"/>
      <c r="B827" t="s">
        <v>451</v>
      </c>
      <c r="C827" s="64">
        <v>41536</v>
      </c>
      <c r="D827">
        <v>177.92</v>
      </c>
      <c r="E827">
        <v>100.88225044964028</v>
      </c>
      <c r="F827" t="s">
        <v>427</v>
      </c>
      <c r="G827" s="64">
        <v>41536</v>
      </c>
      <c r="H827">
        <v>312.06</v>
      </c>
      <c r="I827">
        <v>100.62058578478498</v>
      </c>
      <c r="J827">
        <v>100.62058578478498</v>
      </c>
    </row>
    <row r="828" spans="1:10" x14ac:dyDescent="0.25">
      <c r="A828" s="36"/>
      <c r="B828" t="s">
        <v>451</v>
      </c>
      <c r="C828" s="64">
        <v>41537</v>
      </c>
      <c r="D828">
        <v>183.39</v>
      </c>
      <c r="E828">
        <v>100.88576258247451</v>
      </c>
      <c r="F828" t="s">
        <v>427</v>
      </c>
      <c r="G828" s="64">
        <v>41537</v>
      </c>
      <c r="H828">
        <v>316.33999999999997</v>
      </c>
      <c r="I828">
        <v>100.62571916292596</v>
      </c>
      <c r="J828">
        <v>100.62571916292596</v>
      </c>
    </row>
    <row r="829" spans="1:10" x14ac:dyDescent="0.25">
      <c r="A829" s="36"/>
      <c r="B829" t="s">
        <v>451</v>
      </c>
      <c r="C829" s="64">
        <v>41540</v>
      </c>
      <c r="D829">
        <v>181.11</v>
      </c>
      <c r="E829">
        <v>100.88432444370824</v>
      </c>
      <c r="F829" t="s">
        <v>427</v>
      </c>
      <c r="G829" s="64">
        <v>41540</v>
      </c>
      <c r="H829">
        <v>311.49</v>
      </c>
      <c r="I829">
        <v>100.61989148929339</v>
      </c>
      <c r="J829">
        <v>100.61989148929339</v>
      </c>
    </row>
    <row r="830" spans="1:10" x14ac:dyDescent="0.25">
      <c r="A830" s="36"/>
      <c r="B830" t="s">
        <v>451</v>
      </c>
      <c r="C830" s="64">
        <v>41541</v>
      </c>
      <c r="D830">
        <v>182.33</v>
      </c>
      <c r="E830">
        <v>100.88509844786925</v>
      </c>
      <c r="F830" t="s">
        <v>427</v>
      </c>
      <c r="G830" s="64">
        <v>41541</v>
      </c>
      <c r="H830">
        <v>314.13</v>
      </c>
      <c r="I830">
        <v>100.62308598351001</v>
      </c>
      <c r="J830">
        <v>100.62308598351001</v>
      </c>
    </row>
    <row r="831" spans="1:10" x14ac:dyDescent="0.25">
      <c r="A831" s="36"/>
      <c r="B831" t="s">
        <v>451</v>
      </c>
      <c r="C831" s="64">
        <v>41542</v>
      </c>
      <c r="D831">
        <v>185.238</v>
      </c>
      <c r="E831">
        <v>100.88690225547674</v>
      </c>
      <c r="F831" t="s">
        <v>427</v>
      </c>
      <c r="G831" s="64">
        <v>41542</v>
      </c>
      <c r="H831">
        <v>312.64999999999998</v>
      </c>
      <c r="I831">
        <v>100.62130177514793</v>
      </c>
      <c r="J831">
        <v>100.62130177514793</v>
      </c>
    </row>
    <row r="832" spans="1:10" x14ac:dyDescent="0.25">
      <c r="A832" s="36"/>
      <c r="B832" t="s">
        <v>451</v>
      </c>
      <c r="C832" s="64">
        <v>41543</v>
      </c>
      <c r="D832">
        <v>188.64</v>
      </c>
      <c r="E832">
        <v>100.88894189991518</v>
      </c>
      <c r="F832" t="s">
        <v>427</v>
      </c>
      <c r="G832" s="64">
        <v>41543</v>
      </c>
      <c r="H832">
        <v>318.12</v>
      </c>
      <c r="I832">
        <v>100.62781340374701</v>
      </c>
      <c r="J832">
        <v>100.62781340374701</v>
      </c>
    </row>
    <row r="833" spans="1:10" x14ac:dyDescent="0.25">
      <c r="A833" s="36"/>
      <c r="B833" t="s">
        <v>451</v>
      </c>
      <c r="C833" s="64">
        <v>41544</v>
      </c>
      <c r="D833">
        <v>190.9</v>
      </c>
      <c r="E833">
        <v>100.89025667888947</v>
      </c>
      <c r="F833" t="s">
        <v>427</v>
      </c>
      <c r="G833" s="64">
        <v>41544</v>
      </c>
      <c r="H833">
        <v>316.01</v>
      </c>
      <c r="I833">
        <v>100.62532831239518</v>
      </c>
      <c r="J833">
        <v>100.62532831239518</v>
      </c>
    </row>
    <row r="834" spans="1:10" x14ac:dyDescent="0.25">
      <c r="A834" s="36"/>
      <c r="B834" t="s">
        <v>451</v>
      </c>
      <c r="C834" s="64">
        <v>41547</v>
      </c>
      <c r="D834">
        <v>193.37</v>
      </c>
      <c r="E834">
        <v>100.89165847856441</v>
      </c>
      <c r="F834" t="s">
        <v>427</v>
      </c>
      <c r="G834" s="64">
        <v>41547</v>
      </c>
      <c r="H834">
        <v>312.64</v>
      </c>
      <c r="I834">
        <v>100.62128966223132</v>
      </c>
      <c r="J834">
        <v>100.62128966223132</v>
      </c>
    </row>
    <row r="835" spans="1:10" x14ac:dyDescent="0.25">
      <c r="A835" s="36"/>
      <c r="B835" t="s">
        <v>451</v>
      </c>
      <c r="C835" s="64">
        <v>41548</v>
      </c>
      <c r="D835">
        <v>193</v>
      </c>
      <c r="E835">
        <v>100.89145077720207</v>
      </c>
      <c r="F835" t="s">
        <v>427</v>
      </c>
      <c r="G835" s="64">
        <v>41548</v>
      </c>
      <c r="H835">
        <v>320.95</v>
      </c>
      <c r="I835">
        <v>100.63109518616606</v>
      </c>
      <c r="J835">
        <v>100.63109518616606</v>
      </c>
    </row>
    <row r="836" spans="1:10" x14ac:dyDescent="0.25">
      <c r="A836" s="36"/>
      <c r="B836" t="s">
        <v>451</v>
      </c>
      <c r="C836" s="64">
        <v>41549</v>
      </c>
      <c r="D836">
        <v>180.95</v>
      </c>
      <c r="E836">
        <v>100.8842221608179</v>
      </c>
      <c r="F836" t="s">
        <v>427</v>
      </c>
      <c r="G836" s="64">
        <v>41549</v>
      </c>
      <c r="H836">
        <v>320.51</v>
      </c>
      <c r="I836">
        <v>100.63058874918099</v>
      </c>
      <c r="J836">
        <v>100.63058874918099</v>
      </c>
    </row>
    <row r="837" spans="1:10" x14ac:dyDescent="0.25">
      <c r="A837" s="36"/>
      <c r="B837" t="s">
        <v>451</v>
      </c>
      <c r="C837" s="64">
        <v>41550</v>
      </c>
      <c r="D837">
        <v>173.31</v>
      </c>
      <c r="E837">
        <v>100.87911834285384</v>
      </c>
      <c r="F837" t="s">
        <v>427</v>
      </c>
      <c r="G837" s="64">
        <v>41550</v>
      </c>
      <c r="H837">
        <v>314.76</v>
      </c>
      <c r="I837">
        <v>100.62384038632609</v>
      </c>
      <c r="J837">
        <v>100.62384038632609</v>
      </c>
    </row>
    <row r="838" spans="1:10" x14ac:dyDescent="0.25">
      <c r="A838" s="36"/>
      <c r="B838" t="s">
        <v>451</v>
      </c>
      <c r="C838" s="64">
        <v>41551</v>
      </c>
      <c r="D838">
        <v>180.98</v>
      </c>
      <c r="E838">
        <v>100.88424135263566</v>
      </c>
      <c r="F838" t="s">
        <v>427</v>
      </c>
      <c r="G838" s="64">
        <v>41551</v>
      </c>
      <c r="H838">
        <v>319.04000000000002</v>
      </c>
      <c r="I838">
        <v>100.62888665997994</v>
      </c>
      <c r="J838">
        <v>100.62888665997994</v>
      </c>
    </row>
    <row r="839" spans="1:10" x14ac:dyDescent="0.25">
      <c r="A839" s="36"/>
      <c r="B839" t="s">
        <v>451</v>
      </c>
      <c r="C839" s="64">
        <v>41554</v>
      </c>
      <c r="D839">
        <v>183.07</v>
      </c>
      <c r="E839">
        <v>100.88556289943737</v>
      </c>
      <c r="F839" t="s">
        <v>427</v>
      </c>
      <c r="G839" s="64">
        <v>41554</v>
      </c>
      <c r="H839">
        <v>310.02999999999997</v>
      </c>
      <c r="I839">
        <v>100.6181014740509</v>
      </c>
      <c r="J839">
        <v>100.6181014740509</v>
      </c>
    </row>
    <row r="840" spans="1:10" x14ac:dyDescent="0.25">
      <c r="A840" s="36"/>
      <c r="B840" t="s">
        <v>451</v>
      </c>
      <c r="C840" s="64">
        <v>41555</v>
      </c>
      <c r="D840">
        <v>174.73</v>
      </c>
      <c r="E840">
        <v>100.88010072683569</v>
      </c>
      <c r="F840" t="s">
        <v>427</v>
      </c>
      <c r="G840" s="64">
        <v>41555</v>
      </c>
      <c r="H840">
        <v>303.23</v>
      </c>
      <c r="I840">
        <v>100.60953731490947</v>
      </c>
      <c r="J840">
        <v>100.60953731490947</v>
      </c>
    </row>
    <row r="841" spans="1:10" x14ac:dyDescent="0.25">
      <c r="A841" s="36"/>
      <c r="B841" t="s">
        <v>451</v>
      </c>
      <c r="C841" s="64">
        <v>41556</v>
      </c>
      <c r="D841">
        <v>168.78</v>
      </c>
      <c r="E841">
        <v>100.87587391871075</v>
      </c>
      <c r="F841" t="s">
        <v>427</v>
      </c>
      <c r="G841" s="64">
        <v>41556</v>
      </c>
      <c r="H841">
        <v>298.23</v>
      </c>
      <c r="I841">
        <v>100.60299098011602</v>
      </c>
      <c r="J841">
        <v>100.60299098011602</v>
      </c>
    </row>
    <row r="842" spans="1:10" x14ac:dyDescent="0.25">
      <c r="A842" s="36"/>
      <c r="B842" t="s">
        <v>451</v>
      </c>
      <c r="C842" s="64">
        <v>41557</v>
      </c>
      <c r="D842">
        <v>172.93</v>
      </c>
      <c r="E842">
        <v>100.87885271497137</v>
      </c>
      <c r="F842" t="s">
        <v>427</v>
      </c>
      <c r="G842" s="64">
        <v>41557</v>
      </c>
      <c r="H842">
        <v>305.17399999999998</v>
      </c>
      <c r="I842">
        <v>100.61202461546527</v>
      </c>
      <c r="J842">
        <v>100.61202461546527</v>
      </c>
    </row>
    <row r="843" spans="1:10" x14ac:dyDescent="0.25">
      <c r="A843" s="36"/>
      <c r="B843" t="s">
        <v>451</v>
      </c>
      <c r="C843" s="64">
        <v>41558</v>
      </c>
      <c r="D843">
        <v>178.7</v>
      </c>
      <c r="E843">
        <v>100.88276440962507</v>
      </c>
      <c r="F843" t="s">
        <v>427</v>
      </c>
      <c r="G843" s="64">
        <v>41558</v>
      </c>
      <c r="H843">
        <v>310.88900000000001</v>
      </c>
      <c r="I843">
        <v>100.61915667649869</v>
      </c>
      <c r="J843">
        <v>100.61915667649869</v>
      </c>
    </row>
    <row r="844" spans="1:10" x14ac:dyDescent="0.25">
      <c r="A844" s="36"/>
      <c r="B844" t="s">
        <v>451</v>
      </c>
      <c r="C844" s="64">
        <v>41561</v>
      </c>
      <c r="D844">
        <v>179.72</v>
      </c>
      <c r="E844">
        <v>100.88342977965725</v>
      </c>
      <c r="F844" t="s">
        <v>427</v>
      </c>
      <c r="G844" s="64">
        <v>41561</v>
      </c>
      <c r="H844">
        <v>310.7</v>
      </c>
      <c r="I844">
        <v>100.61892500804635</v>
      </c>
      <c r="J844">
        <v>100.61892500804635</v>
      </c>
    </row>
    <row r="845" spans="1:10" x14ac:dyDescent="0.25">
      <c r="A845" s="36"/>
      <c r="B845" t="s">
        <v>451</v>
      </c>
      <c r="C845" s="64">
        <v>41562</v>
      </c>
      <c r="D845">
        <v>183.94</v>
      </c>
      <c r="E845">
        <v>100.88610416440143</v>
      </c>
      <c r="F845" t="s">
        <v>427</v>
      </c>
      <c r="G845" s="64">
        <v>41562</v>
      </c>
      <c r="H845">
        <v>306.39999999999998</v>
      </c>
      <c r="I845">
        <v>100.61357702349869</v>
      </c>
      <c r="J845">
        <v>100.61357702349869</v>
      </c>
    </row>
    <row r="846" spans="1:10" x14ac:dyDescent="0.25">
      <c r="A846" s="36"/>
      <c r="B846" t="s">
        <v>451</v>
      </c>
      <c r="C846" s="64">
        <v>41563</v>
      </c>
      <c r="D846">
        <v>183.56</v>
      </c>
      <c r="E846">
        <v>100.88586838091088</v>
      </c>
      <c r="F846" t="s">
        <v>427</v>
      </c>
      <c r="G846" s="64">
        <v>41563</v>
      </c>
      <c r="H846">
        <v>310.49</v>
      </c>
      <c r="I846">
        <v>100.61866726786693</v>
      </c>
      <c r="J846">
        <v>100.61866726786693</v>
      </c>
    </row>
    <row r="847" spans="1:10" x14ac:dyDescent="0.25">
      <c r="A847" s="36"/>
      <c r="B847" t="s">
        <v>451</v>
      </c>
      <c r="C847" s="64">
        <v>41564</v>
      </c>
      <c r="D847">
        <v>182.80199999999999</v>
      </c>
      <c r="E847">
        <v>100.88539512696798</v>
      </c>
      <c r="F847" t="s">
        <v>427</v>
      </c>
      <c r="G847" s="64">
        <v>41564</v>
      </c>
      <c r="H847">
        <v>310.77</v>
      </c>
      <c r="I847">
        <v>100.61901084403256</v>
      </c>
      <c r="J847">
        <v>100.61901084403256</v>
      </c>
    </row>
    <row r="848" spans="1:10" x14ac:dyDescent="0.25">
      <c r="A848" s="36"/>
      <c r="B848" t="s">
        <v>451</v>
      </c>
      <c r="C848" s="64">
        <v>41565</v>
      </c>
      <c r="D848">
        <v>183.4</v>
      </c>
      <c r="E848">
        <v>100.88576881134134</v>
      </c>
      <c r="F848" t="s">
        <v>427</v>
      </c>
      <c r="G848" s="64">
        <v>41565</v>
      </c>
      <c r="H848">
        <v>328.93099999999998</v>
      </c>
      <c r="I848">
        <v>100.64004608869337</v>
      </c>
      <c r="J848">
        <v>100.64004608869337</v>
      </c>
    </row>
    <row r="849" spans="1:10" x14ac:dyDescent="0.25">
      <c r="A849" s="36"/>
      <c r="B849" t="s">
        <v>451</v>
      </c>
      <c r="C849" s="64">
        <v>41568</v>
      </c>
      <c r="D849">
        <v>172.6</v>
      </c>
      <c r="E849">
        <v>100.87862108922364</v>
      </c>
      <c r="F849" t="s">
        <v>427</v>
      </c>
      <c r="G849" s="64">
        <v>41568</v>
      </c>
      <c r="H849">
        <v>326.44</v>
      </c>
      <c r="I849">
        <v>100.63729935056978</v>
      </c>
      <c r="J849">
        <v>100.63729935056978</v>
      </c>
    </row>
    <row r="850" spans="1:10" x14ac:dyDescent="0.25">
      <c r="A850" s="36"/>
      <c r="B850" t="s">
        <v>451</v>
      </c>
      <c r="C850" s="64">
        <v>41569</v>
      </c>
      <c r="D850">
        <v>171.54</v>
      </c>
      <c r="E850">
        <v>100.87787105048385</v>
      </c>
      <c r="F850" t="s">
        <v>427</v>
      </c>
      <c r="G850" s="64">
        <v>41569</v>
      </c>
      <c r="H850">
        <v>332.54</v>
      </c>
      <c r="I850">
        <v>100.64395260720515</v>
      </c>
      <c r="J850">
        <v>100.64395260720515</v>
      </c>
    </row>
    <row r="851" spans="1:10" x14ac:dyDescent="0.25">
      <c r="A851" s="36"/>
      <c r="B851" t="s">
        <v>451</v>
      </c>
      <c r="C851" s="64">
        <v>41570</v>
      </c>
      <c r="D851">
        <v>164.5</v>
      </c>
      <c r="E851">
        <v>100.8726443768997</v>
      </c>
      <c r="F851" t="s">
        <v>427</v>
      </c>
      <c r="G851" s="64">
        <v>41570</v>
      </c>
      <c r="H851">
        <v>326.75599999999997</v>
      </c>
      <c r="I851">
        <v>100.63765011201019</v>
      </c>
      <c r="J851">
        <v>100.63765011201019</v>
      </c>
    </row>
    <row r="852" spans="1:10" x14ac:dyDescent="0.25">
      <c r="A852" s="36"/>
      <c r="B852" t="s">
        <v>451</v>
      </c>
      <c r="C852" s="64">
        <v>41571</v>
      </c>
      <c r="D852">
        <v>173.15</v>
      </c>
      <c r="E852">
        <v>100.8790066416402</v>
      </c>
      <c r="F852" t="s">
        <v>427</v>
      </c>
      <c r="G852" s="64">
        <v>41571</v>
      </c>
      <c r="H852">
        <v>332.21</v>
      </c>
      <c r="I852">
        <v>100.64359892838867</v>
      </c>
      <c r="J852">
        <v>100.64359892838867</v>
      </c>
    </row>
    <row r="853" spans="1:10" x14ac:dyDescent="0.25">
      <c r="A853" s="36"/>
      <c r="B853" t="s">
        <v>451</v>
      </c>
      <c r="C853" s="64">
        <v>41572</v>
      </c>
      <c r="D853">
        <v>169.66</v>
      </c>
      <c r="E853">
        <v>100.87651774136508</v>
      </c>
      <c r="F853" t="s">
        <v>427</v>
      </c>
      <c r="G853" s="64">
        <v>41572</v>
      </c>
      <c r="H853">
        <v>363.39</v>
      </c>
      <c r="I853">
        <v>100.67417925644624</v>
      </c>
      <c r="J853">
        <v>100.67417925644624</v>
      </c>
    </row>
    <row r="854" spans="1:10" x14ac:dyDescent="0.25">
      <c r="A854" s="36"/>
      <c r="B854" t="s">
        <v>451</v>
      </c>
      <c r="C854" s="64">
        <v>41575</v>
      </c>
      <c r="D854">
        <v>162.86000000000001</v>
      </c>
      <c r="E854">
        <v>100.87136190593148</v>
      </c>
      <c r="F854" t="s">
        <v>427</v>
      </c>
      <c r="G854" s="64">
        <v>41575</v>
      </c>
      <c r="H854">
        <v>358.16</v>
      </c>
      <c r="I854">
        <v>100.6694214876033</v>
      </c>
      <c r="J854">
        <v>100.6694214876033</v>
      </c>
    </row>
    <row r="855" spans="1:10" x14ac:dyDescent="0.25">
      <c r="A855" s="36"/>
      <c r="B855" t="s">
        <v>451</v>
      </c>
      <c r="C855" s="64">
        <v>41576</v>
      </c>
      <c r="D855">
        <v>164.47</v>
      </c>
      <c r="E855">
        <v>100.87262114671368</v>
      </c>
      <c r="F855" t="s">
        <v>427</v>
      </c>
      <c r="G855" s="64">
        <v>41576</v>
      </c>
      <c r="H855">
        <v>362.7</v>
      </c>
      <c r="I855">
        <v>100.67355941549489</v>
      </c>
      <c r="J855">
        <v>100.67355941549489</v>
      </c>
    </row>
    <row r="856" spans="1:10" x14ac:dyDescent="0.25">
      <c r="A856" s="36"/>
      <c r="B856" t="s">
        <v>451</v>
      </c>
      <c r="C856" s="64">
        <v>41577</v>
      </c>
      <c r="D856">
        <v>159.22</v>
      </c>
      <c r="E856">
        <v>100.86842105263158</v>
      </c>
      <c r="F856" t="s">
        <v>427</v>
      </c>
      <c r="G856" s="64">
        <v>41577</v>
      </c>
      <c r="H856">
        <v>361.08</v>
      </c>
      <c r="I856">
        <v>100.67209482663122</v>
      </c>
      <c r="J856">
        <v>100.67209482663122</v>
      </c>
    </row>
    <row r="857" spans="1:10" x14ac:dyDescent="0.25">
      <c r="A857" s="36"/>
      <c r="B857" t="s">
        <v>451</v>
      </c>
      <c r="C857" s="64">
        <v>41578</v>
      </c>
      <c r="D857">
        <v>159.94</v>
      </c>
      <c r="E857">
        <v>100.86901338001751</v>
      </c>
      <c r="F857" t="s">
        <v>427</v>
      </c>
      <c r="G857" s="64">
        <v>41578</v>
      </c>
      <c r="H857">
        <v>364.03</v>
      </c>
      <c r="I857">
        <v>100.67475208087245</v>
      </c>
      <c r="J857">
        <v>100.67475208087245</v>
      </c>
    </row>
    <row r="858" spans="1:10" x14ac:dyDescent="0.25">
      <c r="A858" s="36"/>
      <c r="B858" t="s">
        <v>451</v>
      </c>
      <c r="C858" s="64">
        <v>41579</v>
      </c>
      <c r="D858">
        <v>162.16999999999999</v>
      </c>
      <c r="E858">
        <v>100.87081457729543</v>
      </c>
      <c r="F858" t="s">
        <v>427</v>
      </c>
      <c r="G858" s="64">
        <v>41579</v>
      </c>
      <c r="H858">
        <v>359.00200000000001</v>
      </c>
      <c r="I858">
        <v>100.67019682341602</v>
      </c>
      <c r="J858">
        <v>100.67019682341602</v>
      </c>
    </row>
    <row r="859" spans="1:10" x14ac:dyDescent="0.25">
      <c r="A859" s="36"/>
      <c r="B859" t="s">
        <v>451</v>
      </c>
      <c r="C859" s="64">
        <v>41582</v>
      </c>
      <c r="D859">
        <v>175.2</v>
      </c>
      <c r="E859">
        <v>100.88042237442923</v>
      </c>
      <c r="F859" t="s">
        <v>427</v>
      </c>
      <c r="G859" s="64">
        <v>41582</v>
      </c>
      <c r="H859">
        <v>358.74</v>
      </c>
      <c r="I859">
        <v>100.66995595696048</v>
      </c>
      <c r="J859">
        <v>100.66995595696048</v>
      </c>
    </row>
    <row r="860" spans="1:10" x14ac:dyDescent="0.25">
      <c r="A860" s="36"/>
      <c r="B860" t="s">
        <v>451</v>
      </c>
      <c r="C860" s="64">
        <v>41583</v>
      </c>
      <c r="D860">
        <v>176.81</v>
      </c>
      <c r="E860">
        <v>100.88151122674057</v>
      </c>
      <c r="F860" t="s">
        <v>427</v>
      </c>
      <c r="G860" s="64">
        <v>41583</v>
      </c>
      <c r="H860">
        <v>358.892</v>
      </c>
      <c r="I860">
        <v>100.67009573910815</v>
      </c>
      <c r="J860">
        <v>100.67009573910815</v>
      </c>
    </row>
    <row r="861" spans="1:10" x14ac:dyDescent="0.25">
      <c r="A861" s="36"/>
      <c r="B861" t="s">
        <v>451</v>
      </c>
      <c r="C861" s="64">
        <v>41584</v>
      </c>
      <c r="D861">
        <v>151.16</v>
      </c>
      <c r="E861">
        <v>100.86140513363324</v>
      </c>
      <c r="F861" t="s">
        <v>427</v>
      </c>
      <c r="G861" s="64">
        <v>41584</v>
      </c>
      <c r="H861">
        <v>356.18</v>
      </c>
      <c r="I861">
        <v>100.66758380594082</v>
      </c>
      <c r="J861">
        <v>100.66758380594082</v>
      </c>
    </row>
    <row r="862" spans="1:10" x14ac:dyDescent="0.25">
      <c r="A862" s="36"/>
      <c r="B862" t="s">
        <v>451</v>
      </c>
      <c r="C862" s="64">
        <v>41585</v>
      </c>
      <c r="D862">
        <v>139.77199999999999</v>
      </c>
      <c r="E862">
        <v>100.85011304123859</v>
      </c>
      <c r="F862" t="s">
        <v>427</v>
      </c>
      <c r="G862" s="64">
        <v>41585</v>
      </c>
      <c r="H862">
        <v>343.56</v>
      </c>
      <c r="I862">
        <v>100.65537315170567</v>
      </c>
      <c r="J862">
        <v>100.65537315170567</v>
      </c>
    </row>
    <row r="863" spans="1:10" x14ac:dyDescent="0.25">
      <c r="A863" s="36"/>
      <c r="B863" t="s">
        <v>451</v>
      </c>
      <c r="C863" s="64">
        <v>41586</v>
      </c>
      <c r="D863">
        <v>137.94999999999999</v>
      </c>
      <c r="E863">
        <v>100.84813338166002</v>
      </c>
      <c r="F863" t="s">
        <v>427</v>
      </c>
      <c r="G863" s="64">
        <v>41586</v>
      </c>
      <c r="H863">
        <v>350.31</v>
      </c>
      <c r="I863">
        <v>100.66201364505723</v>
      </c>
      <c r="J863">
        <v>100.66201364505723</v>
      </c>
    </row>
    <row r="864" spans="1:10" x14ac:dyDescent="0.25">
      <c r="A864" s="36"/>
      <c r="B864" t="s">
        <v>451</v>
      </c>
      <c r="C864" s="64">
        <v>41589</v>
      </c>
      <c r="D864">
        <v>144.69800000000001</v>
      </c>
      <c r="E864">
        <v>100.85521569061079</v>
      </c>
      <c r="F864" t="s">
        <v>427</v>
      </c>
      <c r="G864" s="64">
        <v>41589</v>
      </c>
      <c r="H864">
        <v>354.37799999999999</v>
      </c>
      <c r="I864">
        <v>100.6658934809723</v>
      </c>
      <c r="J864">
        <v>100.6658934809723</v>
      </c>
    </row>
    <row r="865" spans="1:10" x14ac:dyDescent="0.25">
      <c r="A865" s="36"/>
      <c r="B865" t="s">
        <v>451</v>
      </c>
      <c r="C865" s="64">
        <v>41590</v>
      </c>
      <c r="D865">
        <v>137.80000000000001</v>
      </c>
      <c r="E865">
        <v>100.84796806966618</v>
      </c>
      <c r="F865" t="s">
        <v>427</v>
      </c>
      <c r="G865" s="64">
        <v>41590</v>
      </c>
      <c r="H865">
        <v>349.53</v>
      </c>
      <c r="I865">
        <v>100.66125940548737</v>
      </c>
      <c r="J865">
        <v>100.66125940548737</v>
      </c>
    </row>
    <row r="866" spans="1:10" x14ac:dyDescent="0.25">
      <c r="A866" s="36"/>
      <c r="B866" t="s">
        <v>451</v>
      </c>
      <c r="C866" s="64">
        <v>41591</v>
      </c>
      <c r="D866">
        <v>138.69999999999999</v>
      </c>
      <c r="E866">
        <v>100.84895457822638</v>
      </c>
      <c r="F866" t="s">
        <v>427</v>
      </c>
      <c r="G866" s="64">
        <v>41591</v>
      </c>
      <c r="H866">
        <v>356.22</v>
      </c>
      <c r="I866">
        <v>100.66762113300769</v>
      </c>
      <c r="J866">
        <v>100.66762113300769</v>
      </c>
    </row>
    <row r="867" spans="1:10" x14ac:dyDescent="0.25">
      <c r="A867" s="36"/>
      <c r="B867" t="s">
        <v>451</v>
      </c>
      <c r="C867" s="64">
        <v>41592</v>
      </c>
      <c r="D867">
        <v>137.6</v>
      </c>
      <c r="E867">
        <v>100.84774709302326</v>
      </c>
      <c r="F867" t="s">
        <v>427</v>
      </c>
      <c r="G867" s="64">
        <v>41592</v>
      </c>
      <c r="H867">
        <v>367.39600000000002</v>
      </c>
      <c r="I867">
        <v>100.67773192958008</v>
      </c>
      <c r="J867">
        <v>100.67773192958008</v>
      </c>
    </row>
    <row r="868" spans="1:10" x14ac:dyDescent="0.25">
      <c r="A868" s="36"/>
      <c r="B868" t="s">
        <v>451</v>
      </c>
      <c r="C868" s="64">
        <v>41593</v>
      </c>
      <c r="D868">
        <v>135.44999999999999</v>
      </c>
      <c r="E868">
        <v>100.84533038021411</v>
      </c>
      <c r="F868" t="s">
        <v>427</v>
      </c>
      <c r="G868" s="64">
        <v>41593</v>
      </c>
      <c r="H868">
        <v>369.17</v>
      </c>
      <c r="I868">
        <v>100.6792805482569</v>
      </c>
      <c r="J868">
        <v>100.6792805482569</v>
      </c>
    </row>
    <row r="869" spans="1:10" x14ac:dyDescent="0.25">
      <c r="A869" s="36"/>
      <c r="B869" t="s">
        <v>451</v>
      </c>
      <c r="C869" s="64">
        <v>41596</v>
      </c>
      <c r="D869">
        <v>121.58</v>
      </c>
      <c r="E869">
        <v>100.82768547458464</v>
      </c>
      <c r="F869" t="s">
        <v>427</v>
      </c>
      <c r="G869" s="64">
        <v>41596</v>
      </c>
      <c r="H869">
        <v>366.18</v>
      </c>
      <c r="I869">
        <v>100.6766617510514</v>
      </c>
      <c r="J869">
        <v>100.6766617510514</v>
      </c>
    </row>
    <row r="870" spans="1:10" x14ac:dyDescent="0.25">
      <c r="A870" s="36"/>
      <c r="B870" t="s">
        <v>451</v>
      </c>
      <c r="C870" s="64">
        <v>41597</v>
      </c>
      <c r="D870">
        <v>126.09</v>
      </c>
      <c r="E870">
        <v>100.83384883813149</v>
      </c>
      <c r="F870" t="s">
        <v>427</v>
      </c>
      <c r="G870" s="64">
        <v>41597</v>
      </c>
      <c r="H870">
        <v>364.94</v>
      </c>
      <c r="I870">
        <v>100.67556310626405</v>
      </c>
      <c r="J870">
        <v>100.67556310626405</v>
      </c>
    </row>
    <row r="871" spans="1:10" x14ac:dyDescent="0.25">
      <c r="A871" s="36"/>
      <c r="B871" t="s">
        <v>451</v>
      </c>
      <c r="C871" s="64">
        <v>41598</v>
      </c>
      <c r="D871">
        <v>121.11</v>
      </c>
      <c r="E871">
        <v>100.82701676162166</v>
      </c>
      <c r="F871" t="s">
        <v>427</v>
      </c>
      <c r="G871" s="64">
        <v>41598</v>
      </c>
      <c r="H871">
        <v>362.57</v>
      </c>
      <c r="I871">
        <v>100.6734423697493</v>
      </c>
      <c r="J871">
        <v>100.6734423697493</v>
      </c>
    </row>
    <row r="872" spans="1:10" x14ac:dyDescent="0.25">
      <c r="A872" s="36"/>
      <c r="B872" t="s">
        <v>451</v>
      </c>
      <c r="C872" s="64">
        <v>41599</v>
      </c>
      <c r="D872">
        <v>122.1</v>
      </c>
      <c r="E872">
        <v>100.82841932841933</v>
      </c>
      <c r="F872" t="s">
        <v>427</v>
      </c>
      <c r="G872" s="64">
        <v>41599</v>
      </c>
      <c r="H872">
        <v>368.92</v>
      </c>
      <c r="I872">
        <v>100.67906321153637</v>
      </c>
      <c r="J872">
        <v>100.67906321153637</v>
      </c>
    </row>
    <row r="873" spans="1:10" x14ac:dyDescent="0.25">
      <c r="A873" s="36"/>
      <c r="B873" t="s">
        <v>451</v>
      </c>
      <c r="C873" s="64">
        <v>41600</v>
      </c>
      <c r="D873">
        <v>121.38</v>
      </c>
      <c r="E873">
        <v>100.82740154885484</v>
      </c>
      <c r="F873" t="s">
        <v>427</v>
      </c>
      <c r="G873" s="64">
        <v>41600</v>
      </c>
      <c r="H873">
        <v>372.31</v>
      </c>
      <c r="I873">
        <v>100.681985442239</v>
      </c>
      <c r="J873">
        <v>100.681985442239</v>
      </c>
    </row>
    <row r="874" spans="1:10" x14ac:dyDescent="0.25">
      <c r="A874" s="36"/>
      <c r="B874" t="s">
        <v>451</v>
      </c>
      <c r="C874" s="64">
        <v>41603</v>
      </c>
      <c r="D874">
        <v>120.84</v>
      </c>
      <c r="E874">
        <v>100.82663025488249</v>
      </c>
      <c r="F874" t="s">
        <v>427</v>
      </c>
      <c r="G874" s="64">
        <v>41603</v>
      </c>
      <c r="H874">
        <v>376.64</v>
      </c>
      <c r="I874">
        <v>100.6856414613424</v>
      </c>
      <c r="J874">
        <v>100.6856414613424</v>
      </c>
    </row>
    <row r="875" spans="1:10" x14ac:dyDescent="0.25">
      <c r="A875" s="36"/>
      <c r="B875" t="s">
        <v>451</v>
      </c>
      <c r="C875" s="64">
        <v>41604</v>
      </c>
      <c r="D875">
        <v>120.5</v>
      </c>
      <c r="E875">
        <v>100.82614107883818</v>
      </c>
      <c r="F875" t="s">
        <v>427</v>
      </c>
      <c r="G875" s="64">
        <v>41604</v>
      </c>
      <c r="H875">
        <v>381.37</v>
      </c>
      <c r="I875">
        <v>100.68954034140074</v>
      </c>
      <c r="J875">
        <v>100.68954034140074</v>
      </c>
    </row>
    <row r="876" spans="1:10" x14ac:dyDescent="0.25">
      <c r="A876" s="36"/>
      <c r="B876" t="s">
        <v>451</v>
      </c>
      <c r="C876" s="64">
        <v>41605</v>
      </c>
      <c r="D876">
        <v>126.94</v>
      </c>
      <c r="E876">
        <v>100.83496139908618</v>
      </c>
      <c r="F876" t="s">
        <v>427</v>
      </c>
      <c r="G876" s="64">
        <v>41605</v>
      </c>
      <c r="H876">
        <v>386.71</v>
      </c>
      <c r="I876">
        <v>100.69382741589304</v>
      </c>
      <c r="J876">
        <v>100.69382741589304</v>
      </c>
    </row>
    <row r="877" spans="1:10" x14ac:dyDescent="0.25">
      <c r="A877" s="36"/>
      <c r="B877" t="s">
        <v>451</v>
      </c>
      <c r="C877" s="64">
        <v>41607</v>
      </c>
      <c r="D877">
        <v>127.28</v>
      </c>
      <c r="E877">
        <v>100.83540226272784</v>
      </c>
      <c r="F877" t="s">
        <v>427</v>
      </c>
      <c r="G877" s="64">
        <v>41607</v>
      </c>
      <c r="H877">
        <v>393.62</v>
      </c>
      <c r="I877">
        <v>100.6992022763071</v>
      </c>
      <c r="J877">
        <v>100.6992022763071</v>
      </c>
    </row>
    <row r="878" spans="1:10" x14ac:dyDescent="0.25">
      <c r="A878" s="36"/>
      <c r="B878" t="s">
        <v>451</v>
      </c>
      <c r="C878" s="64">
        <v>41610</v>
      </c>
      <c r="D878">
        <v>124.17</v>
      </c>
      <c r="E878">
        <v>100.83127969718933</v>
      </c>
      <c r="F878" t="s">
        <v>427</v>
      </c>
      <c r="G878" s="64">
        <v>41610</v>
      </c>
      <c r="H878">
        <v>392.3</v>
      </c>
      <c r="I878">
        <v>100.69819016059138</v>
      </c>
      <c r="J878">
        <v>100.69819016059138</v>
      </c>
    </row>
    <row r="879" spans="1:10" x14ac:dyDescent="0.25">
      <c r="A879" s="36"/>
      <c r="B879" t="s">
        <v>451</v>
      </c>
      <c r="C879" s="64">
        <v>41611</v>
      </c>
      <c r="D879">
        <v>144.69999999999999</v>
      </c>
      <c r="E879">
        <v>100.85521769177609</v>
      </c>
      <c r="F879" t="s">
        <v>427</v>
      </c>
      <c r="G879" s="64">
        <v>41611</v>
      </c>
      <c r="H879">
        <v>384.66</v>
      </c>
      <c r="I879">
        <v>100.69219570529819</v>
      </c>
      <c r="J879">
        <v>100.69219570529819</v>
      </c>
    </row>
    <row r="880" spans="1:10" x14ac:dyDescent="0.25">
      <c r="A880" s="36"/>
      <c r="B880" t="s">
        <v>451</v>
      </c>
      <c r="C880" s="64">
        <v>41612</v>
      </c>
      <c r="D880">
        <v>138.94999999999999</v>
      </c>
      <c r="E880">
        <v>100.84922634041023</v>
      </c>
      <c r="F880" t="s">
        <v>427</v>
      </c>
      <c r="G880" s="64">
        <v>41612</v>
      </c>
      <c r="H880">
        <v>385.96</v>
      </c>
      <c r="I880">
        <v>100.6932324593222</v>
      </c>
      <c r="J880">
        <v>100.6932324593222</v>
      </c>
    </row>
    <row r="881" spans="1:10" x14ac:dyDescent="0.25">
      <c r="A881" s="36"/>
      <c r="B881" t="s">
        <v>451</v>
      </c>
      <c r="C881" s="64">
        <v>41613</v>
      </c>
      <c r="D881">
        <v>140.47999999999999</v>
      </c>
      <c r="E881">
        <v>100.85086845102505</v>
      </c>
      <c r="F881" t="s">
        <v>427</v>
      </c>
      <c r="G881" s="64">
        <v>41613</v>
      </c>
      <c r="H881">
        <v>384.49</v>
      </c>
      <c r="I881">
        <v>100.69205961143332</v>
      </c>
      <c r="J881">
        <v>100.69205961143332</v>
      </c>
    </row>
    <row r="882" spans="1:10" x14ac:dyDescent="0.25">
      <c r="A882" s="36"/>
      <c r="B882" t="s">
        <v>451</v>
      </c>
      <c r="C882" s="64">
        <v>41614</v>
      </c>
      <c r="D882">
        <v>137.36000000000001</v>
      </c>
      <c r="E882">
        <v>100.84748107163658</v>
      </c>
      <c r="F882" t="s">
        <v>427</v>
      </c>
      <c r="G882" s="64">
        <v>41614</v>
      </c>
      <c r="H882">
        <v>386.95</v>
      </c>
      <c r="I882">
        <v>100.69401731489856</v>
      </c>
      <c r="J882">
        <v>100.69401731489856</v>
      </c>
    </row>
    <row r="883" spans="1:10" x14ac:dyDescent="0.25">
      <c r="A883" s="36"/>
      <c r="B883" t="s">
        <v>451</v>
      </c>
      <c r="C883" s="64">
        <v>41617</v>
      </c>
      <c r="D883">
        <v>141.6</v>
      </c>
      <c r="E883">
        <v>100.85204802259886</v>
      </c>
      <c r="F883" t="s">
        <v>427</v>
      </c>
      <c r="G883" s="64">
        <v>41617</v>
      </c>
      <c r="H883">
        <v>384.89</v>
      </c>
      <c r="I883">
        <v>100.69237964093637</v>
      </c>
      <c r="J883">
        <v>100.69237964093637</v>
      </c>
    </row>
    <row r="884" spans="1:10" x14ac:dyDescent="0.25">
      <c r="A884" s="36"/>
      <c r="B884" t="s">
        <v>451</v>
      </c>
      <c r="C884" s="64">
        <v>41618</v>
      </c>
      <c r="D884">
        <v>142.19</v>
      </c>
      <c r="E884">
        <v>100.85266193121879</v>
      </c>
      <c r="F884" t="s">
        <v>427</v>
      </c>
      <c r="G884" s="64">
        <v>41618</v>
      </c>
      <c r="H884">
        <v>387.78</v>
      </c>
      <c r="I884">
        <v>100.69467223683532</v>
      </c>
      <c r="J884">
        <v>100.69467223683532</v>
      </c>
    </row>
    <row r="885" spans="1:10" x14ac:dyDescent="0.25">
      <c r="A885" s="36"/>
      <c r="B885" t="s">
        <v>451</v>
      </c>
      <c r="C885" s="64">
        <v>41619</v>
      </c>
      <c r="D885">
        <v>139.65</v>
      </c>
      <c r="E885">
        <v>100.8499820981024</v>
      </c>
      <c r="F885" t="s">
        <v>427</v>
      </c>
      <c r="G885" s="64">
        <v>41619</v>
      </c>
      <c r="H885">
        <v>382.19</v>
      </c>
      <c r="I885">
        <v>100.69020644182213</v>
      </c>
      <c r="J885">
        <v>100.69020644182213</v>
      </c>
    </row>
    <row r="886" spans="1:10" x14ac:dyDescent="0.25">
      <c r="A886" s="36"/>
      <c r="B886" t="s">
        <v>451</v>
      </c>
      <c r="C886" s="64">
        <v>41620</v>
      </c>
      <c r="D886">
        <v>147.47</v>
      </c>
      <c r="E886">
        <v>100.85793720756764</v>
      </c>
      <c r="F886" t="s">
        <v>427</v>
      </c>
      <c r="G886" s="64">
        <v>41620</v>
      </c>
      <c r="H886">
        <v>381.25</v>
      </c>
      <c r="I886">
        <v>100.68944262295082</v>
      </c>
      <c r="J886">
        <v>100.68944262295082</v>
      </c>
    </row>
    <row r="887" spans="1:10" x14ac:dyDescent="0.25">
      <c r="A887" s="36"/>
      <c r="B887" t="s">
        <v>451</v>
      </c>
      <c r="C887" s="64">
        <v>41621</v>
      </c>
      <c r="D887">
        <v>147.654</v>
      </c>
      <c r="E887">
        <v>100.85811424004768</v>
      </c>
      <c r="F887" t="s">
        <v>427</v>
      </c>
      <c r="G887" s="64">
        <v>41621</v>
      </c>
      <c r="H887">
        <v>384.24</v>
      </c>
      <c r="I887">
        <v>100.69185925463252</v>
      </c>
      <c r="J887">
        <v>100.69185925463252</v>
      </c>
    </row>
    <row r="888" spans="1:10" x14ac:dyDescent="0.25">
      <c r="A888" s="36"/>
      <c r="B888" t="s">
        <v>451</v>
      </c>
      <c r="C888" s="64">
        <v>41624</v>
      </c>
      <c r="D888">
        <v>147.94</v>
      </c>
      <c r="E888">
        <v>100.85838853589293</v>
      </c>
      <c r="F888" t="s">
        <v>427</v>
      </c>
      <c r="G888" s="64">
        <v>41624</v>
      </c>
      <c r="H888">
        <v>388.97</v>
      </c>
      <c r="I888">
        <v>100.69560634496234</v>
      </c>
      <c r="J888">
        <v>100.69560634496234</v>
      </c>
    </row>
    <row r="889" spans="1:10" x14ac:dyDescent="0.25">
      <c r="A889" s="36"/>
      <c r="B889" t="s">
        <v>451</v>
      </c>
      <c r="C889" s="64">
        <v>41625</v>
      </c>
      <c r="D889">
        <v>152.46</v>
      </c>
      <c r="E889">
        <v>100.86258690804145</v>
      </c>
      <c r="F889" t="s">
        <v>427</v>
      </c>
      <c r="G889" s="64">
        <v>41625</v>
      </c>
      <c r="H889">
        <v>387.65</v>
      </c>
      <c r="I889">
        <v>100.69456984393138</v>
      </c>
      <c r="J889">
        <v>100.69456984393138</v>
      </c>
    </row>
    <row r="890" spans="1:10" x14ac:dyDescent="0.25">
      <c r="A890" s="36"/>
      <c r="B890" t="s">
        <v>451</v>
      </c>
      <c r="C890" s="64">
        <v>41626</v>
      </c>
      <c r="D890">
        <v>147.97999999999999</v>
      </c>
      <c r="E890">
        <v>100.85842681443438</v>
      </c>
      <c r="F890" t="s">
        <v>427</v>
      </c>
      <c r="G890" s="64">
        <v>41626</v>
      </c>
      <c r="H890">
        <v>395.96</v>
      </c>
      <c r="I890">
        <v>100.70097989695928</v>
      </c>
      <c r="J890">
        <v>100.70097989695928</v>
      </c>
    </row>
    <row r="891" spans="1:10" x14ac:dyDescent="0.25">
      <c r="A891" s="36"/>
      <c r="B891" t="s">
        <v>451</v>
      </c>
      <c r="C891" s="64">
        <v>41627</v>
      </c>
      <c r="D891">
        <v>140.72</v>
      </c>
      <c r="E891">
        <v>100.85112279704377</v>
      </c>
      <c r="F891" t="s">
        <v>427</v>
      </c>
      <c r="G891" s="64">
        <v>41627</v>
      </c>
      <c r="H891">
        <v>395.19</v>
      </c>
      <c r="I891">
        <v>100.70039727725904</v>
      </c>
      <c r="J891">
        <v>100.70039727725904</v>
      </c>
    </row>
    <row r="892" spans="1:10" x14ac:dyDescent="0.25">
      <c r="A892" s="36"/>
      <c r="B892" t="s">
        <v>451</v>
      </c>
      <c r="C892" s="64">
        <v>41628</v>
      </c>
      <c r="D892">
        <v>143.24</v>
      </c>
      <c r="E892">
        <v>100.85374197151634</v>
      </c>
      <c r="F892" t="s">
        <v>427</v>
      </c>
      <c r="G892" s="64">
        <v>41628</v>
      </c>
      <c r="H892">
        <v>402.2</v>
      </c>
      <c r="I892">
        <v>100.70561909497762</v>
      </c>
      <c r="J892">
        <v>100.70561909497762</v>
      </c>
    </row>
    <row r="893" spans="1:10" x14ac:dyDescent="0.25">
      <c r="A893" s="36"/>
      <c r="B893" t="s">
        <v>451</v>
      </c>
      <c r="C893" s="64">
        <v>41631</v>
      </c>
      <c r="D893">
        <v>143.55000000000001</v>
      </c>
      <c r="E893">
        <v>100.85405781957506</v>
      </c>
      <c r="F893" t="s">
        <v>427</v>
      </c>
      <c r="G893" s="64">
        <v>41631</v>
      </c>
      <c r="H893">
        <v>402.92</v>
      </c>
      <c r="I893">
        <v>100.70614514047453</v>
      </c>
      <c r="J893">
        <v>100.70614514047453</v>
      </c>
    </row>
    <row r="894" spans="1:10" x14ac:dyDescent="0.25">
      <c r="A894" s="36"/>
      <c r="B894" t="s">
        <v>451</v>
      </c>
      <c r="C894" s="64">
        <v>41632</v>
      </c>
      <c r="D894">
        <v>151.41</v>
      </c>
      <c r="E894">
        <v>100.86163397397794</v>
      </c>
      <c r="F894" t="s">
        <v>427</v>
      </c>
      <c r="G894" s="64">
        <v>41632</v>
      </c>
      <c r="H894">
        <v>399.2</v>
      </c>
      <c r="I894">
        <v>100.70340681362725</v>
      </c>
      <c r="J894">
        <v>100.70340681362725</v>
      </c>
    </row>
    <row r="895" spans="1:10" x14ac:dyDescent="0.25">
      <c r="A895" s="36"/>
      <c r="B895" t="s">
        <v>451</v>
      </c>
      <c r="C895" s="64">
        <v>41634</v>
      </c>
      <c r="D895">
        <v>155.5</v>
      </c>
      <c r="E895">
        <v>100.86527331189711</v>
      </c>
      <c r="F895" t="s">
        <v>427</v>
      </c>
      <c r="G895" s="64">
        <v>41634</v>
      </c>
      <c r="H895">
        <v>404.39</v>
      </c>
      <c r="I895">
        <v>100.70721333366305</v>
      </c>
      <c r="J895">
        <v>100.70721333366305</v>
      </c>
    </row>
    <row r="896" spans="1:10" x14ac:dyDescent="0.25">
      <c r="A896" s="36"/>
      <c r="B896" t="s">
        <v>451</v>
      </c>
      <c r="C896" s="64">
        <v>41635</v>
      </c>
      <c r="D896">
        <v>151.12</v>
      </c>
      <c r="E896">
        <v>100.86136844891477</v>
      </c>
      <c r="F896" t="s">
        <v>427</v>
      </c>
      <c r="G896" s="64">
        <v>41635</v>
      </c>
      <c r="H896">
        <v>398.08</v>
      </c>
      <c r="I896">
        <v>100.70257234726688</v>
      </c>
      <c r="J896">
        <v>100.70257234726688</v>
      </c>
    </row>
    <row r="897" spans="1:10" x14ac:dyDescent="0.25">
      <c r="A897" s="36"/>
      <c r="B897" t="s">
        <v>451</v>
      </c>
      <c r="C897" s="64">
        <v>41638</v>
      </c>
      <c r="D897">
        <v>152.44</v>
      </c>
      <c r="E897">
        <v>100.86256887955918</v>
      </c>
      <c r="F897" t="s">
        <v>427</v>
      </c>
      <c r="G897" s="64">
        <v>41638</v>
      </c>
      <c r="H897">
        <v>393.37</v>
      </c>
      <c r="I897">
        <v>100.69901110913389</v>
      </c>
      <c r="J897">
        <v>100.69901110913389</v>
      </c>
    </row>
    <row r="898" spans="1:10" x14ac:dyDescent="0.25">
      <c r="A898" s="36"/>
      <c r="B898" t="s">
        <v>451</v>
      </c>
      <c r="C898" s="64">
        <v>41639</v>
      </c>
      <c r="D898">
        <v>150.429</v>
      </c>
      <c r="E898">
        <v>100.86073164084053</v>
      </c>
      <c r="F898" t="s">
        <v>427</v>
      </c>
      <c r="G898" s="64">
        <v>41639</v>
      </c>
      <c r="H898">
        <v>398.79</v>
      </c>
      <c r="I898">
        <v>100.70310188319667</v>
      </c>
      <c r="J898">
        <v>100.70310188319667</v>
      </c>
    </row>
    <row r="899" spans="1:10" x14ac:dyDescent="0.25">
      <c r="A899" s="36"/>
      <c r="B899" t="s">
        <v>451</v>
      </c>
      <c r="C899" s="64">
        <v>41641</v>
      </c>
      <c r="D899">
        <v>150.1</v>
      </c>
      <c r="E899">
        <v>100.86042638241173</v>
      </c>
      <c r="F899" t="s">
        <v>427</v>
      </c>
      <c r="G899" s="64">
        <v>41641</v>
      </c>
      <c r="H899">
        <v>397.97</v>
      </c>
      <c r="I899">
        <v>100.70249013744754</v>
      </c>
      <c r="J899">
        <v>100.70249013744754</v>
      </c>
    </row>
    <row r="900" spans="1:10" x14ac:dyDescent="0.25">
      <c r="A900" s="36"/>
      <c r="B900" t="s">
        <v>451</v>
      </c>
      <c r="C900" s="64">
        <v>41642</v>
      </c>
      <c r="D900">
        <v>149.56</v>
      </c>
      <c r="E900">
        <v>100.85992243915486</v>
      </c>
      <c r="F900" t="s">
        <v>427</v>
      </c>
      <c r="G900" s="64">
        <v>41642</v>
      </c>
      <c r="H900">
        <v>396.44</v>
      </c>
      <c r="I900">
        <v>100.70134194329533</v>
      </c>
      <c r="J900">
        <v>100.70134194329533</v>
      </c>
    </row>
    <row r="901" spans="1:10" x14ac:dyDescent="0.25">
      <c r="A901" s="36"/>
      <c r="B901" t="s">
        <v>451</v>
      </c>
      <c r="C901" s="64">
        <v>41645</v>
      </c>
      <c r="D901">
        <v>147</v>
      </c>
      <c r="E901">
        <v>100.85748299319728</v>
      </c>
      <c r="F901" t="s">
        <v>427</v>
      </c>
      <c r="G901" s="64">
        <v>41645</v>
      </c>
      <c r="H901">
        <v>393.63</v>
      </c>
      <c r="I901">
        <v>100.69920991794325</v>
      </c>
      <c r="J901">
        <v>100.69920991794325</v>
      </c>
    </row>
    <row r="902" spans="1:10" x14ac:dyDescent="0.25">
      <c r="A902" s="36"/>
      <c r="B902" t="s">
        <v>451</v>
      </c>
      <c r="C902" s="64">
        <v>41646</v>
      </c>
      <c r="D902">
        <v>149.36000000000001</v>
      </c>
      <c r="E902">
        <v>100.85973486877343</v>
      </c>
      <c r="F902" t="s">
        <v>427</v>
      </c>
      <c r="G902" s="64">
        <v>41646</v>
      </c>
      <c r="H902">
        <v>398.03</v>
      </c>
      <c r="I902">
        <v>100.70253498480014</v>
      </c>
      <c r="J902">
        <v>100.70253498480014</v>
      </c>
    </row>
    <row r="903" spans="1:10" x14ac:dyDescent="0.25">
      <c r="A903" s="36"/>
      <c r="B903" t="s">
        <v>451</v>
      </c>
      <c r="C903" s="64">
        <v>41647</v>
      </c>
      <c r="D903">
        <v>151.28</v>
      </c>
      <c r="E903">
        <v>100.8615150713908</v>
      </c>
      <c r="F903" t="s">
        <v>427</v>
      </c>
      <c r="G903" s="64">
        <v>41647</v>
      </c>
      <c r="H903">
        <v>401.92</v>
      </c>
      <c r="I903">
        <v>100.70541401273886</v>
      </c>
      <c r="J903">
        <v>100.70541401273886</v>
      </c>
    </row>
    <row r="904" spans="1:10" x14ac:dyDescent="0.25">
      <c r="A904" s="36"/>
      <c r="B904" t="s">
        <v>451</v>
      </c>
      <c r="C904" s="64">
        <v>41648</v>
      </c>
      <c r="D904">
        <v>147.53</v>
      </c>
      <c r="E904">
        <v>100.85799498407104</v>
      </c>
      <c r="F904" t="s">
        <v>427</v>
      </c>
      <c r="G904" s="64">
        <v>41648</v>
      </c>
      <c r="H904">
        <v>401.01</v>
      </c>
      <c r="I904">
        <v>100.70474551756814</v>
      </c>
      <c r="J904">
        <v>100.70474551756814</v>
      </c>
    </row>
    <row r="905" spans="1:10" x14ac:dyDescent="0.25">
      <c r="A905" s="36"/>
      <c r="B905" t="s">
        <v>451</v>
      </c>
      <c r="C905" s="64">
        <v>41649</v>
      </c>
      <c r="D905">
        <v>145.72</v>
      </c>
      <c r="E905">
        <v>100.85623112819106</v>
      </c>
      <c r="F905" t="s">
        <v>427</v>
      </c>
      <c r="G905" s="64">
        <v>41649</v>
      </c>
      <c r="H905">
        <v>397.66</v>
      </c>
      <c r="I905">
        <v>100.70225821053161</v>
      </c>
      <c r="J905">
        <v>100.70225821053161</v>
      </c>
    </row>
    <row r="906" spans="1:10" x14ac:dyDescent="0.25">
      <c r="A906" s="36"/>
      <c r="B906" t="s">
        <v>451</v>
      </c>
      <c r="C906" s="64">
        <v>41652</v>
      </c>
      <c r="D906">
        <v>139.34</v>
      </c>
      <c r="E906">
        <v>100.84964834218458</v>
      </c>
      <c r="F906" t="s">
        <v>427</v>
      </c>
      <c r="G906" s="64">
        <v>41652</v>
      </c>
      <c r="H906">
        <v>390.98</v>
      </c>
      <c r="I906">
        <v>100.69717121080362</v>
      </c>
      <c r="J906">
        <v>100.69717121080362</v>
      </c>
    </row>
    <row r="907" spans="1:10" x14ac:dyDescent="0.25">
      <c r="A907" s="36"/>
      <c r="B907" t="s">
        <v>451</v>
      </c>
      <c r="C907" s="64">
        <v>41653</v>
      </c>
      <c r="D907">
        <v>161.27000000000001</v>
      </c>
      <c r="E907">
        <v>100.8700936317976</v>
      </c>
      <c r="F907" t="s">
        <v>427</v>
      </c>
      <c r="G907" s="64">
        <v>41653</v>
      </c>
      <c r="H907">
        <v>397.54</v>
      </c>
      <c r="I907">
        <v>100.70216833526186</v>
      </c>
      <c r="J907">
        <v>100.70216833526186</v>
      </c>
    </row>
    <row r="908" spans="1:10" x14ac:dyDescent="0.25">
      <c r="A908" s="36"/>
      <c r="B908" t="s">
        <v>451</v>
      </c>
      <c r="C908" s="64">
        <v>41654</v>
      </c>
      <c r="D908">
        <v>164.13</v>
      </c>
      <c r="E908">
        <v>100.87235727776762</v>
      </c>
      <c r="F908" t="s">
        <v>427</v>
      </c>
      <c r="G908" s="64">
        <v>41654</v>
      </c>
      <c r="H908">
        <v>395.87</v>
      </c>
      <c r="I908">
        <v>100.70091191552783</v>
      </c>
      <c r="J908">
        <v>100.70091191552783</v>
      </c>
    </row>
    <row r="909" spans="1:10" x14ac:dyDescent="0.25">
      <c r="A909" s="36"/>
      <c r="B909" t="s">
        <v>451</v>
      </c>
      <c r="C909" s="64">
        <v>41655</v>
      </c>
      <c r="D909">
        <v>170.97</v>
      </c>
      <c r="E909">
        <v>100.87746388255249</v>
      </c>
      <c r="F909" t="s">
        <v>427</v>
      </c>
      <c r="G909" s="64">
        <v>41655</v>
      </c>
      <c r="H909">
        <v>395.8</v>
      </c>
      <c r="I909">
        <v>100.70085901970693</v>
      </c>
      <c r="J909">
        <v>100.70085901970693</v>
      </c>
    </row>
    <row r="910" spans="1:10" x14ac:dyDescent="0.25">
      <c r="A910" s="36"/>
      <c r="B910" t="s">
        <v>451</v>
      </c>
      <c r="C910" s="64">
        <v>41656</v>
      </c>
      <c r="D910">
        <v>170.01</v>
      </c>
      <c r="E910">
        <v>100.87677195459091</v>
      </c>
      <c r="F910" t="s">
        <v>427</v>
      </c>
      <c r="G910" s="64">
        <v>41656</v>
      </c>
      <c r="H910">
        <v>399.61</v>
      </c>
      <c r="I910">
        <v>100.70371111834038</v>
      </c>
      <c r="J910">
        <v>100.70371111834038</v>
      </c>
    </row>
    <row r="911" spans="1:10" x14ac:dyDescent="0.25">
      <c r="A911" s="36"/>
      <c r="B911" t="s">
        <v>451</v>
      </c>
      <c r="C911" s="64">
        <v>41660</v>
      </c>
      <c r="D911">
        <v>176.68</v>
      </c>
      <c r="E911">
        <v>100.88142404346841</v>
      </c>
      <c r="F911" t="s">
        <v>427</v>
      </c>
      <c r="G911" s="64">
        <v>41660</v>
      </c>
      <c r="H911">
        <v>407.05</v>
      </c>
      <c r="I911">
        <v>100.70912664291856</v>
      </c>
      <c r="J911">
        <v>100.70912664291856</v>
      </c>
    </row>
    <row r="912" spans="1:10" x14ac:dyDescent="0.25">
      <c r="A912" s="36"/>
      <c r="B912" t="s">
        <v>451</v>
      </c>
      <c r="C912" s="64">
        <v>41661</v>
      </c>
      <c r="D912">
        <v>178.56</v>
      </c>
      <c r="E912">
        <v>100.88267249103943</v>
      </c>
      <c r="F912" t="s">
        <v>427</v>
      </c>
      <c r="G912" s="64">
        <v>41661</v>
      </c>
      <c r="H912">
        <v>404.54</v>
      </c>
      <c r="I912">
        <v>100.70732189647501</v>
      </c>
      <c r="J912">
        <v>100.70732189647501</v>
      </c>
    </row>
    <row r="913" spans="1:10" x14ac:dyDescent="0.25">
      <c r="A913" s="36"/>
      <c r="B913" t="s">
        <v>451</v>
      </c>
      <c r="C913" s="64">
        <v>41662</v>
      </c>
      <c r="D913">
        <v>181.5</v>
      </c>
      <c r="E913">
        <v>100.88457300275482</v>
      </c>
      <c r="F913" t="s">
        <v>427</v>
      </c>
      <c r="G913" s="64">
        <v>41662</v>
      </c>
      <c r="H913">
        <v>399.87</v>
      </c>
      <c r="I913">
        <v>100.70390376872484</v>
      </c>
      <c r="J913">
        <v>100.70390376872484</v>
      </c>
    </row>
    <row r="914" spans="1:10" x14ac:dyDescent="0.25">
      <c r="A914" s="36"/>
      <c r="B914" t="s">
        <v>451</v>
      </c>
      <c r="C914" s="64">
        <v>41663</v>
      </c>
      <c r="D914">
        <v>174.6</v>
      </c>
      <c r="E914">
        <v>100.88001145475373</v>
      </c>
      <c r="F914" t="s">
        <v>427</v>
      </c>
      <c r="G914" s="64">
        <v>41663</v>
      </c>
      <c r="H914">
        <v>387.6</v>
      </c>
      <c r="I914">
        <v>100.69453044375645</v>
      </c>
      <c r="J914">
        <v>100.69453044375645</v>
      </c>
    </row>
    <row r="915" spans="1:10" x14ac:dyDescent="0.25">
      <c r="A915" s="36"/>
      <c r="B915" t="s">
        <v>451</v>
      </c>
      <c r="C915" s="64">
        <v>41666</v>
      </c>
      <c r="D915">
        <v>169.62</v>
      </c>
      <c r="E915">
        <v>100.8764886216248</v>
      </c>
      <c r="F915" t="s">
        <v>427</v>
      </c>
      <c r="G915" s="64">
        <v>41666</v>
      </c>
      <c r="H915">
        <v>386.28</v>
      </c>
      <c r="I915">
        <v>100.69348659003832</v>
      </c>
      <c r="J915">
        <v>100.69348659003832</v>
      </c>
    </row>
    <row r="916" spans="1:10" x14ac:dyDescent="0.25">
      <c r="A916" s="36"/>
      <c r="B916" t="s">
        <v>451</v>
      </c>
      <c r="C916" s="64">
        <v>41667</v>
      </c>
      <c r="D916">
        <v>178.38</v>
      </c>
      <c r="E916">
        <v>100.88255409799305</v>
      </c>
      <c r="F916" t="s">
        <v>427</v>
      </c>
      <c r="G916" s="64">
        <v>41667</v>
      </c>
      <c r="H916">
        <v>394.43</v>
      </c>
      <c r="I916">
        <v>100.69981999340821</v>
      </c>
      <c r="J916">
        <v>100.69981999340821</v>
      </c>
    </row>
    <row r="917" spans="1:10" x14ac:dyDescent="0.25">
      <c r="A917" s="36"/>
      <c r="B917" t="s">
        <v>451</v>
      </c>
      <c r="C917" s="64">
        <v>41668</v>
      </c>
      <c r="D917">
        <v>175.23</v>
      </c>
      <c r="E917">
        <v>100.88044284654454</v>
      </c>
      <c r="F917" t="s">
        <v>427</v>
      </c>
      <c r="G917" s="64">
        <v>41668</v>
      </c>
      <c r="H917">
        <v>384.2</v>
      </c>
      <c r="I917">
        <v>100.69182717334722</v>
      </c>
      <c r="J917">
        <v>100.69182717334722</v>
      </c>
    </row>
    <row r="918" spans="1:10" x14ac:dyDescent="0.25">
      <c r="A918" s="36"/>
      <c r="B918" t="s">
        <v>451</v>
      </c>
      <c r="C918" s="64">
        <v>41669</v>
      </c>
      <c r="D918">
        <v>182.84</v>
      </c>
      <c r="E918">
        <v>100.88541894552614</v>
      </c>
      <c r="F918" t="s">
        <v>427</v>
      </c>
      <c r="G918" s="64">
        <v>41669</v>
      </c>
      <c r="H918">
        <v>403.01</v>
      </c>
      <c r="I918">
        <v>100.7062107640009</v>
      </c>
      <c r="J918">
        <v>100.7062107640009</v>
      </c>
    </row>
    <row r="919" spans="1:10" x14ac:dyDescent="0.25">
      <c r="A919" s="36"/>
      <c r="B919" t="s">
        <v>451</v>
      </c>
      <c r="C919" s="64">
        <v>41670</v>
      </c>
      <c r="D919">
        <v>181.41</v>
      </c>
      <c r="E919">
        <v>100.88451573783144</v>
      </c>
      <c r="F919" t="s">
        <v>427</v>
      </c>
      <c r="G919" s="64">
        <v>41670</v>
      </c>
      <c r="H919">
        <v>358.69</v>
      </c>
      <c r="I919">
        <v>100.66990995009618</v>
      </c>
      <c r="J919">
        <v>100.66990995009618</v>
      </c>
    </row>
    <row r="920" spans="1:10" x14ac:dyDescent="0.25">
      <c r="A920" s="36"/>
      <c r="B920" t="s">
        <v>451</v>
      </c>
      <c r="C920" s="64">
        <v>41673</v>
      </c>
      <c r="D920">
        <v>177.11</v>
      </c>
      <c r="E920">
        <v>100.88171193043871</v>
      </c>
      <c r="F920" t="s">
        <v>427</v>
      </c>
      <c r="G920" s="64">
        <v>41673</v>
      </c>
      <c r="H920">
        <v>346.15</v>
      </c>
      <c r="I920">
        <v>100.6579517550195</v>
      </c>
      <c r="J920">
        <v>100.6579517550195</v>
      </c>
    </row>
    <row r="921" spans="1:10" x14ac:dyDescent="0.25">
      <c r="A921" s="36"/>
      <c r="B921" t="s">
        <v>451</v>
      </c>
      <c r="C921" s="64">
        <v>41674</v>
      </c>
      <c r="D921">
        <v>178.73</v>
      </c>
      <c r="E921">
        <v>100.8827840877301</v>
      </c>
      <c r="F921" t="s">
        <v>427</v>
      </c>
      <c r="G921" s="64">
        <v>41674</v>
      </c>
      <c r="H921">
        <v>347.95</v>
      </c>
      <c r="I921">
        <v>100.65972122431384</v>
      </c>
      <c r="J921">
        <v>100.65972122431384</v>
      </c>
    </row>
    <row r="922" spans="1:10" x14ac:dyDescent="0.25">
      <c r="A922" s="36"/>
      <c r="B922" t="s">
        <v>451</v>
      </c>
      <c r="C922" s="64">
        <v>41675</v>
      </c>
      <c r="D922">
        <v>174.42</v>
      </c>
      <c r="E922">
        <v>100.87988762756565</v>
      </c>
      <c r="F922" t="s">
        <v>427</v>
      </c>
      <c r="G922" s="64">
        <v>41675</v>
      </c>
      <c r="H922">
        <v>346.45</v>
      </c>
      <c r="I922">
        <v>100.65824794342618</v>
      </c>
      <c r="J922">
        <v>100.65824794342618</v>
      </c>
    </row>
    <row r="923" spans="1:10" x14ac:dyDescent="0.25">
      <c r="A923" s="36"/>
      <c r="B923" t="s">
        <v>451</v>
      </c>
      <c r="C923" s="64">
        <v>41676</v>
      </c>
      <c r="D923">
        <v>178.38</v>
      </c>
      <c r="E923">
        <v>100.88255409799305</v>
      </c>
      <c r="F923" t="s">
        <v>427</v>
      </c>
      <c r="G923" s="64">
        <v>41676</v>
      </c>
      <c r="H923">
        <v>354.59</v>
      </c>
      <c r="I923">
        <v>100.66609323443977</v>
      </c>
      <c r="J923">
        <v>100.66609323443977</v>
      </c>
    </row>
    <row r="924" spans="1:10" x14ac:dyDescent="0.25">
      <c r="A924" s="36"/>
      <c r="B924" t="s">
        <v>451</v>
      </c>
      <c r="C924" s="64">
        <v>41677</v>
      </c>
      <c r="D924">
        <v>186.53</v>
      </c>
      <c r="E924">
        <v>100.88768562697689</v>
      </c>
      <c r="F924" t="s">
        <v>427</v>
      </c>
      <c r="G924" s="64">
        <v>41677</v>
      </c>
      <c r="H924">
        <v>361.08</v>
      </c>
      <c r="I924">
        <v>100.67209482663122</v>
      </c>
      <c r="J924">
        <v>100.67209482663122</v>
      </c>
    </row>
    <row r="925" spans="1:10" x14ac:dyDescent="0.25">
      <c r="A925" s="36"/>
      <c r="B925" t="s">
        <v>451</v>
      </c>
      <c r="C925" s="64">
        <v>41680</v>
      </c>
      <c r="D925">
        <v>196.56</v>
      </c>
      <c r="E925">
        <v>100.89341676841677</v>
      </c>
      <c r="F925" t="s">
        <v>427</v>
      </c>
      <c r="G925" s="64">
        <v>41680</v>
      </c>
      <c r="H925">
        <v>360.87</v>
      </c>
      <c r="I925">
        <v>100.6719040097542</v>
      </c>
      <c r="J925">
        <v>100.6719040097542</v>
      </c>
    </row>
    <row r="926" spans="1:10" x14ac:dyDescent="0.25">
      <c r="A926" s="36"/>
      <c r="B926" t="s">
        <v>451</v>
      </c>
      <c r="C926" s="64">
        <v>41681</v>
      </c>
      <c r="D926">
        <v>196.62</v>
      </c>
      <c r="E926">
        <v>100.89344929305258</v>
      </c>
      <c r="F926" t="s">
        <v>427</v>
      </c>
      <c r="G926" s="64">
        <v>41681</v>
      </c>
      <c r="H926">
        <v>361.79</v>
      </c>
      <c r="I926">
        <v>100.67273832886481</v>
      </c>
      <c r="J926">
        <v>100.67273832886481</v>
      </c>
    </row>
    <row r="927" spans="1:10" x14ac:dyDescent="0.25">
      <c r="A927" s="36"/>
      <c r="B927" t="s">
        <v>451</v>
      </c>
      <c r="C927" s="64">
        <v>41682</v>
      </c>
      <c r="D927">
        <v>195.32</v>
      </c>
      <c r="E927">
        <v>100.89274011877944</v>
      </c>
      <c r="F927" t="s">
        <v>427</v>
      </c>
      <c r="G927" s="64">
        <v>41682</v>
      </c>
      <c r="H927">
        <v>349.25</v>
      </c>
      <c r="I927">
        <v>100.66098783106658</v>
      </c>
      <c r="J927">
        <v>100.66098783106658</v>
      </c>
    </row>
    <row r="928" spans="1:10" x14ac:dyDescent="0.25">
      <c r="A928" s="36"/>
      <c r="B928" t="s">
        <v>451</v>
      </c>
      <c r="C928" s="64">
        <v>41683</v>
      </c>
      <c r="D928">
        <v>199.63</v>
      </c>
      <c r="E928">
        <v>100.89505585332866</v>
      </c>
      <c r="F928" t="s">
        <v>427</v>
      </c>
      <c r="G928" s="64">
        <v>41683</v>
      </c>
      <c r="H928">
        <v>357.2</v>
      </c>
      <c r="I928">
        <v>100.66853303471444</v>
      </c>
      <c r="J928">
        <v>100.66853303471444</v>
      </c>
    </row>
    <row r="929" spans="1:10" x14ac:dyDescent="0.25">
      <c r="A929" s="36"/>
      <c r="B929" t="s">
        <v>451</v>
      </c>
      <c r="C929" s="64">
        <v>41684</v>
      </c>
      <c r="D929">
        <v>198.23</v>
      </c>
      <c r="E929">
        <v>100.89431468496191</v>
      </c>
      <c r="F929" t="s">
        <v>427</v>
      </c>
      <c r="G929" s="64">
        <v>41684</v>
      </c>
      <c r="H929">
        <v>357.35</v>
      </c>
      <c r="I929">
        <v>100.66867217014132</v>
      </c>
      <c r="J929">
        <v>100.66867217014132</v>
      </c>
    </row>
    <row r="930" spans="1:10" x14ac:dyDescent="0.25">
      <c r="A930" s="36"/>
      <c r="B930" t="s">
        <v>451</v>
      </c>
      <c r="C930" s="64">
        <v>41688</v>
      </c>
      <c r="D930">
        <v>203.7</v>
      </c>
      <c r="E930">
        <v>100.89715267550319</v>
      </c>
      <c r="F930" t="s">
        <v>427</v>
      </c>
      <c r="G930" s="64">
        <v>41688</v>
      </c>
      <c r="H930">
        <v>353.65</v>
      </c>
      <c r="I930">
        <v>100.66520571186201</v>
      </c>
      <c r="J930">
        <v>100.66520571186201</v>
      </c>
    </row>
    <row r="931" spans="1:10" x14ac:dyDescent="0.25">
      <c r="A931" s="36"/>
      <c r="B931" t="s">
        <v>451</v>
      </c>
      <c r="C931" s="64">
        <v>41689</v>
      </c>
      <c r="D931">
        <v>193.64</v>
      </c>
      <c r="E931">
        <v>100.89180954348275</v>
      </c>
      <c r="F931" t="s">
        <v>427</v>
      </c>
      <c r="G931" s="64">
        <v>41689</v>
      </c>
      <c r="H931">
        <v>347.38</v>
      </c>
      <c r="I931">
        <v>100.65916287638898</v>
      </c>
      <c r="J931">
        <v>100.65916287638898</v>
      </c>
    </row>
    <row r="932" spans="1:10" x14ac:dyDescent="0.25">
      <c r="A932" s="36"/>
      <c r="B932" t="s">
        <v>451</v>
      </c>
      <c r="C932" s="64">
        <v>41690</v>
      </c>
      <c r="D932">
        <v>209.97</v>
      </c>
      <c r="E932">
        <v>100.90022384150117</v>
      </c>
      <c r="F932" t="s">
        <v>427</v>
      </c>
      <c r="G932" s="64">
        <v>41690</v>
      </c>
      <c r="H932">
        <v>349.8</v>
      </c>
      <c r="I932">
        <v>100.66152086906804</v>
      </c>
      <c r="J932">
        <v>100.66152086906804</v>
      </c>
    </row>
    <row r="933" spans="1:10" x14ac:dyDescent="0.25">
      <c r="A933" s="36"/>
      <c r="B933" t="s">
        <v>451</v>
      </c>
      <c r="C933" s="64">
        <v>41691</v>
      </c>
      <c r="D933">
        <v>209.6</v>
      </c>
      <c r="E933">
        <v>100.90004770992367</v>
      </c>
      <c r="F933" t="s">
        <v>427</v>
      </c>
      <c r="G933" s="64">
        <v>41691</v>
      </c>
      <c r="H933">
        <v>346.76</v>
      </c>
      <c r="I933">
        <v>100.65855346637444</v>
      </c>
      <c r="J933">
        <v>100.65855346637444</v>
      </c>
    </row>
    <row r="934" spans="1:10" x14ac:dyDescent="0.25">
      <c r="A934" s="36"/>
      <c r="B934" t="s">
        <v>451</v>
      </c>
      <c r="C934" s="64">
        <v>41694</v>
      </c>
      <c r="D934">
        <v>217.65</v>
      </c>
      <c r="E934">
        <v>100.90374454399264</v>
      </c>
      <c r="F934" t="s">
        <v>427</v>
      </c>
      <c r="G934" s="64">
        <v>41694</v>
      </c>
      <c r="H934">
        <v>351.78</v>
      </c>
      <c r="I934">
        <v>100.66342600488942</v>
      </c>
      <c r="J934">
        <v>100.66342600488942</v>
      </c>
    </row>
    <row r="935" spans="1:10" x14ac:dyDescent="0.25">
      <c r="A935" s="36"/>
      <c r="B935" t="s">
        <v>451</v>
      </c>
      <c r="C935" s="64">
        <v>41695</v>
      </c>
      <c r="D935">
        <v>248</v>
      </c>
      <c r="E935">
        <v>100.91552419354839</v>
      </c>
      <c r="F935" t="s">
        <v>427</v>
      </c>
      <c r="G935" s="64">
        <v>41695</v>
      </c>
      <c r="H935">
        <v>358.32</v>
      </c>
      <c r="I935">
        <v>100.6695691002456</v>
      </c>
      <c r="J935">
        <v>100.6695691002456</v>
      </c>
    </row>
    <row r="936" spans="1:10" x14ac:dyDescent="0.25">
      <c r="A936" s="36"/>
      <c r="B936" t="s">
        <v>451</v>
      </c>
      <c r="C936" s="64">
        <v>41696</v>
      </c>
      <c r="D936">
        <v>253</v>
      </c>
      <c r="E936">
        <v>100.91719367588932</v>
      </c>
      <c r="F936" t="s">
        <v>427</v>
      </c>
      <c r="G936" s="64">
        <v>41696</v>
      </c>
      <c r="H936">
        <v>359.8</v>
      </c>
      <c r="I936">
        <v>100.67092829349639</v>
      </c>
      <c r="J936">
        <v>100.67092829349639</v>
      </c>
    </row>
    <row r="937" spans="1:10" x14ac:dyDescent="0.25">
      <c r="A937" s="36"/>
      <c r="B937" t="s">
        <v>451</v>
      </c>
      <c r="C937" s="64">
        <v>41697</v>
      </c>
      <c r="D937">
        <v>252.54</v>
      </c>
      <c r="E937">
        <v>100.91704284469787</v>
      </c>
      <c r="F937" t="s">
        <v>427</v>
      </c>
      <c r="G937" s="64">
        <v>41697</v>
      </c>
      <c r="H937">
        <v>360.13</v>
      </c>
      <c r="I937">
        <v>100.67122983367118</v>
      </c>
      <c r="J937">
        <v>100.67122983367118</v>
      </c>
    </row>
    <row r="938" spans="1:10" x14ac:dyDescent="0.25">
      <c r="A938" s="36"/>
      <c r="B938" t="s">
        <v>451</v>
      </c>
      <c r="C938" s="64">
        <v>41698</v>
      </c>
      <c r="D938">
        <v>244.81</v>
      </c>
      <c r="E938">
        <v>100.91442343041543</v>
      </c>
      <c r="F938" t="s">
        <v>427</v>
      </c>
      <c r="G938" s="64">
        <v>41698</v>
      </c>
      <c r="H938">
        <v>362.1</v>
      </c>
      <c r="I938">
        <v>100.67301850317592</v>
      </c>
      <c r="J938">
        <v>100.67301850317592</v>
      </c>
    </row>
    <row r="939" spans="1:10" x14ac:dyDescent="0.25">
      <c r="A939" s="36"/>
      <c r="B939" t="s">
        <v>451</v>
      </c>
      <c r="C939" s="64">
        <v>41701</v>
      </c>
      <c r="D939">
        <v>250.56</v>
      </c>
      <c r="E939">
        <v>100.91638729246488</v>
      </c>
      <c r="F939" t="s">
        <v>427</v>
      </c>
      <c r="G939" s="64">
        <v>41701</v>
      </c>
      <c r="H939">
        <v>359.78</v>
      </c>
      <c r="I939">
        <v>100.67091000055589</v>
      </c>
      <c r="J939">
        <v>100.67091000055589</v>
      </c>
    </row>
    <row r="940" spans="1:10" x14ac:dyDescent="0.25">
      <c r="A940" s="36"/>
      <c r="B940" t="s">
        <v>451</v>
      </c>
      <c r="C940" s="64">
        <v>41702</v>
      </c>
      <c r="D940">
        <v>254.84</v>
      </c>
      <c r="E940">
        <v>100.91779155548579</v>
      </c>
      <c r="F940" t="s">
        <v>427</v>
      </c>
      <c r="G940" s="64">
        <v>41702</v>
      </c>
      <c r="H940">
        <v>363.9</v>
      </c>
      <c r="I940">
        <v>100.67463588898049</v>
      </c>
      <c r="J940">
        <v>100.67463588898049</v>
      </c>
    </row>
    <row r="941" spans="1:10" x14ac:dyDescent="0.25">
      <c r="A941" s="36"/>
      <c r="B941" t="s">
        <v>451</v>
      </c>
      <c r="C941" s="64">
        <v>41703</v>
      </c>
      <c r="D941">
        <v>252.66</v>
      </c>
      <c r="E941">
        <v>100.91708224491411</v>
      </c>
      <c r="F941" t="s">
        <v>427</v>
      </c>
      <c r="G941" s="64">
        <v>41703</v>
      </c>
      <c r="H941">
        <v>372.37</v>
      </c>
      <c r="I941">
        <v>100.68203668394339</v>
      </c>
      <c r="J941">
        <v>100.68203668394339</v>
      </c>
    </row>
    <row r="942" spans="1:10" x14ac:dyDescent="0.25">
      <c r="A942" s="36"/>
      <c r="B942" t="s">
        <v>451</v>
      </c>
      <c r="C942" s="64">
        <v>41704</v>
      </c>
      <c r="D942">
        <v>252.94</v>
      </c>
      <c r="E942">
        <v>100.9171740333676</v>
      </c>
      <c r="F942" t="s">
        <v>427</v>
      </c>
      <c r="G942" s="64">
        <v>41704</v>
      </c>
      <c r="H942">
        <v>372.16</v>
      </c>
      <c r="I942">
        <v>100.68185726569217</v>
      </c>
      <c r="J942">
        <v>100.68185726569217</v>
      </c>
    </row>
    <row r="943" spans="1:10" x14ac:dyDescent="0.25">
      <c r="A943" s="36"/>
      <c r="B943" t="s">
        <v>451</v>
      </c>
      <c r="C943" s="64">
        <v>41705</v>
      </c>
      <c r="D943">
        <v>246.21</v>
      </c>
      <c r="E943">
        <v>100.914910036148</v>
      </c>
      <c r="F943" t="s">
        <v>427</v>
      </c>
      <c r="G943" s="64">
        <v>41705</v>
      </c>
      <c r="H943">
        <v>372.06</v>
      </c>
      <c r="I943">
        <v>100.68177175724345</v>
      </c>
      <c r="J943">
        <v>100.68177175724345</v>
      </c>
    </row>
    <row r="944" spans="1:10" x14ac:dyDescent="0.25">
      <c r="A944" s="36"/>
      <c r="B944" t="s">
        <v>451</v>
      </c>
      <c r="C944" s="64">
        <v>41708</v>
      </c>
      <c r="D944">
        <v>238.84</v>
      </c>
      <c r="E944">
        <v>100.91228437447664</v>
      </c>
      <c r="F944" t="s">
        <v>427</v>
      </c>
      <c r="G944" s="64">
        <v>41708</v>
      </c>
      <c r="H944">
        <v>370.53</v>
      </c>
      <c r="I944">
        <v>100.68045772272151</v>
      </c>
      <c r="J944">
        <v>100.68045772272151</v>
      </c>
    </row>
    <row r="945" spans="1:10" x14ac:dyDescent="0.25">
      <c r="A945" s="36"/>
      <c r="B945" t="s">
        <v>451</v>
      </c>
      <c r="C945" s="64">
        <v>41709</v>
      </c>
      <c r="D945">
        <v>234.41</v>
      </c>
      <c r="E945">
        <v>100.91062667974916</v>
      </c>
      <c r="F945" t="s">
        <v>427</v>
      </c>
      <c r="G945" s="64">
        <v>41709</v>
      </c>
      <c r="H945">
        <v>368.82</v>
      </c>
      <c r="I945">
        <v>100.67897619434954</v>
      </c>
      <c r="J945">
        <v>100.67897619434954</v>
      </c>
    </row>
    <row r="946" spans="1:10" x14ac:dyDescent="0.25">
      <c r="A946" s="36"/>
      <c r="B946" t="s">
        <v>451</v>
      </c>
      <c r="C946" s="64">
        <v>41710</v>
      </c>
      <c r="D946">
        <v>241.49</v>
      </c>
      <c r="E946">
        <v>100.91324692533853</v>
      </c>
      <c r="F946" t="s">
        <v>427</v>
      </c>
      <c r="G946" s="64">
        <v>41710</v>
      </c>
      <c r="H946">
        <v>370.64</v>
      </c>
      <c r="I946">
        <v>100.68055255773797</v>
      </c>
      <c r="J946">
        <v>100.68055255773797</v>
      </c>
    </row>
    <row r="947" spans="1:10" x14ac:dyDescent="0.25">
      <c r="A947" s="36"/>
      <c r="B947" t="s">
        <v>451</v>
      </c>
      <c r="C947" s="64">
        <v>41711</v>
      </c>
      <c r="D947">
        <v>237.79</v>
      </c>
      <c r="E947">
        <v>100.91189705202069</v>
      </c>
      <c r="F947" t="s">
        <v>427</v>
      </c>
      <c r="G947" s="64">
        <v>41711</v>
      </c>
      <c r="H947">
        <v>371.51</v>
      </c>
      <c r="I947">
        <v>100.68130063793707</v>
      </c>
      <c r="J947">
        <v>100.68130063793707</v>
      </c>
    </row>
    <row r="948" spans="1:10" x14ac:dyDescent="0.25">
      <c r="A948" s="36"/>
      <c r="B948" t="s">
        <v>451</v>
      </c>
      <c r="C948" s="64">
        <v>41712</v>
      </c>
      <c r="D948">
        <v>230.97</v>
      </c>
      <c r="E948">
        <v>100.90929557951249</v>
      </c>
      <c r="F948" t="s">
        <v>427</v>
      </c>
      <c r="G948" s="64">
        <v>41712</v>
      </c>
      <c r="H948">
        <v>373.74</v>
      </c>
      <c r="I948">
        <v>100.68320222614652</v>
      </c>
      <c r="J948">
        <v>100.68320222614652</v>
      </c>
    </row>
    <row r="949" spans="1:10" x14ac:dyDescent="0.25">
      <c r="A949" s="36"/>
      <c r="B949" t="s">
        <v>451</v>
      </c>
      <c r="C949" s="64">
        <v>41715</v>
      </c>
      <c r="D949">
        <v>233.98</v>
      </c>
      <c r="E949">
        <v>100.91046243268656</v>
      </c>
      <c r="F949" t="s">
        <v>427</v>
      </c>
      <c r="G949" s="64">
        <v>41715</v>
      </c>
      <c r="H949">
        <v>375.04</v>
      </c>
      <c r="I949">
        <v>100.68430034129693</v>
      </c>
      <c r="J949">
        <v>100.68430034129693</v>
      </c>
    </row>
    <row r="950" spans="1:10" x14ac:dyDescent="0.25">
      <c r="A950" s="36"/>
      <c r="B950" t="s">
        <v>451</v>
      </c>
      <c r="C950" s="64">
        <v>41716</v>
      </c>
      <c r="D950">
        <v>240.04</v>
      </c>
      <c r="E950">
        <v>100.91272287952008</v>
      </c>
      <c r="F950" t="s">
        <v>427</v>
      </c>
      <c r="G950" s="64">
        <v>41716</v>
      </c>
      <c r="H950">
        <v>378.77</v>
      </c>
      <c r="I950">
        <v>100.6874092457164</v>
      </c>
      <c r="J950">
        <v>100.6874092457164</v>
      </c>
    </row>
    <row r="951" spans="1:10" x14ac:dyDescent="0.25">
      <c r="A951" s="36"/>
      <c r="B951" t="s">
        <v>451</v>
      </c>
      <c r="C951" s="64">
        <v>41717</v>
      </c>
      <c r="D951">
        <v>235.84</v>
      </c>
      <c r="E951">
        <v>100.91116858887381</v>
      </c>
      <c r="F951" t="s">
        <v>427</v>
      </c>
      <c r="G951" s="64">
        <v>41717</v>
      </c>
      <c r="H951">
        <v>373.23</v>
      </c>
      <c r="I951">
        <v>100.68276933794175</v>
      </c>
      <c r="J951">
        <v>100.68276933794175</v>
      </c>
    </row>
    <row r="952" spans="1:10" x14ac:dyDescent="0.25">
      <c r="A952" s="36"/>
      <c r="B952" t="s">
        <v>451</v>
      </c>
      <c r="C952" s="64">
        <v>41718</v>
      </c>
      <c r="D952">
        <v>234.91</v>
      </c>
      <c r="E952">
        <v>100.91081690860329</v>
      </c>
      <c r="F952" t="s">
        <v>427</v>
      </c>
      <c r="G952" s="64">
        <v>41718</v>
      </c>
      <c r="H952">
        <v>368.97</v>
      </c>
      <c r="I952">
        <v>100.67910670244193</v>
      </c>
      <c r="J952">
        <v>100.67910670244193</v>
      </c>
    </row>
    <row r="953" spans="1:10" x14ac:dyDescent="0.25">
      <c r="A953" s="36"/>
      <c r="B953" t="s">
        <v>451</v>
      </c>
      <c r="C953" s="64">
        <v>41719</v>
      </c>
      <c r="D953">
        <v>228.89</v>
      </c>
      <c r="E953">
        <v>100.9084713181004</v>
      </c>
      <c r="F953" t="s">
        <v>427</v>
      </c>
      <c r="G953" s="64">
        <v>41719</v>
      </c>
      <c r="H953">
        <v>360.62</v>
      </c>
      <c r="I953">
        <v>100.67167655704066</v>
      </c>
      <c r="J953">
        <v>100.67167655704066</v>
      </c>
    </row>
    <row r="954" spans="1:10" x14ac:dyDescent="0.25">
      <c r="A954" s="36"/>
      <c r="B954" t="s">
        <v>451</v>
      </c>
      <c r="C954" s="64">
        <v>41722</v>
      </c>
      <c r="D954">
        <v>220.17</v>
      </c>
      <c r="E954">
        <v>100.90484625516646</v>
      </c>
      <c r="F954" t="s">
        <v>427</v>
      </c>
      <c r="G954" s="64">
        <v>41722</v>
      </c>
      <c r="H954">
        <v>351.85</v>
      </c>
      <c r="I954">
        <v>100.66349296575245</v>
      </c>
      <c r="J954">
        <v>100.66349296575245</v>
      </c>
    </row>
    <row r="955" spans="1:10" x14ac:dyDescent="0.25">
      <c r="A955" s="36"/>
      <c r="B955" t="s">
        <v>451</v>
      </c>
      <c r="C955" s="64">
        <v>41723</v>
      </c>
      <c r="D955">
        <v>220.44</v>
      </c>
      <c r="E955">
        <v>100.90496280166938</v>
      </c>
      <c r="F955" t="s">
        <v>427</v>
      </c>
      <c r="G955" s="64">
        <v>41723</v>
      </c>
      <c r="H955">
        <v>354.71</v>
      </c>
      <c r="I955">
        <v>100.66620619661131</v>
      </c>
      <c r="J955">
        <v>100.66620619661131</v>
      </c>
    </row>
    <row r="956" spans="1:10" x14ac:dyDescent="0.25">
      <c r="A956" s="36"/>
      <c r="B956" t="s">
        <v>451</v>
      </c>
      <c r="C956" s="64">
        <v>41724</v>
      </c>
      <c r="D956">
        <v>212.96</v>
      </c>
      <c r="E956">
        <v>100.90162471825695</v>
      </c>
      <c r="F956" t="s">
        <v>427</v>
      </c>
      <c r="G956" s="64">
        <v>41724</v>
      </c>
      <c r="H956">
        <v>343.41</v>
      </c>
      <c r="I956">
        <v>100.65522262019161</v>
      </c>
      <c r="J956">
        <v>100.65522262019161</v>
      </c>
    </row>
    <row r="957" spans="1:10" x14ac:dyDescent="0.25">
      <c r="A957" s="36"/>
      <c r="B957" t="s">
        <v>451</v>
      </c>
      <c r="C957" s="64">
        <v>41725</v>
      </c>
      <c r="D957">
        <v>207.32</v>
      </c>
      <c r="E957">
        <v>100.89894848543315</v>
      </c>
      <c r="F957" t="s">
        <v>427</v>
      </c>
      <c r="G957" s="64">
        <v>41725</v>
      </c>
      <c r="H957">
        <v>338.47</v>
      </c>
      <c r="I957">
        <v>100.65019056341774</v>
      </c>
      <c r="J957">
        <v>100.65019056341774</v>
      </c>
    </row>
    <row r="958" spans="1:10" x14ac:dyDescent="0.25">
      <c r="A958" s="36"/>
      <c r="B958" t="s">
        <v>451</v>
      </c>
      <c r="C958" s="64">
        <v>41726</v>
      </c>
      <c r="D958">
        <v>212.37</v>
      </c>
      <c r="E958">
        <v>100.90135141498328</v>
      </c>
      <c r="F958" t="s">
        <v>427</v>
      </c>
      <c r="G958" s="64">
        <v>41726</v>
      </c>
      <c r="H958">
        <v>338.29</v>
      </c>
      <c r="I958">
        <v>100.65000443406545</v>
      </c>
      <c r="J958">
        <v>100.65000443406545</v>
      </c>
    </row>
    <row r="959" spans="1:10" x14ac:dyDescent="0.25">
      <c r="A959" s="36"/>
      <c r="B959" t="s">
        <v>451</v>
      </c>
      <c r="C959" s="64">
        <v>41729</v>
      </c>
      <c r="D959">
        <v>208.45</v>
      </c>
      <c r="E959">
        <v>100.89949628208204</v>
      </c>
      <c r="F959" t="s">
        <v>427</v>
      </c>
      <c r="G959" s="64">
        <v>41729</v>
      </c>
      <c r="H959">
        <v>336.36500000000001</v>
      </c>
      <c r="I959">
        <v>100.64800142702124</v>
      </c>
      <c r="J959">
        <v>100.64800142702124</v>
      </c>
    </row>
    <row r="960" spans="1:10" x14ac:dyDescent="0.25">
      <c r="A960" s="36"/>
      <c r="B960" t="s">
        <v>451</v>
      </c>
      <c r="C960" s="64">
        <v>41730</v>
      </c>
      <c r="D960">
        <v>216.97</v>
      </c>
      <c r="E960">
        <v>100.90344287228649</v>
      </c>
      <c r="F960" t="s">
        <v>427</v>
      </c>
      <c r="G960" s="64">
        <v>41730</v>
      </c>
      <c r="H960">
        <v>342.99</v>
      </c>
      <c r="I960">
        <v>100.65480043149947</v>
      </c>
      <c r="J960">
        <v>100.65480043149947</v>
      </c>
    </row>
    <row r="961" spans="1:10" x14ac:dyDescent="0.25">
      <c r="A961" s="36"/>
      <c r="B961" t="s">
        <v>451</v>
      </c>
      <c r="C961" s="64">
        <v>41731</v>
      </c>
      <c r="D961">
        <v>230.29</v>
      </c>
      <c r="E961">
        <v>100.90902774762256</v>
      </c>
      <c r="F961" t="s">
        <v>427</v>
      </c>
      <c r="G961" s="64">
        <v>41731</v>
      </c>
      <c r="H961">
        <v>341.96</v>
      </c>
      <c r="I961">
        <v>100.65376067376302</v>
      </c>
      <c r="J961">
        <v>100.65376067376302</v>
      </c>
    </row>
    <row r="962" spans="1:10" x14ac:dyDescent="0.25">
      <c r="A962" s="36"/>
      <c r="B962" t="s">
        <v>451</v>
      </c>
      <c r="C962" s="64">
        <v>41732</v>
      </c>
      <c r="D962">
        <v>225.4</v>
      </c>
      <c r="E962">
        <v>100.90705412599823</v>
      </c>
      <c r="F962" t="s">
        <v>427</v>
      </c>
      <c r="G962" s="64">
        <v>41732</v>
      </c>
      <c r="H962">
        <v>333.62</v>
      </c>
      <c r="I962">
        <v>100.64510520951981</v>
      </c>
      <c r="J962">
        <v>100.64510520951981</v>
      </c>
    </row>
    <row r="963" spans="1:10" x14ac:dyDescent="0.25">
      <c r="A963" s="36"/>
      <c r="B963" t="s">
        <v>451</v>
      </c>
      <c r="C963" s="64">
        <v>41733</v>
      </c>
      <c r="D963">
        <v>212.22499999999999</v>
      </c>
      <c r="E963">
        <v>100.90128401460714</v>
      </c>
      <c r="F963" t="s">
        <v>427</v>
      </c>
      <c r="G963" s="64">
        <v>41733</v>
      </c>
      <c r="H963">
        <v>323</v>
      </c>
      <c r="I963">
        <v>100.63343653250774</v>
      </c>
      <c r="J963">
        <v>100.63343653250774</v>
      </c>
    </row>
    <row r="964" spans="1:10" x14ac:dyDescent="0.25">
      <c r="A964" s="36"/>
      <c r="B964" t="s">
        <v>451</v>
      </c>
      <c r="C964" s="64">
        <v>41736</v>
      </c>
      <c r="D964">
        <v>207.52</v>
      </c>
      <c r="E964">
        <v>100.89904587509638</v>
      </c>
      <c r="F964" t="s">
        <v>427</v>
      </c>
      <c r="G964" s="64">
        <v>41736</v>
      </c>
      <c r="H964">
        <v>317.76</v>
      </c>
      <c r="I964">
        <v>100.62739174219537</v>
      </c>
      <c r="J964">
        <v>100.62739174219537</v>
      </c>
    </row>
    <row r="965" spans="1:10" x14ac:dyDescent="0.25">
      <c r="A965" s="36"/>
      <c r="B965" t="s">
        <v>451</v>
      </c>
      <c r="C965" s="64">
        <v>41737</v>
      </c>
      <c r="D965">
        <v>215.46</v>
      </c>
      <c r="E965">
        <v>100.902766174696</v>
      </c>
      <c r="F965" t="s">
        <v>427</v>
      </c>
      <c r="G965" s="64">
        <v>41737</v>
      </c>
      <c r="H965">
        <v>327.07</v>
      </c>
      <c r="I965">
        <v>100.63799798208335</v>
      </c>
      <c r="J965">
        <v>100.63799798208335</v>
      </c>
    </row>
    <row r="966" spans="1:10" x14ac:dyDescent="0.25">
      <c r="A966" s="36"/>
      <c r="B966" t="s">
        <v>451</v>
      </c>
      <c r="C966" s="64">
        <v>41738</v>
      </c>
      <c r="D966">
        <v>216.93</v>
      </c>
      <c r="E966">
        <v>100.90342506799428</v>
      </c>
      <c r="F966" t="s">
        <v>427</v>
      </c>
      <c r="G966" s="64">
        <v>41738</v>
      </c>
      <c r="H966">
        <v>331.80500000000001</v>
      </c>
      <c r="I966">
        <v>100.64316390651136</v>
      </c>
      <c r="J966">
        <v>100.64316390651136</v>
      </c>
    </row>
    <row r="967" spans="1:10" x14ac:dyDescent="0.25">
      <c r="A967" s="36"/>
      <c r="B967" t="s">
        <v>451</v>
      </c>
      <c r="C967" s="64">
        <v>41739</v>
      </c>
      <c r="D967">
        <v>204.19</v>
      </c>
      <c r="E967">
        <v>100.89739948087565</v>
      </c>
      <c r="F967" t="s">
        <v>427</v>
      </c>
      <c r="G967" s="64">
        <v>41739</v>
      </c>
      <c r="H967">
        <v>317.11</v>
      </c>
      <c r="I967">
        <v>100.62662798398033</v>
      </c>
      <c r="J967">
        <v>100.62662798398033</v>
      </c>
    </row>
    <row r="968" spans="1:10" x14ac:dyDescent="0.25">
      <c r="A968" s="36"/>
      <c r="B968" t="s">
        <v>451</v>
      </c>
      <c r="C968" s="64">
        <v>41740</v>
      </c>
      <c r="D968">
        <v>203.78</v>
      </c>
      <c r="E968">
        <v>100.89719305132986</v>
      </c>
      <c r="F968" t="s">
        <v>427</v>
      </c>
      <c r="G968" s="64">
        <v>41740</v>
      </c>
      <c r="H968">
        <v>311.73</v>
      </c>
      <c r="I968">
        <v>100.62018413370545</v>
      </c>
      <c r="J968">
        <v>100.62018413370545</v>
      </c>
    </row>
    <row r="969" spans="1:10" x14ac:dyDescent="0.25">
      <c r="A969" s="36"/>
      <c r="B969" t="s">
        <v>451</v>
      </c>
      <c r="C969" s="64">
        <v>41743</v>
      </c>
      <c r="D969">
        <v>198.09</v>
      </c>
      <c r="E969">
        <v>100.89423999192286</v>
      </c>
      <c r="F969" t="s">
        <v>427</v>
      </c>
      <c r="G969" s="64">
        <v>41743</v>
      </c>
      <c r="H969">
        <v>315.91000000000003</v>
      </c>
      <c r="I969">
        <v>100.62520971162672</v>
      </c>
      <c r="J969">
        <v>100.62520971162672</v>
      </c>
    </row>
    <row r="970" spans="1:10" x14ac:dyDescent="0.25">
      <c r="A970" s="36"/>
      <c r="B970" t="s">
        <v>451</v>
      </c>
      <c r="C970" s="64">
        <v>41744</v>
      </c>
      <c r="D970">
        <v>193.91</v>
      </c>
      <c r="E970">
        <v>100.89196018771595</v>
      </c>
      <c r="F970" t="s">
        <v>427</v>
      </c>
      <c r="G970" s="64">
        <v>41744</v>
      </c>
      <c r="H970">
        <v>316.08</v>
      </c>
      <c r="I970">
        <v>100.62541128828144</v>
      </c>
      <c r="J970">
        <v>100.62541128828144</v>
      </c>
    </row>
    <row r="971" spans="1:10" x14ac:dyDescent="0.25">
      <c r="A971" s="36"/>
      <c r="B971" t="s">
        <v>451</v>
      </c>
      <c r="C971" s="64">
        <v>41745</v>
      </c>
      <c r="D971">
        <v>199.11</v>
      </c>
      <c r="E971">
        <v>100.89478177891618</v>
      </c>
      <c r="F971" t="s">
        <v>427</v>
      </c>
      <c r="G971" s="64">
        <v>41745</v>
      </c>
      <c r="H971">
        <v>323.68</v>
      </c>
      <c r="I971">
        <v>100.634206623826</v>
      </c>
      <c r="J971">
        <v>100.634206623826</v>
      </c>
    </row>
    <row r="972" spans="1:10" x14ac:dyDescent="0.25">
      <c r="A972" s="36"/>
      <c r="B972" t="s">
        <v>451</v>
      </c>
      <c r="C972" s="64">
        <v>41746</v>
      </c>
      <c r="D972">
        <v>198.12</v>
      </c>
      <c r="E972">
        <v>100.89425600646074</v>
      </c>
      <c r="F972" t="s">
        <v>427</v>
      </c>
      <c r="G972" s="64">
        <v>41746</v>
      </c>
      <c r="H972">
        <v>324.91000000000003</v>
      </c>
      <c r="I972">
        <v>100.63559139454003</v>
      </c>
      <c r="J972">
        <v>100.63559139454003</v>
      </c>
    </row>
    <row r="973" spans="1:10" x14ac:dyDescent="0.25">
      <c r="A973" s="36"/>
      <c r="B973" t="s">
        <v>451</v>
      </c>
      <c r="C973" s="64">
        <v>41750</v>
      </c>
      <c r="D973">
        <v>204.38</v>
      </c>
      <c r="E973">
        <v>100.89749486251101</v>
      </c>
      <c r="F973" t="s">
        <v>427</v>
      </c>
      <c r="G973" s="64">
        <v>41750</v>
      </c>
      <c r="H973">
        <v>330.87</v>
      </c>
      <c r="I973">
        <v>100.64215552936199</v>
      </c>
      <c r="J973">
        <v>100.64215552936199</v>
      </c>
    </row>
    <row r="974" spans="1:10" x14ac:dyDescent="0.25">
      <c r="A974" s="36"/>
      <c r="B974" t="s">
        <v>451</v>
      </c>
      <c r="C974" s="64">
        <v>41751</v>
      </c>
      <c r="D974">
        <v>218.64</v>
      </c>
      <c r="E974">
        <v>100.90418038785218</v>
      </c>
      <c r="F974" t="s">
        <v>427</v>
      </c>
      <c r="G974" s="64">
        <v>41751</v>
      </c>
      <c r="H974">
        <v>329.32</v>
      </c>
      <c r="I974">
        <v>100.64047127414065</v>
      </c>
      <c r="J974">
        <v>100.64047127414065</v>
      </c>
    </row>
    <row r="975" spans="1:10" x14ac:dyDescent="0.25">
      <c r="A975" s="36"/>
      <c r="B975" t="s">
        <v>451</v>
      </c>
      <c r="C975" s="64">
        <v>41752</v>
      </c>
      <c r="D975">
        <v>207.99</v>
      </c>
      <c r="E975">
        <v>100.89927400355786</v>
      </c>
      <c r="F975" t="s">
        <v>427</v>
      </c>
      <c r="G975" s="64">
        <v>41752</v>
      </c>
      <c r="H975">
        <v>324.58</v>
      </c>
      <c r="I975">
        <v>100.6352209008565</v>
      </c>
      <c r="J975">
        <v>100.6352209008565</v>
      </c>
    </row>
    <row r="976" spans="1:10" x14ac:dyDescent="0.25">
      <c r="A976" s="36"/>
      <c r="B976" t="s">
        <v>451</v>
      </c>
      <c r="C976" s="64">
        <v>41753</v>
      </c>
      <c r="D976">
        <v>207.86</v>
      </c>
      <c r="E976">
        <v>100.89921100740884</v>
      </c>
      <c r="F976" t="s">
        <v>427</v>
      </c>
      <c r="G976" s="64">
        <v>41753</v>
      </c>
      <c r="H976">
        <v>337.15</v>
      </c>
      <c r="I976">
        <v>100.6488209995551</v>
      </c>
      <c r="J976">
        <v>100.6488209995551</v>
      </c>
    </row>
    <row r="977" spans="1:10" x14ac:dyDescent="0.25">
      <c r="A977" s="36"/>
      <c r="B977" t="s">
        <v>451</v>
      </c>
      <c r="C977" s="64">
        <v>41754</v>
      </c>
      <c r="D977">
        <v>199.85</v>
      </c>
      <c r="E977">
        <v>100.8951713785339</v>
      </c>
      <c r="F977" t="s">
        <v>427</v>
      </c>
      <c r="G977" s="64">
        <v>41754</v>
      </c>
      <c r="H977">
        <v>303.83</v>
      </c>
      <c r="I977">
        <v>100.61030839614259</v>
      </c>
      <c r="J977">
        <v>100.61030839614259</v>
      </c>
    </row>
    <row r="978" spans="1:10" x14ac:dyDescent="0.25">
      <c r="A978" s="36"/>
      <c r="B978" t="s">
        <v>451</v>
      </c>
      <c r="C978" s="64">
        <v>41757</v>
      </c>
      <c r="D978">
        <v>198.51</v>
      </c>
      <c r="E978">
        <v>100.89446375497457</v>
      </c>
      <c r="F978" t="s">
        <v>427</v>
      </c>
      <c r="G978" s="64">
        <v>41757</v>
      </c>
      <c r="H978">
        <v>296.58</v>
      </c>
      <c r="I978">
        <v>100.60078225099467</v>
      </c>
      <c r="J978">
        <v>100.60078225099467</v>
      </c>
    </row>
    <row r="979" spans="1:10" x14ac:dyDescent="0.25">
      <c r="A979" s="36"/>
      <c r="B979" t="s">
        <v>451</v>
      </c>
      <c r="C979" s="64">
        <v>41758</v>
      </c>
      <c r="D979">
        <v>206.92</v>
      </c>
      <c r="E979">
        <v>100.89875314131065</v>
      </c>
      <c r="F979" t="s">
        <v>427</v>
      </c>
      <c r="G979" s="64">
        <v>41758</v>
      </c>
      <c r="H979">
        <v>300.38</v>
      </c>
      <c r="I979">
        <v>100.60583261202477</v>
      </c>
      <c r="J979">
        <v>100.60583261202477</v>
      </c>
    </row>
    <row r="980" spans="1:10" x14ac:dyDescent="0.25">
      <c r="A980" s="36"/>
      <c r="B980" t="s">
        <v>451</v>
      </c>
      <c r="C980" s="64">
        <v>41759</v>
      </c>
      <c r="D980">
        <v>207.89</v>
      </c>
      <c r="E980">
        <v>100.8992255519746</v>
      </c>
      <c r="F980" t="s">
        <v>427</v>
      </c>
      <c r="G980" s="64">
        <v>41759</v>
      </c>
      <c r="H980">
        <v>304.13</v>
      </c>
      <c r="I980">
        <v>100.61069279584389</v>
      </c>
      <c r="J980">
        <v>100.61069279584389</v>
      </c>
    </row>
    <row r="981" spans="1:10" x14ac:dyDescent="0.25">
      <c r="A981" s="36"/>
      <c r="B981" t="s">
        <v>451</v>
      </c>
      <c r="C981" s="64">
        <v>41760</v>
      </c>
      <c r="D981">
        <v>207.73</v>
      </c>
      <c r="E981">
        <v>100.89914793241226</v>
      </c>
      <c r="F981" t="s">
        <v>427</v>
      </c>
      <c r="G981" s="64">
        <v>41760</v>
      </c>
      <c r="H981">
        <v>307.89</v>
      </c>
      <c r="I981">
        <v>100.61544707525415</v>
      </c>
      <c r="J981">
        <v>100.61544707525415</v>
      </c>
    </row>
    <row r="982" spans="1:10" x14ac:dyDescent="0.25">
      <c r="A982" s="36"/>
      <c r="B982" t="s">
        <v>451</v>
      </c>
      <c r="C982" s="64">
        <v>41761</v>
      </c>
      <c r="D982">
        <v>210.91</v>
      </c>
      <c r="E982">
        <v>100.90066853160116</v>
      </c>
      <c r="F982" t="s">
        <v>427</v>
      </c>
      <c r="G982" s="64">
        <v>41761</v>
      </c>
      <c r="H982">
        <v>308.01</v>
      </c>
      <c r="I982">
        <v>100.61559689620466</v>
      </c>
      <c r="J982">
        <v>100.61559689620466</v>
      </c>
    </row>
    <row r="983" spans="1:10" x14ac:dyDescent="0.25">
      <c r="A983" s="36"/>
      <c r="B983" t="s">
        <v>451</v>
      </c>
      <c r="C983" s="64">
        <v>41764</v>
      </c>
      <c r="D983">
        <v>216.61</v>
      </c>
      <c r="E983">
        <v>100.90328239693459</v>
      </c>
      <c r="F983" t="s">
        <v>427</v>
      </c>
      <c r="G983" s="64">
        <v>41764</v>
      </c>
      <c r="H983">
        <v>310.05</v>
      </c>
      <c r="I983">
        <v>100.61812610869215</v>
      </c>
      <c r="J983">
        <v>100.61812610869215</v>
      </c>
    </row>
    <row r="984" spans="1:10" x14ac:dyDescent="0.25">
      <c r="A984" s="36"/>
      <c r="B984" t="s">
        <v>451</v>
      </c>
      <c r="C984" s="64">
        <v>41765</v>
      </c>
      <c r="D984">
        <v>207.28</v>
      </c>
      <c r="E984">
        <v>100.8989289849479</v>
      </c>
      <c r="F984" t="s">
        <v>427</v>
      </c>
      <c r="G984" s="64">
        <v>41765</v>
      </c>
      <c r="H984">
        <v>297.38</v>
      </c>
      <c r="I984">
        <v>100.60185621090861</v>
      </c>
      <c r="J984">
        <v>100.60185621090861</v>
      </c>
    </row>
    <row r="985" spans="1:10" x14ac:dyDescent="0.25">
      <c r="A985" s="36"/>
      <c r="B985" t="s">
        <v>451</v>
      </c>
      <c r="C985" s="64">
        <v>41766</v>
      </c>
      <c r="D985">
        <v>201.35</v>
      </c>
      <c r="E985">
        <v>100.89595232182766</v>
      </c>
      <c r="F985" t="s">
        <v>427</v>
      </c>
      <c r="G985" s="64">
        <v>41766</v>
      </c>
      <c r="H985">
        <v>292.70999999999998</v>
      </c>
      <c r="I985">
        <v>100.59550408253904</v>
      </c>
      <c r="J985">
        <v>100.59550408253904</v>
      </c>
    </row>
    <row r="986" spans="1:10" x14ac:dyDescent="0.25">
      <c r="A986" s="36"/>
      <c r="B986" t="s">
        <v>451</v>
      </c>
      <c r="C986" s="64">
        <v>41767</v>
      </c>
      <c r="D986">
        <v>178.59</v>
      </c>
      <c r="E986">
        <v>100.88269220001119</v>
      </c>
      <c r="F986" t="s">
        <v>427</v>
      </c>
      <c r="G986" s="64">
        <v>41767</v>
      </c>
      <c r="H986">
        <v>288.32</v>
      </c>
      <c r="I986">
        <v>100.58934517203107</v>
      </c>
      <c r="J986">
        <v>100.58934517203107</v>
      </c>
    </row>
    <row r="987" spans="1:10" x14ac:dyDescent="0.25">
      <c r="A987" s="36"/>
      <c r="B987" t="s">
        <v>451</v>
      </c>
      <c r="C987" s="64">
        <v>41768</v>
      </c>
      <c r="D987">
        <v>182.26</v>
      </c>
      <c r="E987">
        <v>100.88505431800725</v>
      </c>
      <c r="F987" t="s">
        <v>427</v>
      </c>
      <c r="G987" s="64">
        <v>41768</v>
      </c>
      <c r="H987">
        <v>292.24</v>
      </c>
      <c r="I987">
        <v>100.59485354503148</v>
      </c>
      <c r="J987">
        <v>100.59485354503148</v>
      </c>
    </row>
    <row r="988" spans="1:10" x14ac:dyDescent="0.25">
      <c r="A988" s="36"/>
      <c r="B988" t="s">
        <v>451</v>
      </c>
      <c r="C988" s="64">
        <v>41771</v>
      </c>
      <c r="D988">
        <v>184.67</v>
      </c>
      <c r="E988">
        <v>100.88655439432502</v>
      </c>
      <c r="F988" t="s">
        <v>427</v>
      </c>
      <c r="G988" s="64">
        <v>41771</v>
      </c>
      <c r="H988">
        <v>302.86</v>
      </c>
      <c r="I988">
        <v>100.60906029188403</v>
      </c>
      <c r="J988">
        <v>100.60906029188403</v>
      </c>
    </row>
    <row r="989" spans="1:10" x14ac:dyDescent="0.25">
      <c r="A989" s="36"/>
      <c r="B989" t="s">
        <v>451</v>
      </c>
      <c r="C989" s="64">
        <v>41772</v>
      </c>
      <c r="D989">
        <v>190.16</v>
      </c>
      <c r="E989">
        <v>100.88982961716449</v>
      </c>
      <c r="F989" t="s">
        <v>427</v>
      </c>
      <c r="G989" s="64">
        <v>41772</v>
      </c>
      <c r="H989">
        <v>304.64</v>
      </c>
      <c r="I989">
        <v>100.61134453781513</v>
      </c>
      <c r="J989">
        <v>100.61134453781513</v>
      </c>
    </row>
    <row r="990" spans="1:10" x14ac:dyDescent="0.25">
      <c r="A990" s="36"/>
      <c r="B990" t="s">
        <v>451</v>
      </c>
      <c r="C990" s="64">
        <v>41773</v>
      </c>
      <c r="D990">
        <v>190.62</v>
      </c>
      <c r="E990">
        <v>100.89009547791417</v>
      </c>
      <c r="F990" t="s">
        <v>427</v>
      </c>
      <c r="G990" s="64">
        <v>41773</v>
      </c>
      <c r="H990">
        <v>297.62</v>
      </c>
      <c r="I990">
        <v>100.60217727303272</v>
      </c>
      <c r="J990">
        <v>100.60217727303272</v>
      </c>
    </row>
    <row r="991" spans="1:10" x14ac:dyDescent="0.25">
      <c r="A991" s="36"/>
      <c r="B991" t="s">
        <v>451</v>
      </c>
      <c r="C991" s="64">
        <v>41774</v>
      </c>
      <c r="D991">
        <v>188.59</v>
      </c>
      <c r="E991">
        <v>100.88891245559149</v>
      </c>
      <c r="F991" t="s">
        <v>427</v>
      </c>
      <c r="G991" s="64">
        <v>41774</v>
      </c>
      <c r="H991">
        <v>295.19</v>
      </c>
      <c r="I991">
        <v>100.59890240184288</v>
      </c>
      <c r="J991">
        <v>100.59890240184288</v>
      </c>
    </row>
    <row r="992" spans="1:10" x14ac:dyDescent="0.25">
      <c r="A992" s="36"/>
      <c r="B992" t="s">
        <v>451</v>
      </c>
      <c r="C992" s="64">
        <v>41775</v>
      </c>
      <c r="D992">
        <v>191.56</v>
      </c>
      <c r="E992">
        <v>100.89063478805596</v>
      </c>
      <c r="F992" t="s">
        <v>427</v>
      </c>
      <c r="G992" s="64">
        <v>41775</v>
      </c>
      <c r="H992">
        <v>297.7</v>
      </c>
      <c r="I992">
        <v>100.6022841787034</v>
      </c>
      <c r="J992">
        <v>100.6022841787034</v>
      </c>
    </row>
    <row r="993" spans="1:10" x14ac:dyDescent="0.25">
      <c r="A993" s="36"/>
      <c r="B993" t="s">
        <v>451</v>
      </c>
      <c r="C993" s="64">
        <v>41778</v>
      </c>
      <c r="D993">
        <v>196.09</v>
      </c>
      <c r="E993">
        <v>100.8931613034831</v>
      </c>
      <c r="F993" t="s">
        <v>427</v>
      </c>
      <c r="G993" s="64">
        <v>41778</v>
      </c>
      <c r="H993">
        <v>296.755</v>
      </c>
      <c r="I993">
        <v>100.60101767451265</v>
      </c>
      <c r="J993">
        <v>100.60101767451265</v>
      </c>
    </row>
    <row r="994" spans="1:10" x14ac:dyDescent="0.25">
      <c r="A994" s="36"/>
      <c r="B994" t="s">
        <v>451</v>
      </c>
      <c r="C994" s="64">
        <v>41779</v>
      </c>
      <c r="D994">
        <v>195.3</v>
      </c>
      <c r="E994">
        <v>100.89272913466462</v>
      </c>
      <c r="F994" t="s">
        <v>427</v>
      </c>
      <c r="G994" s="64">
        <v>41779</v>
      </c>
      <c r="H994">
        <v>301.19</v>
      </c>
      <c r="I994">
        <v>100.60689265911883</v>
      </c>
      <c r="J994">
        <v>100.60689265911883</v>
      </c>
    </row>
    <row r="995" spans="1:10" x14ac:dyDescent="0.25">
      <c r="A995" s="36"/>
      <c r="B995" t="s">
        <v>451</v>
      </c>
      <c r="C995" s="64">
        <v>41780</v>
      </c>
      <c r="D995">
        <v>199.45</v>
      </c>
      <c r="E995">
        <v>100.89496114314365</v>
      </c>
      <c r="F995" t="s">
        <v>427</v>
      </c>
      <c r="G995" s="64">
        <v>41780</v>
      </c>
      <c r="H995">
        <v>305.01</v>
      </c>
      <c r="I995">
        <v>100.61181600603258</v>
      </c>
      <c r="J995">
        <v>100.61181600603258</v>
      </c>
    </row>
    <row r="996" spans="1:10" x14ac:dyDescent="0.25">
      <c r="A996" s="36"/>
      <c r="B996" t="s">
        <v>451</v>
      </c>
      <c r="C996" s="64">
        <v>41781</v>
      </c>
      <c r="D996">
        <v>204.88</v>
      </c>
      <c r="E996">
        <v>100.89774502147598</v>
      </c>
      <c r="F996" t="s">
        <v>427</v>
      </c>
      <c r="G996" s="64">
        <v>41781</v>
      </c>
      <c r="H996">
        <v>304.91000000000003</v>
      </c>
      <c r="I996">
        <v>100.61168869502477</v>
      </c>
      <c r="J996">
        <v>100.61168869502477</v>
      </c>
    </row>
    <row r="997" spans="1:10" x14ac:dyDescent="0.25">
      <c r="A997" s="36"/>
      <c r="B997" t="s">
        <v>451</v>
      </c>
      <c r="C997" s="64">
        <v>41782</v>
      </c>
      <c r="D997">
        <v>207.3</v>
      </c>
      <c r="E997">
        <v>100.89893873613121</v>
      </c>
      <c r="F997" t="s">
        <v>427</v>
      </c>
      <c r="G997" s="64">
        <v>41782</v>
      </c>
      <c r="H997">
        <v>312.24</v>
      </c>
      <c r="I997">
        <v>100.62080450935179</v>
      </c>
      <c r="J997">
        <v>100.62080450935179</v>
      </c>
    </row>
    <row r="998" spans="1:10" x14ac:dyDescent="0.25">
      <c r="A998" s="36"/>
      <c r="B998" t="s">
        <v>451</v>
      </c>
      <c r="C998" s="64">
        <v>41786</v>
      </c>
      <c r="D998">
        <v>211.56</v>
      </c>
      <c r="E998">
        <v>100.90097371903951</v>
      </c>
      <c r="F998" t="s">
        <v>427</v>
      </c>
      <c r="G998" s="64">
        <v>41786</v>
      </c>
      <c r="H998">
        <v>310.82</v>
      </c>
      <c r="I998">
        <v>100.61907213178046</v>
      </c>
      <c r="J998">
        <v>100.61907213178046</v>
      </c>
    </row>
    <row r="999" spans="1:10" x14ac:dyDescent="0.25">
      <c r="A999" s="36"/>
      <c r="B999" t="s">
        <v>451</v>
      </c>
      <c r="C999" s="64">
        <v>41787</v>
      </c>
      <c r="D999">
        <v>210.24</v>
      </c>
      <c r="E999">
        <v>100.90035197869102</v>
      </c>
      <c r="F999" t="s">
        <v>427</v>
      </c>
      <c r="G999" s="64">
        <v>41787</v>
      </c>
      <c r="H999">
        <v>310.16000000000003</v>
      </c>
      <c r="I999">
        <v>100.61826154242971</v>
      </c>
      <c r="J999">
        <v>100.61826154242971</v>
      </c>
    </row>
    <row r="1000" spans="1:10" x14ac:dyDescent="0.25">
      <c r="A1000" s="36"/>
      <c r="B1000" t="s">
        <v>451</v>
      </c>
      <c r="C1000" s="64">
        <v>41788</v>
      </c>
      <c r="D1000">
        <v>210.24</v>
      </c>
      <c r="E1000">
        <v>100.90035197869102</v>
      </c>
      <c r="F1000" t="s">
        <v>427</v>
      </c>
      <c r="G1000" s="64">
        <v>41788</v>
      </c>
      <c r="H1000">
        <v>313.77999999999997</v>
      </c>
      <c r="I1000">
        <v>100.62266556185862</v>
      </c>
      <c r="J1000">
        <v>100.62266556185862</v>
      </c>
    </row>
    <row r="1001" spans="1:10" x14ac:dyDescent="0.25">
      <c r="A1001" s="36"/>
      <c r="B1001" t="s">
        <v>451</v>
      </c>
      <c r="C1001" s="64">
        <v>41789</v>
      </c>
      <c r="D1001">
        <v>207.77</v>
      </c>
      <c r="E1001">
        <v>100.89916734851037</v>
      </c>
      <c r="F1001" t="s">
        <v>427</v>
      </c>
      <c r="G1001" s="64">
        <v>41789</v>
      </c>
      <c r="H1001">
        <v>312.55</v>
      </c>
      <c r="I1001">
        <v>100.62118061110222</v>
      </c>
      <c r="J1001">
        <v>100.62118061110222</v>
      </c>
    </row>
    <row r="1002" spans="1:10" x14ac:dyDescent="0.25">
      <c r="A1002" s="36"/>
      <c r="B1002" t="s">
        <v>451</v>
      </c>
      <c r="C1002" s="64">
        <v>41792</v>
      </c>
      <c r="D1002">
        <v>204.7</v>
      </c>
      <c r="E1002">
        <v>100.89765510503176</v>
      </c>
      <c r="F1002" t="s">
        <v>427</v>
      </c>
      <c r="G1002" s="64">
        <v>41792</v>
      </c>
      <c r="H1002">
        <v>308.83999999999997</v>
      </c>
      <c r="I1002">
        <v>100.61662997021111</v>
      </c>
      <c r="J1002">
        <v>100.61662997021111</v>
      </c>
    </row>
    <row r="1003" spans="1:10" x14ac:dyDescent="0.25">
      <c r="A1003" s="36"/>
      <c r="B1003" t="s">
        <v>451</v>
      </c>
      <c r="C1003" s="64">
        <v>41793</v>
      </c>
      <c r="D1003">
        <v>204.94</v>
      </c>
      <c r="E1003">
        <v>100.89777495852445</v>
      </c>
      <c r="F1003" t="s">
        <v>427</v>
      </c>
      <c r="G1003" s="64">
        <v>41793</v>
      </c>
      <c r="H1003">
        <v>307.19</v>
      </c>
      <c r="I1003">
        <v>100.61457078680947</v>
      </c>
      <c r="J1003">
        <v>100.61457078680947</v>
      </c>
    </row>
    <row r="1004" spans="1:10" x14ac:dyDescent="0.25">
      <c r="A1004" s="36"/>
      <c r="B1004" t="s">
        <v>451</v>
      </c>
      <c r="C1004" s="64">
        <v>41794</v>
      </c>
      <c r="D1004">
        <v>203.99</v>
      </c>
      <c r="E1004">
        <v>100.89729888720035</v>
      </c>
      <c r="F1004" t="s">
        <v>427</v>
      </c>
      <c r="G1004" s="64">
        <v>41794</v>
      </c>
      <c r="H1004">
        <v>306.77999999999997</v>
      </c>
      <c r="I1004">
        <v>100.6140556750766</v>
      </c>
      <c r="J1004">
        <v>100.6140556750766</v>
      </c>
    </row>
    <row r="1005" spans="1:10" x14ac:dyDescent="0.25">
      <c r="A1005" s="36"/>
      <c r="B1005" t="s">
        <v>451</v>
      </c>
      <c r="C1005" s="64">
        <v>41795</v>
      </c>
      <c r="D1005">
        <v>206.9</v>
      </c>
      <c r="E1005">
        <v>100.89874335427743</v>
      </c>
      <c r="F1005" t="s">
        <v>427</v>
      </c>
      <c r="G1005" s="64">
        <v>41795</v>
      </c>
      <c r="H1005">
        <v>323.57</v>
      </c>
      <c r="I1005">
        <v>100.6340822696789</v>
      </c>
      <c r="J1005">
        <v>100.6340822696789</v>
      </c>
    </row>
    <row r="1006" spans="1:10" x14ac:dyDescent="0.25">
      <c r="A1006" s="36"/>
      <c r="B1006" t="s">
        <v>451</v>
      </c>
      <c r="C1006" s="64">
        <v>41796</v>
      </c>
      <c r="D1006">
        <v>208.17099999999999</v>
      </c>
      <c r="E1006">
        <v>100.89936158254513</v>
      </c>
      <c r="F1006" t="s">
        <v>427</v>
      </c>
      <c r="G1006" s="64">
        <v>41796</v>
      </c>
      <c r="H1006">
        <v>329.67</v>
      </c>
      <c r="I1006">
        <v>100.6408529741863</v>
      </c>
      <c r="J1006">
        <v>100.6408529741863</v>
      </c>
    </row>
    <row r="1007" spans="1:10" x14ac:dyDescent="0.25">
      <c r="A1007" s="36"/>
      <c r="B1007" t="s">
        <v>451</v>
      </c>
      <c r="C1007" s="64">
        <v>41799</v>
      </c>
      <c r="D1007">
        <v>205.31</v>
      </c>
      <c r="E1007">
        <v>100.89795918367346</v>
      </c>
      <c r="F1007" t="s">
        <v>427</v>
      </c>
      <c r="G1007" s="64">
        <v>41799</v>
      </c>
      <c r="H1007">
        <v>327.5</v>
      </c>
      <c r="I1007">
        <v>100.63847328244275</v>
      </c>
      <c r="J1007">
        <v>100.63847328244275</v>
      </c>
    </row>
    <row r="1008" spans="1:10" x14ac:dyDescent="0.25">
      <c r="A1008" s="36"/>
      <c r="B1008" t="s">
        <v>451</v>
      </c>
      <c r="C1008" s="64">
        <v>41800</v>
      </c>
      <c r="D1008">
        <v>202.3</v>
      </c>
      <c r="E1008">
        <v>100.8964409293129</v>
      </c>
      <c r="F1008" t="s">
        <v>427</v>
      </c>
      <c r="G1008" s="64">
        <v>41800</v>
      </c>
      <c r="H1008">
        <v>332.41</v>
      </c>
      <c r="I1008">
        <v>100.64381336301555</v>
      </c>
      <c r="J1008">
        <v>100.64381336301555</v>
      </c>
    </row>
    <row r="1009" spans="1:10" x14ac:dyDescent="0.25">
      <c r="A1009" s="36"/>
      <c r="B1009" t="s">
        <v>451</v>
      </c>
      <c r="C1009" s="64">
        <v>41801</v>
      </c>
      <c r="D1009">
        <v>204.47</v>
      </c>
      <c r="E1009">
        <v>100.89753998141536</v>
      </c>
      <c r="F1009" t="s">
        <v>427</v>
      </c>
      <c r="G1009" s="64">
        <v>41801</v>
      </c>
      <c r="H1009">
        <v>335.2</v>
      </c>
      <c r="I1009">
        <v>100.64677804295943</v>
      </c>
      <c r="J1009">
        <v>100.64677804295943</v>
      </c>
    </row>
    <row r="1010" spans="1:10" x14ac:dyDescent="0.25">
      <c r="A1010" s="36"/>
      <c r="B1010" t="s">
        <v>451</v>
      </c>
      <c r="C1010" s="64">
        <v>41802</v>
      </c>
      <c r="D1010">
        <v>203.52</v>
      </c>
      <c r="E1010">
        <v>100.89706171383648</v>
      </c>
      <c r="F1010" t="s">
        <v>427</v>
      </c>
      <c r="G1010" s="64">
        <v>41802</v>
      </c>
      <c r="H1010">
        <v>325.91000000000003</v>
      </c>
      <c r="I1010">
        <v>100.63670952103341</v>
      </c>
      <c r="J1010">
        <v>100.63670952103341</v>
      </c>
    </row>
    <row r="1011" spans="1:10" x14ac:dyDescent="0.25">
      <c r="A1011" s="36"/>
      <c r="B1011" t="s">
        <v>451</v>
      </c>
      <c r="C1011" s="64">
        <v>41803</v>
      </c>
      <c r="D1011">
        <v>206.42</v>
      </c>
      <c r="E1011">
        <v>100.89850789652165</v>
      </c>
      <c r="F1011" t="s">
        <v>427</v>
      </c>
      <c r="G1011" s="64">
        <v>41803</v>
      </c>
      <c r="H1011">
        <v>326.27</v>
      </c>
      <c r="I1011">
        <v>100.63711036871302</v>
      </c>
      <c r="J1011">
        <v>100.63711036871302</v>
      </c>
    </row>
    <row r="1012" spans="1:10" x14ac:dyDescent="0.25">
      <c r="A1012" s="36"/>
      <c r="B1012" t="s">
        <v>451</v>
      </c>
      <c r="C1012" s="64">
        <v>41806</v>
      </c>
      <c r="D1012">
        <v>224.61</v>
      </c>
      <c r="E1012">
        <v>100.9067272160634</v>
      </c>
      <c r="F1012" t="s">
        <v>427</v>
      </c>
      <c r="G1012" s="64">
        <v>41806</v>
      </c>
      <c r="H1012">
        <v>327.62</v>
      </c>
      <c r="I1012">
        <v>100.63860570172761</v>
      </c>
      <c r="J1012">
        <v>100.63860570172761</v>
      </c>
    </row>
    <row r="1013" spans="1:10" x14ac:dyDescent="0.25">
      <c r="A1013" s="36"/>
      <c r="B1013" t="s">
        <v>451</v>
      </c>
      <c r="C1013" s="64">
        <v>41807</v>
      </c>
      <c r="D1013">
        <v>231.67</v>
      </c>
      <c r="E1013">
        <v>100.90956964647991</v>
      </c>
      <c r="F1013" t="s">
        <v>427</v>
      </c>
      <c r="G1013" s="64">
        <v>41807</v>
      </c>
      <c r="H1013">
        <v>325.62</v>
      </c>
      <c r="I1013">
        <v>100.63638597137768</v>
      </c>
      <c r="J1013">
        <v>100.63638597137768</v>
      </c>
    </row>
    <row r="1014" spans="1:10" x14ac:dyDescent="0.25">
      <c r="A1014" s="36"/>
      <c r="B1014" t="s">
        <v>451</v>
      </c>
      <c r="C1014" s="64">
        <v>41808</v>
      </c>
      <c r="D1014">
        <v>227.12</v>
      </c>
      <c r="E1014">
        <v>100.90775801338499</v>
      </c>
      <c r="F1014" t="s">
        <v>427</v>
      </c>
      <c r="G1014" s="64">
        <v>41808</v>
      </c>
      <c r="H1014">
        <v>334.38</v>
      </c>
      <c r="I1014">
        <v>100.64591183683234</v>
      </c>
      <c r="J1014">
        <v>100.64591183683234</v>
      </c>
    </row>
    <row r="1015" spans="1:10" x14ac:dyDescent="0.25">
      <c r="A1015" s="36"/>
      <c r="B1015" t="s">
        <v>451</v>
      </c>
      <c r="C1015" s="64">
        <v>41809</v>
      </c>
      <c r="D1015">
        <v>227.79</v>
      </c>
      <c r="E1015">
        <v>100.90802932525571</v>
      </c>
      <c r="F1015" t="s">
        <v>427</v>
      </c>
      <c r="G1015" s="64">
        <v>41809</v>
      </c>
      <c r="H1015">
        <v>327</v>
      </c>
      <c r="I1015">
        <v>100.63792048929663</v>
      </c>
      <c r="J1015">
        <v>100.63792048929663</v>
      </c>
    </row>
    <row r="1016" spans="1:10" x14ac:dyDescent="0.25">
      <c r="A1016" s="36"/>
      <c r="B1016" t="s">
        <v>451</v>
      </c>
      <c r="C1016" s="64">
        <v>41810</v>
      </c>
      <c r="D1016">
        <v>229.59</v>
      </c>
      <c r="E1016">
        <v>100.90875038111416</v>
      </c>
      <c r="F1016" t="s">
        <v>427</v>
      </c>
      <c r="G1016" s="64">
        <v>41810</v>
      </c>
      <c r="H1016">
        <v>324.2</v>
      </c>
      <c r="I1016">
        <v>100.63479333744603</v>
      </c>
      <c r="J1016">
        <v>100.63479333744603</v>
      </c>
    </row>
    <row r="1017" spans="1:10" x14ac:dyDescent="0.25">
      <c r="A1017" s="36"/>
      <c r="B1017" t="s">
        <v>451</v>
      </c>
      <c r="C1017" s="64">
        <v>41813</v>
      </c>
      <c r="D1017">
        <v>237.22</v>
      </c>
      <c r="E1017">
        <v>100.91168535536633</v>
      </c>
      <c r="F1017" t="s">
        <v>427</v>
      </c>
      <c r="G1017" s="64">
        <v>41813</v>
      </c>
      <c r="H1017">
        <v>327.24</v>
      </c>
      <c r="I1017">
        <v>100.6381860408263</v>
      </c>
      <c r="J1017">
        <v>100.6381860408263</v>
      </c>
    </row>
    <row r="1018" spans="1:10" x14ac:dyDescent="0.25">
      <c r="A1018" s="36"/>
      <c r="B1018" t="s">
        <v>451</v>
      </c>
      <c r="C1018" s="64">
        <v>41814</v>
      </c>
      <c r="D1018">
        <v>232.5</v>
      </c>
      <c r="E1018">
        <v>100.90989247311828</v>
      </c>
      <c r="F1018" t="s">
        <v>427</v>
      </c>
      <c r="G1018" s="64">
        <v>41814</v>
      </c>
      <c r="H1018">
        <v>324.16000000000003</v>
      </c>
      <c r="I1018">
        <v>100.63474827245804</v>
      </c>
      <c r="J1018">
        <v>100.63474827245804</v>
      </c>
    </row>
    <row r="1019" spans="1:10" x14ac:dyDescent="0.25">
      <c r="A1019" s="36"/>
      <c r="B1019" t="s">
        <v>451</v>
      </c>
      <c r="C1019" s="64">
        <v>41815</v>
      </c>
      <c r="D1019">
        <v>236.89099999999999</v>
      </c>
      <c r="E1019">
        <v>100.91156270183333</v>
      </c>
      <c r="F1019" t="s">
        <v>427</v>
      </c>
      <c r="G1019" s="64">
        <v>41815</v>
      </c>
      <c r="H1019">
        <v>327.44</v>
      </c>
      <c r="I1019">
        <v>100.63840703640362</v>
      </c>
      <c r="J1019">
        <v>100.63840703640362</v>
      </c>
    </row>
    <row r="1020" spans="1:10" x14ac:dyDescent="0.25">
      <c r="A1020" s="36"/>
      <c r="B1020" t="s">
        <v>451</v>
      </c>
      <c r="C1020" s="64">
        <v>41816</v>
      </c>
      <c r="D1020">
        <v>235.6</v>
      </c>
      <c r="E1020">
        <v>100.91107809847199</v>
      </c>
      <c r="F1020" t="s">
        <v>427</v>
      </c>
      <c r="G1020" s="64">
        <v>41816</v>
      </c>
      <c r="H1020">
        <v>325.69</v>
      </c>
      <c r="I1020">
        <v>100.63646412232491</v>
      </c>
      <c r="J1020">
        <v>100.63646412232491</v>
      </c>
    </row>
    <row r="1021" spans="1:10" x14ac:dyDescent="0.25">
      <c r="A1021" s="36"/>
      <c r="B1021" t="s">
        <v>451</v>
      </c>
      <c r="C1021" s="64">
        <v>41817</v>
      </c>
      <c r="D1021">
        <v>239.06</v>
      </c>
      <c r="E1021">
        <v>100.91236509662846</v>
      </c>
      <c r="F1021" t="s">
        <v>427</v>
      </c>
      <c r="G1021" s="64">
        <v>41817</v>
      </c>
      <c r="H1021">
        <v>324.57</v>
      </c>
      <c r="I1021">
        <v>100.63520966201436</v>
      </c>
      <c r="J1021">
        <v>100.63520966201436</v>
      </c>
    </row>
    <row r="1022" spans="1:10" x14ac:dyDescent="0.25">
      <c r="A1022" s="36"/>
      <c r="B1022" t="s">
        <v>451</v>
      </c>
      <c r="C1022" s="64">
        <v>41820</v>
      </c>
      <c r="D1022">
        <v>240.06</v>
      </c>
      <c r="E1022">
        <v>100.91273015079564</v>
      </c>
      <c r="F1022" t="s">
        <v>427</v>
      </c>
      <c r="G1022" s="64">
        <v>41820</v>
      </c>
      <c r="H1022">
        <v>324.77999999999997</v>
      </c>
      <c r="I1022">
        <v>100.63544553236036</v>
      </c>
      <c r="J1022">
        <v>100.63544553236036</v>
      </c>
    </row>
    <row r="1023" spans="1:10" x14ac:dyDescent="0.25">
      <c r="A1023" s="36"/>
      <c r="B1023" t="s">
        <v>451</v>
      </c>
      <c r="C1023" s="64">
        <v>41821</v>
      </c>
      <c r="D1023">
        <v>239.72</v>
      </c>
      <c r="E1023">
        <v>100.91260637410312</v>
      </c>
      <c r="F1023" t="s">
        <v>427</v>
      </c>
      <c r="G1023" s="64">
        <v>41821</v>
      </c>
      <c r="H1023">
        <v>332.39</v>
      </c>
      <c r="I1023">
        <v>100.6437919311652</v>
      </c>
      <c r="J1023">
        <v>100.6437919311652</v>
      </c>
    </row>
    <row r="1024" spans="1:10" x14ac:dyDescent="0.25">
      <c r="A1024" s="36"/>
      <c r="B1024" t="s">
        <v>451</v>
      </c>
      <c r="C1024" s="64">
        <v>41822</v>
      </c>
      <c r="D1024">
        <v>229.42500000000001</v>
      </c>
      <c r="E1024">
        <v>100.90868475536668</v>
      </c>
      <c r="F1024" t="s">
        <v>427</v>
      </c>
      <c r="G1024" s="64">
        <v>41822</v>
      </c>
      <c r="H1024">
        <v>332.85</v>
      </c>
      <c r="I1024">
        <v>100.64428421210755</v>
      </c>
      <c r="J1024">
        <v>100.64428421210755</v>
      </c>
    </row>
    <row r="1025" spans="1:10" x14ac:dyDescent="0.25">
      <c r="A1025" s="36"/>
      <c r="B1025" t="s">
        <v>451</v>
      </c>
      <c r="C1025" s="64">
        <v>41823</v>
      </c>
      <c r="D1025">
        <v>229.25</v>
      </c>
      <c r="E1025">
        <v>100.90861504907306</v>
      </c>
      <c r="F1025" t="s">
        <v>427</v>
      </c>
      <c r="G1025" s="64">
        <v>41823</v>
      </c>
      <c r="H1025">
        <v>337.49200000000002</v>
      </c>
      <c r="I1025">
        <v>100.64917686937764</v>
      </c>
      <c r="J1025">
        <v>100.64917686937764</v>
      </c>
    </row>
    <row r="1026" spans="1:10" x14ac:dyDescent="0.25">
      <c r="A1026" s="36"/>
      <c r="B1026" t="s">
        <v>451</v>
      </c>
      <c r="C1026" s="64">
        <v>41827</v>
      </c>
      <c r="D1026">
        <v>222.66</v>
      </c>
      <c r="E1026">
        <v>100.9059103565975</v>
      </c>
      <c r="F1026" t="s">
        <v>427</v>
      </c>
      <c r="G1026" s="64">
        <v>41827</v>
      </c>
      <c r="H1026">
        <v>333.55</v>
      </c>
      <c r="I1026">
        <v>100.64503073002548</v>
      </c>
      <c r="J1026">
        <v>100.64503073002548</v>
      </c>
    </row>
    <row r="1027" spans="1:10" x14ac:dyDescent="0.25">
      <c r="A1027" s="36"/>
      <c r="B1027" t="s">
        <v>451</v>
      </c>
      <c r="C1027" s="64">
        <v>41828</v>
      </c>
      <c r="D1027">
        <v>219.07</v>
      </c>
      <c r="E1027">
        <v>100.90436846670013</v>
      </c>
      <c r="F1027" t="s">
        <v>427</v>
      </c>
      <c r="G1027" s="64">
        <v>41828</v>
      </c>
      <c r="H1027">
        <v>323.81</v>
      </c>
      <c r="I1027">
        <v>100.63435347889194</v>
      </c>
      <c r="J1027">
        <v>100.63435347889194</v>
      </c>
    </row>
    <row r="1028" spans="1:10" x14ac:dyDescent="0.25">
      <c r="A1028" s="36"/>
      <c r="B1028" t="s">
        <v>451</v>
      </c>
      <c r="C1028" s="64">
        <v>41829</v>
      </c>
      <c r="D1028">
        <v>223.06</v>
      </c>
      <c r="E1028">
        <v>100.90607908186138</v>
      </c>
      <c r="F1028" t="s">
        <v>427</v>
      </c>
      <c r="G1028" s="64">
        <v>41829</v>
      </c>
      <c r="H1028">
        <v>329.97</v>
      </c>
      <c r="I1028">
        <v>100.64117950116677</v>
      </c>
      <c r="J1028">
        <v>100.64117950116677</v>
      </c>
    </row>
    <row r="1029" spans="1:10" x14ac:dyDescent="0.25">
      <c r="A1029" s="36"/>
      <c r="B1029" t="s">
        <v>451</v>
      </c>
      <c r="C1029" s="64">
        <v>41830</v>
      </c>
      <c r="D1029">
        <v>219.46</v>
      </c>
      <c r="E1029">
        <v>100.90453841246696</v>
      </c>
      <c r="F1029" t="s">
        <v>427</v>
      </c>
      <c r="G1029" s="64">
        <v>41830</v>
      </c>
      <c r="H1029">
        <v>327.92</v>
      </c>
      <c r="I1029">
        <v>100.63893632593316</v>
      </c>
      <c r="J1029">
        <v>100.63893632593316</v>
      </c>
    </row>
    <row r="1030" spans="1:10" x14ac:dyDescent="0.25">
      <c r="A1030" s="36"/>
      <c r="B1030" t="s">
        <v>451</v>
      </c>
      <c r="C1030" s="64">
        <v>41831</v>
      </c>
      <c r="D1030">
        <v>218.13</v>
      </c>
      <c r="E1030">
        <v>100.90395635630129</v>
      </c>
      <c r="F1030" t="s">
        <v>427</v>
      </c>
      <c r="G1030" s="64">
        <v>41831</v>
      </c>
      <c r="H1030">
        <v>346.2</v>
      </c>
      <c r="I1030">
        <v>100.65800115540151</v>
      </c>
      <c r="J1030">
        <v>100.65800115540151</v>
      </c>
    </row>
    <row r="1031" spans="1:10" x14ac:dyDescent="0.25">
      <c r="A1031" s="36"/>
      <c r="B1031" t="s">
        <v>451</v>
      </c>
      <c r="C1031" s="64">
        <v>41834</v>
      </c>
      <c r="D1031">
        <v>226.7</v>
      </c>
      <c r="E1031">
        <v>100.90758711954125</v>
      </c>
      <c r="F1031" t="s">
        <v>427</v>
      </c>
      <c r="G1031" s="64">
        <v>41834</v>
      </c>
      <c r="H1031">
        <v>355.32</v>
      </c>
      <c r="I1031">
        <v>100.66677924124733</v>
      </c>
      <c r="J1031">
        <v>100.66677924124733</v>
      </c>
    </row>
    <row r="1032" spans="1:10" x14ac:dyDescent="0.25">
      <c r="A1032" s="36"/>
      <c r="B1032" t="s">
        <v>451</v>
      </c>
      <c r="C1032" s="64">
        <v>41835</v>
      </c>
      <c r="D1032">
        <v>219.58</v>
      </c>
      <c r="E1032">
        <v>100.90459058202022</v>
      </c>
      <c r="F1032" t="s">
        <v>427</v>
      </c>
      <c r="G1032" s="64">
        <v>41835</v>
      </c>
      <c r="H1032">
        <v>354.44</v>
      </c>
      <c r="I1032">
        <v>100.66595192416206</v>
      </c>
      <c r="J1032">
        <v>100.66595192416206</v>
      </c>
    </row>
    <row r="1033" spans="1:10" x14ac:dyDescent="0.25">
      <c r="A1033" s="36"/>
      <c r="B1033" t="s">
        <v>451</v>
      </c>
      <c r="C1033" s="64">
        <v>41836</v>
      </c>
      <c r="D1033">
        <v>217.16</v>
      </c>
      <c r="E1033">
        <v>100.9035273531037</v>
      </c>
      <c r="F1033" t="s">
        <v>427</v>
      </c>
      <c r="G1033" s="64">
        <v>41836</v>
      </c>
      <c r="H1033">
        <v>355.9</v>
      </c>
      <c r="I1033">
        <v>100.66732228153975</v>
      </c>
      <c r="J1033">
        <v>100.66732228153975</v>
      </c>
    </row>
    <row r="1034" spans="1:10" x14ac:dyDescent="0.25">
      <c r="A1034" s="36"/>
      <c r="B1034" t="s">
        <v>451</v>
      </c>
      <c r="C1034" s="64">
        <v>41837</v>
      </c>
      <c r="D1034">
        <v>215.4</v>
      </c>
      <c r="E1034">
        <v>100.902739090065</v>
      </c>
      <c r="F1034" t="s">
        <v>427</v>
      </c>
      <c r="G1034" s="64">
        <v>41837</v>
      </c>
      <c r="H1034">
        <v>352.45400000000001</v>
      </c>
      <c r="I1034">
        <v>100.66406963745624</v>
      </c>
      <c r="J1034">
        <v>100.66406963745624</v>
      </c>
    </row>
    <row r="1035" spans="1:10" x14ac:dyDescent="0.25">
      <c r="A1035" s="36"/>
      <c r="B1035" t="s">
        <v>451</v>
      </c>
      <c r="C1035" s="64">
        <v>41838</v>
      </c>
      <c r="D1035">
        <v>220.02</v>
      </c>
      <c r="E1035">
        <v>100.9047813835106</v>
      </c>
      <c r="F1035" t="s">
        <v>427</v>
      </c>
      <c r="G1035" s="64">
        <v>41838</v>
      </c>
      <c r="H1035">
        <v>358.66</v>
      </c>
      <c r="I1035">
        <v>100.66988233982045</v>
      </c>
      <c r="J1035">
        <v>100.66988233982045</v>
      </c>
    </row>
    <row r="1036" spans="1:10" x14ac:dyDescent="0.25">
      <c r="A1036" s="36"/>
      <c r="B1036" t="s">
        <v>451</v>
      </c>
      <c r="C1036" s="64">
        <v>41841</v>
      </c>
      <c r="D1036">
        <v>220.54</v>
      </c>
      <c r="E1036">
        <v>100.90500589462229</v>
      </c>
      <c r="F1036" t="s">
        <v>427</v>
      </c>
      <c r="G1036" s="64">
        <v>41841</v>
      </c>
      <c r="H1036">
        <v>359.76</v>
      </c>
      <c r="I1036">
        <v>100.6708917055815</v>
      </c>
      <c r="J1036">
        <v>100.6708917055815</v>
      </c>
    </row>
    <row r="1037" spans="1:10" x14ac:dyDescent="0.25">
      <c r="A1037" s="36"/>
      <c r="B1037" t="s">
        <v>451</v>
      </c>
      <c r="C1037" s="64">
        <v>41842</v>
      </c>
      <c r="D1037">
        <v>219.58</v>
      </c>
      <c r="E1037">
        <v>100.90459058202022</v>
      </c>
      <c r="F1037" t="s">
        <v>427</v>
      </c>
      <c r="G1037" s="64">
        <v>41842</v>
      </c>
      <c r="H1037">
        <v>360.84</v>
      </c>
      <c r="I1037">
        <v>100.67187673206962</v>
      </c>
      <c r="J1037">
        <v>100.67187673206962</v>
      </c>
    </row>
    <row r="1038" spans="1:10" x14ac:dyDescent="0.25">
      <c r="A1038" s="36"/>
      <c r="B1038" t="s">
        <v>451</v>
      </c>
      <c r="C1038" s="64">
        <v>41843</v>
      </c>
      <c r="D1038">
        <v>222.49</v>
      </c>
      <c r="E1038">
        <v>100.9058384646501</v>
      </c>
      <c r="F1038" t="s">
        <v>427</v>
      </c>
      <c r="G1038" s="64">
        <v>41843</v>
      </c>
      <c r="H1038">
        <v>358.14</v>
      </c>
      <c r="I1038">
        <v>100.66940302674932</v>
      </c>
      <c r="J1038">
        <v>100.66940302674932</v>
      </c>
    </row>
    <row r="1039" spans="1:10" x14ac:dyDescent="0.25">
      <c r="A1039" s="36"/>
      <c r="B1039" t="s">
        <v>451</v>
      </c>
      <c r="C1039" s="64">
        <v>41844</v>
      </c>
      <c r="D1039">
        <v>223.54</v>
      </c>
      <c r="E1039">
        <v>100.90628075512213</v>
      </c>
      <c r="F1039" t="s">
        <v>427</v>
      </c>
      <c r="G1039" s="64">
        <v>41844</v>
      </c>
      <c r="H1039">
        <v>358.61</v>
      </c>
      <c r="I1039">
        <v>100.66983631242854</v>
      </c>
      <c r="J1039">
        <v>100.66983631242854</v>
      </c>
    </row>
    <row r="1040" spans="1:10" x14ac:dyDescent="0.25">
      <c r="A1040" s="36"/>
      <c r="B1040" t="s">
        <v>451</v>
      </c>
      <c r="C1040" s="64">
        <v>41845</v>
      </c>
      <c r="D1040">
        <v>223.57</v>
      </c>
      <c r="E1040">
        <v>100.9062933309478</v>
      </c>
      <c r="F1040" t="s">
        <v>427</v>
      </c>
      <c r="G1040" s="64">
        <v>41845</v>
      </c>
      <c r="H1040">
        <v>324.01</v>
      </c>
      <c r="I1040">
        <v>100.63457917965495</v>
      </c>
      <c r="J1040">
        <v>100.63457917965495</v>
      </c>
    </row>
    <row r="1041" spans="1:10" x14ac:dyDescent="0.25">
      <c r="A1041" s="36"/>
      <c r="B1041" t="s">
        <v>451</v>
      </c>
      <c r="C1041" s="64">
        <v>41848</v>
      </c>
      <c r="D1041">
        <v>224.82</v>
      </c>
      <c r="E1041">
        <v>100.90681434036118</v>
      </c>
      <c r="F1041" t="s">
        <v>427</v>
      </c>
      <c r="G1041" s="64">
        <v>41848</v>
      </c>
      <c r="H1041">
        <v>320.41000000000003</v>
      </c>
      <c r="I1041">
        <v>100.63047345588465</v>
      </c>
      <c r="J1041">
        <v>100.63047345588465</v>
      </c>
    </row>
    <row r="1042" spans="1:10" x14ac:dyDescent="0.25">
      <c r="A1042" s="36"/>
      <c r="B1042" t="s">
        <v>451</v>
      </c>
      <c r="C1042" s="64">
        <v>41849</v>
      </c>
      <c r="D1042">
        <v>225.01</v>
      </c>
      <c r="E1042">
        <v>100.90689302697658</v>
      </c>
      <c r="F1042" t="s">
        <v>427</v>
      </c>
      <c r="G1042" s="64">
        <v>41849</v>
      </c>
      <c r="H1042">
        <v>320</v>
      </c>
      <c r="I1042">
        <v>100.63</v>
      </c>
      <c r="J1042">
        <v>100.63</v>
      </c>
    </row>
    <row r="1043" spans="1:10" x14ac:dyDescent="0.25">
      <c r="A1043" s="36"/>
      <c r="B1043" t="s">
        <v>451</v>
      </c>
      <c r="C1043" s="64">
        <v>41850</v>
      </c>
      <c r="D1043">
        <v>228.92</v>
      </c>
      <c r="E1043">
        <v>100.90848331294775</v>
      </c>
      <c r="F1043" t="s">
        <v>427</v>
      </c>
      <c r="G1043" s="64">
        <v>41850</v>
      </c>
      <c r="H1043">
        <v>322.51</v>
      </c>
      <c r="I1043">
        <v>100.63287960063253</v>
      </c>
      <c r="J1043">
        <v>100.63287960063253</v>
      </c>
    </row>
    <row r="1044" spans="1:10" x14ac:dyDescent="0.25">
      <c r="A1044" s="36"/>
      <c r="B1044" t="s">
        <v>451</v>
      </c>
      <c r="C1044" s="64">
        <v>41851</v>
      </c>
      <c r="D1044">
        <v>223.3</v>
      </c>
      <c r="E1044">
        <v>100.90618002686968</v>
      </c>
      <c r="F1044" t="s">
        <v>427</v>
      </c>
      <c r="G1044" s="64">
        <v>41851</v>
      </c>
      <c r="H1044">
        <v>312.99</v>
      </c>
      <c r="I1044">
        <v>100.62171315377488</v>
      </c>
      <c r="J1044">
        <v>100.62171315377488</v>
      </c>
    </row>
    <row r="1045" spans="1:10" x14ac:dyDescent="0.25">
      <c r="A1045" s="36"/>
      <c r="B1045" t="s">
        <v>451</v>
      </c>
      <c r="C1045" s="64">
        <v>41852</v>
      </c>
      <c r="D1045">
        <v>233.27</v>
      </c>
      <c r="E1045">
        <v>100.9101899086895</v>
      </c>
      <c r="F1045" t="s">
        <v>427</v>
      </c>
      <c r="G1045" s="64">
        <v>41852</v>
      </c>
      <c r="H1045">
        <v>307.06</v>
      </c>
      <c r="I1045">
        <v>100.61440760763368</v>
      </c>
      <c r="J1045">
        <v>100.61440760763368</v>
      </c>
    </row>
    <row r="1046" spans="1:10" x14ac:dyDescent="0.25">
      <c r="A1046" s="36"/>
      <c r="B1046" t="s">
        <v>451</v>
      </c>
      <c r="C1046" s="64">
        <v>41855</v>
      </c>
      <c r="D1046">
        <v>238.52</v>
      </c>
      <c r="E1046">
        <v>100.9121666946168</v>
      </c>
      <c r="F1046" t="s">
        <v>427</v>
      </c>
      <c r="G1046" s="64">
        <v>41855</v>
      </c>
      <c r="H1046">
        <v>313.64999999999998</v>
      </c>
      <c r="I1046">
        <v>100.62250916626813</v>
      </c>
      <c r="J1046">
        <v>100.62250916626813</v>
      </c>
    </row>
    <row r="1047" spans="1:10" x14ac:dyDescent="0.25">
      <c r="A1047" s="36"/>
      <c r="B1047" t="s">
        <v>451</v>
      </c>
      <c r="C1047" s="64">
        <v>41856</v>
      </c>
      <c r="D1047">
        <v>238.49</v>
      </c>
      <c r="E1047">
        <v>100.91215564593904</v>
      </c>
      <c r="F1047" t="s">
        <v>427</v>
      </c>
      <c r="G1047" s="64">
        <v>41856</v>
      </c>
      <c r="H1047">
        <v>312.32</v>
      </c>
      <c r="I1047">
        <v>100.62090163934427</v>
      </c>
      <c r="J1047">
        <v>100.62090163934427</v>
      </c>
    </row>
    <row r="1048" spans="1:10" x14ac:dyDescent="0.25">
      <c r="A1048" s="36"/>
      <c r="B1048" t="s">
        <v>451</v>
      </c>
      <c r="C1048" s="64">
        <v>41857</v>
      </c>
      <c r="D1048">
        <v>248.93</v>
      </c>
      <c r="E1048">
        <v>100.91583979431969</v>
      </c>
      <c r="F1048" t="s">
        <v>427</v>
      </c>
      <c r="G1048" s="64">
        <v>41857</v>
      </c>
      <c r="H1048">
        <v>313.89</v>
      </c>
      <c r="I1048">
        <v>100.62279779540603</v>
      </c>
      <c r="J1048">
        <v>100.62279779540603</v>
      </c>
    </row>
    <row r="1049" spans="1:10" x14ac:dyDescent="0.25">
      <c r="A1049" s="36"/>
      <c r="B1049" t="s">
        <v>451</v>
      </c>
      <c r="C1049" s="64">
        <v>41858</v>
      </c>
      <c r="D1049">
        <v>252.39</v>
      </c>
      <c r="E1049">
        <v>100.91699354174095</v>
      </c>
      <c r="F1049" t="s">
        <v>427</v>
      </c>
      <c r="G1049" s="64">
        <v>41858</v>
      </c>
      <c r="H1049">
        <v>311.45</v>
      </c>
      <c r="I1049">
        <v>100.61984267137582</v>
      </c>
      <c r="J1049">
        <v>100.61984267137582</v>
      </c>
    </row>
    <row r="1050" spans="1:10" x14ac:dyDescent="0.25">
      <c r="A1050" s="36"/>
      <c r="B1050" t="s">
        <v>451</v>
      </c>
      <c r="C1050" s="64">
        <v>41859</v>
      </c>
      <c r="D1050">
        <v>248.13</v>
      </c>
      <c r="E1050">
        <v>100.91556845202112</v>
      </c>
      <c r="F1050" t="s">
        <v>427</v>
      </c>
      <c r="G1050" s="64">
        <v>41859</v>
      </c>
      <c r="H1050">
        <v>316.8</v>
      </c>
      <c r="I1050">
        <v>100.62626262626263</v>
      </c>
      <c r="J1050">
        <v>100.62626262626263</v>
      </c>
    </row>
    <row r="1051" spans="1:10" x14ac:dyDescent="0.25">
      <c r="A1051" s="36"/>
      <c r="B1051" t="s">
        <v>451</v>
      </c>
      <c r="C1051" s="64">
        <v>41862</v>
      </c>
      <c r="D1051">
        <v>259.32</v>
      </c>
      <c r="E1051">
        <v>100.9192117846676</v>
      </c>
      <c r="F1051" t="s">
        <v>427</v>
      </c>
      <c r="G1051" s="64">
        <v>41862</v>
      </c>
      <c r="H1051">
        <v>318.33</v>
      </c>
      <c r="I1051">
        <v>100.62805893255427</v>
      </c>
      <c r="J1051">
        <v>100.62805893255427</v>
      </c>
    </row>
    <row r="1052" spans="1:10" x14ac:dyDescent="0.25">
      <c r="A1052" s="36"/>
      <c r="B1052" t="s">
        <v>451</v>
      </c>
      <c r="C1052" s="64">
        <v>41863</v>
      </c>
      <c r="D1052">
        <v>259.95999999999998</v>
      </c>
      <c r="E1052">
        <v>100.91941067856594</v>
      </c>
      <c r="F1052" t="s">
        <v>427</v>
      </c>
      <c r="G1052" s="64">
        <v>41863</v>
      </c>
      <c r="H1052">
        <v>319.32</v>
      </c>
      <c r="I1052">
        <v>100.62921207566077</v>
      </c>
      <c r="J1052">
        <v>100.62921207566077</v>
      </c>
    </row>
    <row r="1053" spans="1:10" x14ac:dyDescent="0.25">
      <c r="A1053" s="36"/>
      <c r="B1053" t="s">
        <v>451</v>
      </c>
      <c r="C1053" s="64">
        <v>41864</v>
      </c>
      <c r="D1053">
        <v>260.31</v>
      </c>
      <c r="E1053">
        <v>100.91951903499674</v>
      </c>
      <c r="F1053" t="s">
        <v>427</v>
      </c>
      <c r="G1053" s="64">
        <v>41864</v>
      </c>
      <c r="H1053">
        <v>326.27999999999997</v>
      </c>
      <c r="I1053">
        <v>100.63712149074415</v>
      </c>
      <c r="J1053">
        <v>100.63712149074415</v>
      </c>
    </row>
    <row r="1054" spans="1:10" x14ac:dyDescent="0.25">
      <c r="A1054" s="36"/>
      <c r="B1054" t="s">
        <v>451</v>
      </c>
      <c r="C1054" s="64">
        <v>41865</v>
      </c>
      <c r="D1054">
        <v>261.38</v>
      </c>
      <c r="E1054">
        <v>100.91984849644196</v>
      </c>
      <c r="F1054" t="s">
        <v>427</v>
      </c>
      <c r="G1054" s="64">
        <v>41865</v>
      </c>
      <c r="H1054">
        <v>333.21</v>
      </c>
      <c r="I1054">
        <v>100.64466852735512</v>
      </c>
      <c r="J1054">
        <v>100.64466852735512</v>
      </c>
    </row>
    <row r="1055" spans="1:10" x14ac:dyDescent="0.25">
      <c r="A1055" s="36"/>
      <c r="B1055" t="s">
        <v>451</v>
      </c>
      <c r="C1055" s="64">
        <v>41866</v>
      </c>
      <c r="D1055">
        <v>262.01</v>
      </c>
      <c r="E1055">
        <v>100.92004121980077</v>
      </c>
      <c r="F1055" t="s">
        <v>427</v>
      </c>
      <c r="G1055" s="64">
        <v>41866</v>
      </c>
      <c r="H1055">
        <v>333.63</v>
      </c>
      <c r="I1055">
        <v>100.64511584689626</v>
      </c>
      <c r="J1055">
        <v>100.64511584689626</v>
      </c>
    </row>
    <row r="1056" spans="1:10" x14ac:dyDescent="0.25">
      <c r="A1056" s="36"/>
      <c r="B1056" t="s">
        <v>451</v>
      </c>
      <c r="C1056" s="64">
        <v>41869</v>
      </c>
      <c r="D1056">
        <v>259.94</v>
      </c>
      <c r="E1056">
        <v>100.91940447795645</v>
      </c>
      <c r="F1056" t="s">
        <v>427</v>
      </c>
      <c r="G1056" s="64">
        <v>41869</v>
      </c>
      <c r="H1056">
        <v>334.53</v>
      </c>
      <c r="I1056">
        <v>100.64607060652258</v>
      </c>
      <c r="J1056">
        <v>100.64607060652258</v>
      </c>
    </row>
    <row r="1057" spans="1:10" x14ac:dyDescent="0.25">
      <c r="A1057" s="36"/>
      <c r="B1057" t="s">
        <v>451</v>
      </c>
      <c r="C1057" s="64">
        <v>41870</v>
      </c>
      <c r="D1057">
        <v>256.76</v>
      </c>
      <c r="E1057">
        <v>100.91840629381524</v>
      </c>
      <c r="F1057" t="s">
        <v>427</v>
      </c>
      <c r="G1057" s="64">
        <v>41870</v>
      </c>
      <c r="H1057">
        <v>335.13</v>
      </c>
      <c r="I1057">
        <v>100.64670426401695</v>
      </c>
      <c r="J1057">
        <v>100.64670426401695</v>
      </c>
    </row>
    <row r="1058" spans="1:10" x14ac:dyDescent="0.25">
      <c r="A1058" s="36"/>
      <c r="B1058" t="s">
        <v>451</v>
      </c>
      <c r="C1058" s="64">
        <v>41871</v>
      </c>
      <c r="D1058">
        <v>255.71</v>
      </c>
      <c r="E1058">
        <v>100.91807125259082</v>
      </c>
      <c r="F1058" t="s">
        <v>427</v>
      </c>
      <c r="G1058" s="64">
        <v>41871</v>
      </c>
      <c r="H1058">
        <v>335.78</v>
      </c>
      <c r="I1058">
        <v>100.64738817082613</v>
      </c>
      <c r="J1058">
        <v>100.64738817082613</v>
      </c>
    </row>
    <row r="1059" spans="1:10" x14ac:dyDescent="0.25">
      <c r="A1059" s="36"/>
      <c r="B1059" t="s">
        <v>451</v>
      </c>
      <c r="C1059" s="64">
        <v>41872</v>
      </c>
      <c r="D1059">
        <v>254.34</v>
      </c>
      <c r="E1059">
        <v>100.91762994416922</v>
      </c>
      <c r="F1059" t="s">
        <v>427</v>
      </c>
      <c r="G1059" s="64">
        <v>41872</v>
      </c>
      <c r="H1059">
        <v>332.91</v>
      </c>
      <c r="I1059">
        <v>100.64434832236941</v>
      </c>
      <c r="J1059">
        <v>100.64434832236941</v>
      </c>
    </row>
    <row r="1060" spans="1:10" x14ac:dyDescent="0.25">
      <c r="A1060" s="36"/>
      <c r="B1060" t="s">
        <v>451</v>
      </c>
      <c r="C1060" s="64">
        <v>41873</v>
      </c>
      <c r="D1060">
        <v>256.77999999999997</v>
      </c>
      <c r="E1060">
        <v>100.9184126489602</v>
      </c>
      <c r="F1060" t="s">
        <v>427</v>
      </c>
      <c r="G1060" s="64">
        <v>41873</v>
      </c>
      <c r="H1060">
        <v>331.59</v>
      </c>
      <c r="I1060">
        <v>100.6429325371694</v>
      </c>
      <c r="J1060">
        <v>100.6429325371694</v>
      </c>
    </row>
    <row r="1061" spans="1:10" x14ac:dyDescent="0.25">
      <c r="A1061" s="36"/>
      <c r="B1061" t="s">
        <v>451</v>
      </c>
      <c r="C1061" s="64">
        <v>41876</v>
      </c>
      <c r="D1061">
        <v>262.55</v>
      </c>
      <c r="E1061">
        <v>100.9202056751095</v>
      </c>
      <c r="F1061" t="s">
        <v>427</v>
      </c>
      <c r="G1061" s="64">
        <v>41876</v>
      </c>
      <c r="H1061">
        <v>334.02</v>
      </c>
      <c r="I1061">
        <v>100.64553020777198</v>
      </c>
      <c r="J1061">
        <v>100.64553020777198</v>
      </c>
    </row>
    <row r="1062" spans="1:10" x14ac:dyDescent="0.25">
      <c r="A1062" s="36"/>
      <c r="B1062" t="s">
        <v>451</v>
      </c>
      <c r="C1062" s="64">
        <v>41877</v>
      </c>
      <c r="D1062">
        <v>261.74</v>
      </c>
      <c r="E1062">
        <v>100.91995873767861</v>
      </c>
      <c r="F1062" t="s">
        <v>427</v>
      </c>
      <c r="G1062" s="64">
        <v>41877</v>
      </c>
      <c r="H1062">
        <v>341.83</v>
      </c>
      <c r="I1062">
        <v>100.65362899686978</v>
      </c>
      <c r="J1062">
        <v>100.65362899686978</v>
      </c>
    </row>
    <row r="1063" spans="1:10" x14ac:dyDescent="0.25">
      <c r="A1063" s="36"/>
      <c r="B1063" t="s">
        <v>451</v>
      </c>
      <c r="C1063" s="64">
        <v>41878</v>
      </c>
      <c r="D1063">
        <v>263.25</v>
      </c>
      <c r="E1063">
        <v>100.92041785375119</v>
      </c>
      <c r="F1063" t="s">
        <v>427</v>
      </c>
      <c r="G1063" s="64">
        <v>41878</v>
      </c>
      <c r="H1063">
        <v>343.18</v>
      </c>
      <c r="I1063">
        <v>100.6549915496241</v>
      </c>
      <c r="J1063">
        <v>100.6549915496241</v>
      </c>
    </row>
    <row r="1064" spans="1:10" x14ac:dyDescent="0.25">
      <c r="A1064" s="36"/>
      <c r="B1064" t="s">
        <v>451</v>
      </c>
      <c r="C1064" s="64">
        <v>41879</v>
      </c>
      <c r="D1064">
        <v>263.86</v>
      </c>
      <c r="E1064">
        <v>100.92060183430607</v>
      </c>
      <c r="F1064" t="s">
        <v>427</v>
      </c>
      <c r="G1064" s="64">
        <v>41879</v>
      </c>
      <c r="H1064">
        <v>340.02</v>
      </c>
      <c r="I1064">
        <v>100.65178518910652</v>
      </c>
      <c r="J1064">
        <v>100.65178518910652</v>
      </c>
    </row>
    <row r="1065" spans="1:10" x14ac:dyDescent="0.25">
      <c r="A1065" s="36"/>
      <c r="B1065" t="s">
        <v>451</v>
      </c>
      <c r="C1065" s="64">
        <v>41880</v>
      </c>
      <c r="D1065">
        <v>269.7</v>
      </c>
      <c r="E1065">
        <v>100.92232109751576</v>
      </c>
      <c r="F1065" t="s">
        <v>427</v>
      </c>
      <c r="G1065" s="64">
        <v>41880</v>
      </c>
      <c r="H1065">
        <v>339.04</v>
      </c>
      <c r="I1065">
        <v>100.65077866918358</v>
      </c>
      <c r="J1065">
        <v>100.65077866918358</v>
      </c>
    </row>
    <row r="1066" spans="1:10" x14ac:dyDescent="0.25">
      <c r="A1066" s="36"/>
      <c r="B1066" t="s">
        <v>451</v>
      </c>
      <c r="C1066" s="64">
        <v>41884</v>
      </c>
      <c r="D1066">
        <v>284.12</v>
      </c>
      <c r="E1066">
        <v>100.92626355061242</v>
      </c>
      <c r="F1066" t="s">
        <v>427</v>
      </c>
      <c r="G1066" s="64">
        <v>41884</v>
      </c>
      <c r="H1066">
        <v>342.38</v>
      </c>
      <c r="I1066">
        <v>100.65418540802617</v>
      </c>
      <c r="J1066">
        <v>100.65418540802617</v>
      </c>
    </row>
    <row r="1067" spans="1:10" x14ac:dyDescent="0.25">
      <c r="A1067" s="36"/>
      <c r="B1067" t="s">
        <v>451</v>
      </c>
      <c r="C1067" s="64">
        <v>41885</v>
      </c>
      <c r="D1067">
        <v>281.19</v>
      </c>
      <c r="E1067">
        <v>100.92549521675735</v>
      </c>
      <c r="F1067" t="s">
        <v>427</v>
      </c>
      <c r="G1067" s="64">
        <v>41885</v>
      </c>
      <c r="H1067">
        <v>339</v>
      </c>
      <c r="I1067">
        <v>100.65073746312684</v>
      </c>
      <c r="J1067">
        <v>100.65073746312684</v>
      </c>
    </row>
    <row r="1068" spans="1:10" x14ac:dyDescent="0.25">
      <c r="A1068" s="36"/>
      <c r="B1068" t="s">
        <v>451</v>
      </c>
      <c r="C1068" s="64">
        <v>41886</v>
      </c>
      <c r="D1068">
        <v>286.04000000000002</v>
      </c>
      <c r="E1068">
        <v>100.92675849531534</v>
      </c>
      <c r="F1068" t="s">
        <v>427</v>
      </c>
      <c r="G1068" s="64">
        <v>41886</v>
      </c>
      <c r="H1068">
        <v>345.95</v>
      </c>
      <c r="I1068">
        <v>100.65775401069519</v>
      </c>
      <c r="J1068">
        <v>100.65775401069519</v>
      </c>
    </row>
    <row r="1069" spans="1:10" x14ac:dyDescent="0.25">
      <c r="A1069" s="36"/>
      <c r="B1069" t="s">
        <v>451</v>
      </c>
      <c r="C1069" s="64">
        <v>41887</v>
      </c>
      <c r="D1069">
        <v>277.39</v>
      </c>
      <c r="E1069">
        <v>100.92447456649482</v>
      </c>
      <c r="F1069" t="s">
        <v>427</v>
      </c>
      <c r="G1069" s="64">
        <v>41887</v>
      </c>
      <c r="H1069">
        <v>346.38</v>
      </c>
      <c r="I1069">
        <v>100.65817887868815</v>
      </c>
      <c r="J1069">
        <v>100.65817887868815</v>
      </c>
    </row>
    <row r="1070" spans="1:10" x14ac:dyDescent="0.25">
      <c r="A1070" s="36"/>
      <c r="B1070" t="s">
        <v>451</v>
      </c>
      <c r="C1070" s="64">
        <v>41890</v>
      </c>
      <c r="D1070">
        <v>282.11</v>
      </c>
      <c r="E1070">
        <v>100.92573818723193</v>
      </c>
      <c r="F1070" t="s">
        <v>427</v>
      </c>
      <c r="G1070" s="64">
        <v>41890</v>
      </c>
      <c r="H1070">
        <v>342.34</v>
      </c>
      <c r="I1070">
        <v>100.65414500204476</v>
      </c>
      <c r="J1070">
        <v>100.65414500204476</v>
      </c>
    </row>
    <row r="1071" spans="1:10" x14ac:dyDescent="0.25">
      <c r="A1071" s="36"/>
      <c r="B1071" t="s">
        <v>451</v>
      </c>
      <c r="C1071" s="64">
        <v>41891</v>
      </c>
      <c r="D1071">
        <v>278.48</v>
      </c>
      <c r="E1071">
        <v>100.92477018098248</v>
      </c>
      <c r="F1071" t="s">
        <v>427</v>
      </c>
      <c r="G1071" s="64">
        <v>41891</v>
      </c>
      <c r="H1071">
        <v>329.75</v>
      </c>
      <c r="I1071">
        <v>100.64094010614102</v>
      </c>
      <c r="J1071">
        <v>100.64094010614102</v>
      </c>
    </row>
    <row r="1072" spans="1:10" x14ac:dyDescent="0.25">
      <c r="A1072" s="36"/>
      <c r="B1072" t="s">
        <v>451</v>
      </c>
      <c r="C1072" s="64">
        <v>41892</v>
      </c>
      <c r="D1072">
        <v>281.10000000000002</v>
      </c>
      <c r="E1072">
        <v>100.92547136250445</v>
      </c>
      <c r="F1072" t="s">
        <v>427</v>
      </c>
      <c r="G1072" s="64">
        <v>41892</v>
      </c>
      <c r="H1072">
        <v>331.33</v>
      </c>
      <c r="I1072">
        <v>100.64265234056681</v>
      </c>
      <c r="J1072">
        <v>100.64265234056681</v>
      </c>
    </row>
    <row r="1073" spans="1:10" x14ac:dyDescent="0.25">
      <c r="A1073" s="36"/>
      <c r="B1073" t="s">
        <v>451</v>
      </c>
      <c r="C1073" s="64">
        <v>41893</v>
      </c>
      <c r="D1073">
        <v>280.31</v>
      </c>
      <c r="E1073">
        <v>100.9252613178267</v>
      </c>
      <c r="F1073" t="s">
        <v>427</v>
      </c>
      <c r="G1073" s="64">
        <v>41893</v>
      </c>
      <c r="H1073">
        <v>330.52</v>
      </c>
      <c r="I1073">
        <v>100.64177659445721</v>
      </c>
      <c r="J1073">
        <v>100.64177659445721</v>
      </c>
    </row>
    <row r="1074" spans="1:10" x14ac:dyDescent="0.25">
      <c r="A1074" s="36"/>
      <c r="B1074" t="s">
        <v>451</v>
      </c>
      <c r="C1074" s="64">
        <v>41894</v>
      </c>
      <c r="D1074">
        <v>279.2</v>
      </c>
      <c r="E1074">
        <v>100.92496418338109</v>
      </c>
      <c r="F1074" t="s">
        <v>427</v>
      </c>
      <c r="G1074" s="64">
        <v>41894</v>
      </c>
      <c r="H1074">
        <v>331.19</v>
      </c>
      <c r="I1074">
        <v>100.64250128325131</v>
      </c>
      <c r="J1074">
        <v>100.64250128325131</v>
      </c>
    </row>
    <row r="1075" spans="1:10" x14ac:dyDescent="0.25">
      <c r="A1075" s="36"/>
      <c r="B1075" t="s">
        <v>451</v>
      </c>
      <c r="C1075" s="64">
        <v>41897</v>
      </c>
      <c r="D1075">
        <v>253.86</v>
      </c>
      <c r="E1075">
        <v>100.91747419837706</v>
      </c>
      <c r="F1075" t="s">
        <v>427</v>
      </c>
      <c r="G1075" s="64">
        <v>41897</v>
      </c>
      <c r="H1075">
        <v>323.89</v>
      </c>
      <c r="I1075">
        <v>100.63444379264565</v>
      </c>
      <c r="J1075">
        <v>100.63444379264565</v>
      </c>
    </row>
    <row r="1076" spans="1:10" x14ac:dyDescent="0.25">
      <c r="A1076" s="36"/>
      <c r="B1076" t="s">
        <v>451</v>
      </c>
      <c r="C1076" s="64">
        <v>41898</v>
      </c>
      <c r="D1076">
        <v>260.74</v>
      </c>
      <c r="E1076">
        <v>100.91965176037432</v>
      </c>
      <c r="F1076" t="s">
        <v>427</v>
      </c>
      <c r="G1076" s="64">
        <v>41898</v>
      </c>
      <c r="H1076">
        <v>327.76</v>
      </c>
      <c r="I1076">
        <v>100.63876006834269</v>
      </c>
      <c r="J1076">
        <v>100.63876006834269</v>
      </c>
    </row>
    <row r="1077" spans="1:10" x14ac:dyDescent="0.25">
      <c r="A1077" s="36"/>
      <c r="B1077" t="s">
        <v>451</v>
      </c>
      <c r="C1077" s="64">
        <v>41899</v>
      </c>
      <c r="D1077">
        <v>261.38</v>
      </c>
      <c r="E1077">
        <v>100.91984849644196</v>
      </c>
      <c r="F1077" t="s">
        <v>427</v>
      </c>
      <c r="G1077" s="64">
        <v>41899</v>
      </c>
      <c r="H1077">
        <v>324</v>
      </c>
      <c r="I1077">
        <v>100.63456790123456</v>
      </c>
      <c r="J1077">
        <v>100.63456790123456</v>
      </c>
    </row>
    <row r="1078" spans="1:10" x14ac:dyDescent="0.25">
      <c r="A1078" s="36"/>
      <c r="B1078" t="s">
        <v>451</v>
      </c>
      <c r="C1078" s="64">
        <v>41900</v>
      </c>
      <c r="D1078">
        <v>263.82</v>
      </c>
      <c r="E1078">
        <v>100.92058979607307</v>
      </c>
      <c r="F1078" t="s">
        <v>427</v>
      </c>
      <c r="G1078" s="64">
        <v>41900</v>
      </c>
      <c r="H1078">
        <v>325</v>
      </c>
      <c r="I1078">
        <v>100.63569230769231</v>
      </c>
      <c r="J1078">
        <v>100.63569230769231</v>
      </c>
    </row>
    <row r="1079" spans="1:10" x14ac:dyDescent="0.25">
      <c r="A1079" s="36"/>
      <c r="B1079" t="s">
        <v>451</v>
      </c>
      <c r="C1079" s="64">
        <v>41901</v>
      </c>
      <c r="D1079">
        <v>259.32</v>
      </c>
      <c r="E1079">
        <v>100.9192117846676</v>
      </c>
      <c r="F1079" t="s">
        <v>427</v>
      </c>
      <c r="G1079" s="64">
        <v>41901</v>
      </c>
      <c r="H1079">
        <v>331.32</v>
      </c>
      <c r="I1079">
        <v>100.64264155499215</v>
      </c>
      <c r="J1079">
        <v>100.64264155499215</v>
      </c>
    </row>
    <row r="1080" spans="1:10" x14ac:dyDescent="0.25">
      <c r="A1080" s="36"/>
      <c r="B1080" t="s">
        <v>451</v>
      </c>
      <c r="C1080" s="64">
        <v>41904</v>
      </c>
      <c r="D1080">
        <v>250.03</v>
      </c>
      <c r="E1080">
        <v>100.91621005479342</v>
      </c>
      <c r="F1080" t="s">
        <v>427</v>
      </c>
      <c r="G1080" s="64">
        <v>41904</v>
      </c>
      <c r="H1080">
        <v>324.5</v>
      </c>
      <c r="I1080">
        <v>100.63513097072419</v>
      </c>
      <c r="J1080">
        <v>100.63513097072419</v>
      </c>
    </row>
    <row r="1081" spans="1:10" x14ac:dyDescent="0.25">
      <c r="A1081" s="36"/>
      <c r="B1081" t="s">
        <v>451</v>
      </c>
      <c r="C1081" s="64">
        <v>41905</v>
      </c>
      <c r="D1081">
        <v>250.41</v>
      </c>
      <c r="E1081">
        <v>100.91633720698056</v>
      </c>
      <c r="F1081" t="s">
        <v>427</v>
      </c>
      <c r="G1081" s="64">
        <v>41905</v>
      </c>
      <c r="H1081">
        <v>323.63</v>
      </c>
      <c r="I1081">
        <v>100.63415010969317</v>
      </c>
      <c r="J1081">
        <v>100.63415010969317</v>
      </c>
    </row>
    <row r="1082" spans="1:10" x14ac:dyDescent="0.25">
      <c r="A1082" s="36"/>
      <c r="B1082" t="s">
        <v>451</v>
      </c>
      <c r="C1082" s="64">
        <v>41906</v>
      </c>
      <c r="D1082">
        <v>252.14</v>
      </c>
      <c r="E1082">
        <v>100.91691123978742</v>
      </c>
      <c r="F1082" t="s">
        <v>427</v>
      </c>
      <c r="G1082" s="64">
        <v>41906</v>
      </c>
      <c r="H1082">
        <v>328.21</v>
      </c>
      <c r="I1082">
        <v>100.63925535480332</v>
      </c>
      <c r="J1082">
        <v>100.63925535480332</v>
      </c>
    </row>
    <row r="1083" spans="1:10" x14ac:dyDescent="0.25">
      <c r="A1083" s="36"/>
      <c r="B1083" t="s">
        <v>451</v>
      </c>
      <c r="C1083" s="64">
        <v>41907</v>
      </c>
      <c r="D1083">
        <v>246.95</v>
      </c>
      <c r="E1083">
        <v>100.91516501316056</v>
      </c>
      <c r="F1083" t="s">
        <v>427</v>
      </c>
      <c r="G1083" s="64">
        <v>41907</v>
      </c>
      <c r="H1083">
        <v>321.93</v>
      </c>
      <c r="I1083">
        <v>100.63221818407729</v>
      </c>
      <c r="J1083">
        <v>100.63221818407729</v>
      </c>
    </row>
    <row r="1084" spans="1:10" x14ac:dyDescent="0.25">
      <c r="A1084" s="36"/>
      <c r="B1084" t="s">
        <v>451</v>
      </c>
      <c r="C1084" s="64">
        <v>41908</v>
      </c>
      <c r="D1084">
        <v>246.6</v>
      </c>
      <c r="E1084">
        <v>100.91504460665044</v>
      </c>
      <c r="F1084" t="s">
        <v>427</v>
      </c>
      <c r="G1084" s="64">
        <v>41908</v>
      </c>
      <c r="H1084">
        <v>323.20999999999998</v>
      </c>
      <c r="I1084">
        <v>100.63367470065901</v>
      </c>
      <c r="J1084">
        <v>100.63367470065901</v>
      </c>
    </row>
    <row r="1085" spans="1:10" x14ac:dyDescent="0.25">
      <c r="A1085" s="36"/>
      <c r="B1085" t="s">
        <v>451</v>
      </c>
      <c r="C1085" s="64">
        <v>41911</v>
      </c>
      <c r="D1085">
        <v>245.26</v>
      </c>
      <c r="E1085">
        <v>100.91458044524178</v>
      </c>
      <c r="F1085" t="s">
        <v>427</v>
      </c>
      <c r="G1085" s="64">
        <v>41911</v>
      </c>
      <c r="H1085">
        <v>321.82</v>
      </c>
      <c r="I1085">
        <v>100.63209247405382</v>
      </c>
      <c r="J1085">
        <v>100.63209247405382</v>
      </c>
    </row>
    <row r="1086" spans="1:10" x14ac:dyDescent="0.25">
      <c r="A1086" s="36"/>
      <c r="B1086" t="s">
        <v>451</v>
      </c>
      <c r="C1086" s="64">
        <v>41912</v>
      </c>
      <c r="D1086">
        <v>242.68</v>
      </c>
      <c r="E1086">
        <v>100.9136723256964</v>
      </c>
      <c r="F1086" t="s">
        <v>427</v>
      </c>
      <c r="G1086" s="64">
        <v>41912</v>
      </c>
      <c r="H1086">
        <v>322.44</v>
      </c>
      <c r="I1086">
        <v>100.63279990075672</v>
      </c>
      <c r="J1086">
        <v>100.63279990075672</v>
      </c>
    </row>
    <row r="1087" spans="1:10" x14ac:dyDescent="0.25">
      <c r="A1087" s="36"/>
      <c r="B1087" t="s">
        <v>451</v>
      </c>
      <c r="C1087" s="64">
        <v>41913</v>
      </c>
      <c r="D1087">
        <v>240.24</v>
      </c>
      <c r="E1087">
        <v>100.91279553779553</v>
      </c>
      <c r="F1087" t="s">
        <v>427</v>
      </c>
      <c r="G1087" s="64">
        <v>41913</v>
      </c>
      <c r="H1087">
        <v>317.45999999999998</v>
      </c>
      <c r="I1087">
        <v>100.62703962703962</v>
      </c>
      <c r="J1087">
        <v>100.62703962703962</v>
      </c>
    </row>
    <row r="1088" spans="1:10" x14ac:dyDescent="0.25">
      <c r="A1088" s="36"/>
      <c r="B1088" t="s">
        <v>451</v>
      </c>
      <c r="C1088" s="64">
        <v>41914</v>
      </c>
      <c r="D1088">
        <v>251.42</v>
      </c>
      <c r="E1088">
        <v>100.91667329568054</v>
      </c>
      <c r="F1088" t="s">
        <v>427</v>
      </c>
      <c r="G1088" s="64">
        <v>41914</v>
      </c>
      <c r="H1088">
        <v>318.41000000000003</v>
      </c>
      <c r="I1088">
        <v>100.6281523821488</v>
      </c>
      <c r="J1088">
        <v>100.6281523821488</v>
      </c>
    </row>
    <row r="1089" spans="1:10" x14ac:dyDescent="0.25">
      <c r="A1089" s="36"/>
      <c r="B1089" t="s">
        <v>451</v>
      </c>
      <c r="C1089" s="64">
        <v>41915</v>
      </c>
      <c r="D1089">
        <v>255.21</v>
      </c>
      <c r="E1089">
        <v>100.91791074017476</v>
      </c>
      <c r="F1089" t="s">
        <v>427</v>
      </c>
      <c r="G1089" s="64">
        <v>41915</v>
      </c>
      <c r="H1089">
        <v>322.74</v>
      </c>
      <c r="I1089">
        <v>100.63314122823326</v>
      </c>
      <c r="J1089">
        <v>100.63314122823326</v>
      </c>
    </row>
    <row r="1090" spans="1:10" x14ac:dyDescent="0.25">
      <c r="A1090" s="36"/>
      <c r="B1090" t="s">
        <v>451</v>
      </c>
      <c r="C1090" s="64">
        <v>41918</v>
      </c>
      <c r="D1090">
        <v>260.62</v>
      </c>
      <c r="E1090">
        <v>100.91961476479165</v>
      </c>
      <c r="F1090" t="s">
        <v>427</v>
      </c>
      <c r="G1090" s="64">
        <v>41918</v>
      </c>
      <c r="H1090">
        <v>322.2</v>
      </c>
      <c r="I1090">
        <v>100.63252638112974</v>
      </c>
      <c r="J1090">
        <v>100.63252638112974</v>
      </c>
    </row>
    <row r="1091" spans="1:10" x14ac:dyDescent="0.25">
      <c r="A1091" s="36"/>
      <c r="B1091" t="s">
        <v>451</v>
      </c>
      <c r="C1091" s="64">
        <v>41919</v>
      </c>
      <c r="D1091">
        <v>259.57</v>
      </c>
      <c r="E1091">
        <v>100.91928959432909</v>
      </c>
      <c r="F1091" t="s">
        <v>427</v>
      </c>
      <c r="G1091" s="64">
        <v>41919</v>
      </c>
      <c r="H1091">
        <v>316.98</v>
      </c>
      <c r="I1091">
        <v>100.62647485645782</v>
      </c>
      <c r="J1091">
        <v>100.62647485645782</v>
      </c>
    </row>
    <row r="1092" spans="1:10" x14ac:dyDescent="0.25">
      <c r="A1092" s="36"/>
      <c r="B1092" t="s">
        <v>451</v>
      </c>
      <c r="C1092" s="64">
        <v>41920</v>
      </c>
      <c r="D1092">
        <v>259.27999999999997</v>
      </c>
      <c r="E1092">
        <v>100.91919932119715</v>
      </c>
      <c r="F1092" t="s">
        <v>427</v>
      </c>
      <c r="G1092" s="64">
        <v>41920</v>
      </c>
      <c r="H1092">
        <v>322.7</v>
      </c>
      <c r="I1092">
        <v>100.6330957545708</v>
      </c>
      <c r="J1092">
        <v>100.6330957545708</v>
      </c>
    </row>
    <row r="1093" spans="1:10" x14ac:dyDescent="0.25">
      <c r="A1093" s="36"/>
      <c r="B1093" t="s">
        <v>451</v>
      </c>
      <c r="C1093" s="64">
        <v>41921</v>
      </c>
      <c r="D1093">
        <v>257.01</v>
      </c>
      <c r="E1093">
        <v>100.9184856620365</v>
      </c>
      <c r="F1093" t="s">
        <v>427</v>
      </c>
      <c r="G1093" s="64">
        <v>41921</v>
      </c>
      <c r="H1093">
        <v>315.37</v>
      </c>
      <c r="I1093">
        <v>100.62456796778388</v>
      </c>
      <c r="J1093">
        <v>100.62456796778388</v>
      </c>
    </row>
    <row r="1094" spans="1:10" x14ac:dyDescent="0.25">
      <c r="A1094" s="36"/>
      <c r="B1094" t="s">
        <v>451</v>
      </c>
      <c r="C1094" s="64">
        <v>41922</v>
      </c>
      <c r="D1094">
        <v>236.91</v>
      </c>
      <c r="E1094">
        <v>100.9115697944367</v>
      </c>
      <c r="F1094" t="s">
        <v>427</v>
      </c>
      <c r="G1094" s="64">
        <v>41922</v>
      </c>
      <c r="H1094">
        <v>311.39</v>
      </c>
      <c r="I1094">
        <v>100.61976942098333</v>
      </c>
      <c r="J1094">
        <v>100.61976942098333</v>
      </c>
    </row>
    <row r="1095" spans="1:10" x14ac:dyDescent="0.25">
      <c r="A1095" s="36"/>
      <c r="B1095" t="s">
        <v>451</v>
      </c>
      <c r="C1095" s="64">
        <v>41925</v>
      </c>
      <c r="D1095">
        <v>224.59</v>
      </c>
      <c r="E1095">
        <v>100.90671891001381</v>
      </c>
      <c r="F1095" t="s">
        <v>427</v>
      </c>
      <c r="G1095" s="64">
        <v>41925</v>
      </c>
      <c r="H1095">
        <v>306.45</v>
      </c>
      <c r="I1095">
        <v>100.61364007178985</v>
      </c>
      <c r="J1095">
        <v>100.61364007178985</v>
      </c>
    </row>
    <row r="1096" spans="1:10" x14ac:dyDescent="0.25">
      <c r="A1096" s="36"/>
      <c r="B1096" t="s">
        <v>451</v>
      </c>
      <c r="C1096" s="64">
        <v>41926</v>
      </c>
      <c r="D1096">
        <v>227.06</v>
      </c>
      <c r="E1096">
        <v>100.90773363868581</v>
      </c>
      <c r="F1096" t="s">
        <v>427</v>
      </c>
      <c r="G1096" s="64">
        <v>41926</v>
      </c>
      <c r="H1096">
        <v>308.31</v>
      </c>
      <c r="I1096">
        <v>100.61597093834128</v>
      </c>
      <c r="J1096">
        <v>100.61597093834128</v>
      </c>
    </row>
    <row r="1097" spans="1:10" x14ac:dyDescent="0.25">
      <c r="A1097" s="36"/>
      <c r="B1097" t="s">
        <v>451</v>
      </c>
      <c r="C1097" s="64">
        <v>41927</v>
      </c>
      <c r="D1097">
        <v>229.7</v>
      </c>
      <c r="E1097">
        <v>100.90879407923379</v>
      </c>
      <c r="F1097" t="s">
        <v>427</v>
      </c>
      <c r="G1097" s="64">
        <v>41927</v>
      </c>
      <c r="H1097">
        <v>305.97000000000003</v>
      </c>
      <c r="I1097">
        <v>100.61303395757754</v>
      </c>
      <c r="J1097">
        <v>100.61303395757754</v>
      </c>
    </row>
    <row r="1098" spans="1:10" x14ac:dyDescent="0.25">
      <c r="A1098" s="36"/>
      <c r="B1098" t="s">
        <v>451</v>
      </c>
      <c r="C1098" s="64">
        <v>41928</v>
      </c>
      <c r="D1098">
        <v>226.35</v>
      </c>
      <c r="E1098">
        <v>100.9074442235476</v>
      </c>
      <c r="F1098" t="s">
        <v>427</v>
      </c>
      <c r="G1098" s="64">
        <v>41928</v>
      </c>
      <c r="H1098">
        <v>302.86</v>
      </c>
      <c r="I1098">
        <v>100.60906029188403</v>
      </c>
      <c r="J1098">
        <v>100.60906029188403</v>
      </c>
    </row>
    <row r="1099" spans="1:10" x14ac:dyDescent="0.25">
      <c r="A1099" s="36"/>
      <c r="B1099" t="s">
        <v>451</v>
      </c>
      <c r="C1099" s="64">
        <v>41929</v>
      </c>
      <c r="D1099">
        <v>227.48</v>
      </c>
      <c r="E1099">
        <v>100.90790399155969</v>
      </c>
      <c r="F1099" t="s">
        <v>427</v>
      </c>
      <c r="G1099" s="64">
        <v>41929</v>
      </c>
      <c r="H1099">
        <v>303.64</v>
      </c>
      <c r="I1099">
        <v>100.61006455012514</v>
      </c>
      <c r="J1099">
        <v>100.61006455012514</v>
      </c>
    </row>
    <row r="1100" spans="1:10" x14ac:dyDescent="0.25">
      <c r="A1100" s="36"/>
      <c r="B1100" t="s">
        <v>451</v>
      </c>
      <c r="C1100" s="64">
        <v>41932</v>
      </c>
      <c r="D1100">
        <v>230.47</v>
      </c>
      <c r="E1100">
        <v>100.90909879810822</v>
      </c>
      <c r="F1100" t="s">
        <v>427</v>
      </c>
      <c r="G1100" s="64">
        <v>41932</v>
      </c>
      <c r="H1100">
        <v>306.20999999999998</v>
      </c>
      <c r="I1100">
        <v>100.61333725221253</v>
      </c>
      <c r="J1100">
        <v>100.61333725221253</v>
      </c>
    </row>
    <row r="1101" spans="1:10" x14ac:dyDescent="0.25">
      <c r="A1101" s="36"/>
      <c r="B1101" t="s">
        <v>451</v>
      </c>
      <c r="C1101" s="64">
        <v>41933</v>
      </c>
      <c r="D1101">
        <v>235.34</v>
      </c>
      <c r="E1101">
        <v>100.9109798589275</v>
      </c>
      <c r="F1101" t="s">
        <v>427</v>
      </c>
      <c r="G1101" s="64">
        <v>41933</v>
      </c>
      <c r="H1101">
        <v>315.33</v>
      </c>
      <c r="I1101">
        <v>100.62452034376685</v>
      </c>
      <c r="J1101">
        <v>100.62452034376685</v>
      </c>
    </row>
    <row r="1102" spans="1:10" x14ac:dyDescent="0.25">
      <c r="A1102" s="36"/>
      <c r="B1102" t="s">
        <v>451</v>
      </c>
      <c r="C1102" s="64">
        <v>41934</v>
      </c>
      <c r="D1102">
        <v>231.1</v>
      </c>
      <c r="E1102">
        <v>100.90934660320208</v>
      </c>
      <c r="F1102" t="s">
        <v>427</v>
      </c>
      <c r="G1102" s="64">
        <v>41934</v>
      </c>
      <c r="H1102">
        <v>312.97000000000003</v>
      </c>
      <c r="I1102">
        <v>100.62168897977442</v>
      </c>
      <c r="J1102">
        <v>100.62168897977442</v>
      </c>
    </row>
    <row r="1103" spans="1:10" x14ac:dyDescent="0.25">
      <c r="A1103" s="36"/>
      <c r="B1103" t="s">
        <v>451</v>
      </c>
      <c r="C1103" s="64">
        <v>41935</v>
      </c>
      <c r="D1103">
        <v>235.29</v>
      </c>
      <c r="E1103">
        <v>100.91096094181648</v>
      </c>
      <c r="F1103" t="s">
        <v>427</v>
      </c>
      <c r="G1103" s="64">
        <v>41935</v>
      </c>
      <c r="H1103">
        <v>313.18</v>
      </c>
      <c r="I1103">
        <v>100.62194265278754</v>
      </c>
      <c r="J1103">
        <v>100.62194265278754</v>
      </c>
    </row>
    <row r="1104" spans="1:10" x14ac:dyDescent="0.25">
      <c r="A1104" s="36"/>
      <c r="B1104" t="s">
        <v>451</v>
      </c>
      <c r="C1104" s="64">
        <v>41936</v>
      </c>
      <c r="D1104">
        <v>235.24</v>
      </c>
      <c r="E1104">
        <v>100.91094201666384</v>
      </c>
      <c r="F1104" t="s">
        <v>427</v>
      </c>
      <c r="G1104" s="64">
        <v>41936</v>
      </c>
      <c r="H1104">
        <v>287.06</v>
      </c>
      <c r="I1104">
        <v>100.58754267400543</v>
      </c>
      <c r="J1104">
        <v>100.58754267400543</v>
      </c>
    </row>
    <row r="1105" spans="1:10" x14ac:dyDescent="0.25">
      <c r="A1105" s="36"/>
      <c r="B1105" t="s">
        <v>451</v>
      </c>
      <c r="C1105" s="64">
        <v>41939</v>
      </c>
      <c r="D1105">
        <v>221.67</v>
      </c>
      <c r="E1105">
        <v>100.90549014300537</v>
      </c>
      <c r="F1105" t="s">
        <v>427</v>
      </c>
      <c r="G1105" s="64">
        <v>41939</v>
      </c>
      <c r="H1105">
        <v>289.97000000000003</v>
      </c>
      <c r="I1105">
        <v>100.59168189812739</v>
      </c>
      <c r="J1105">
        <v>100.59168189812739</v>
      </c>
    </row>
    <row r="1106" spans="1:10" x14ac:dyDescent="0.25">
      <c r="A1106" s="36"/>
      <c r="B1106" t="s">
        <v>451</v>
      </c>
      <c r="C1106" s="64">
        <v>41940</v>
      </c>
      <c r="D1106">
        <v>242.77</v>
      </c>
      <c r="E1106">
        <v>100.91370432920048</v>
      </c>
      <c r="F1106" t="s">
        <v>427</v>
      </c>
      <c r="G1106" s="64">
        <v>41940</v>
      </c>
      <c r="H1106">
        <v>295.58999999999997</v>
      </c>
      <c r="I1106">
        <v>100.59944517744172</v>
      </c>
      <c r="J1106">
        <v>100.59944517744172</v>
      </c>
    </row>
    <row r="1107" spans="1:10" x14ac:dyDescent="0.25">
      <c r="A1107" s="36"/>
      <c r="B1107" t="s">
        <v>451</v>
      </c>
      <c r="C1107" s="64">
        <v>41941</v>
      </c>
      <c r="D1107">
        <v>238.1</v>
      </c>
      <c r="E1107">
        <v>100.91201175976481</v>
      </c>
      <c r="F1107" t="s">
        <v>427</v>
      </c>
      <c r="G1107" s="64">
        <v>41941</v>
      </c>
      <c r="H1107">
        <v>294.12</v>
      </c>
      <c r="I1107">
        <v>100.59744322045424</v>
      </c>
      <c r="J1107">
        <v>100.59744322045424</v>
      </c>
    </row>
    <row r="1108" spans="1:10" x14ac:dyDescent="0.25">
      <c r="A1108" s="36"/>
      <c r="B1108" t="s">
        <v>451</v>
      </c>
      <c r="C1108" s="64">
        <v>41942</v>
      </c>
      <c r="D1108">
        <v>238.66</v>
      </c>
      <c r="E1108">
        <v>100.91221821838599</v>
      </c>
      <c r="F1108" t="s">
        <v>427</v>
      </c>
      <c r="G1108" s="64">
        <v>41942</v>
      </c>
      <c r="H1108">
        <v>299.07</v>
      </c>
      <c r="I1108">
        <v>100.60410606212592</v>
      </c>
      <c r="J1108">
        <v>100.60410606212592</v>
      </c>
    </row>
    <row r="1109" spans="1:10" x14ac:dyDescent="0.25">
      <c r="A1109" s="36"/>
      <c r="B1109" t="s">
        <v>451</v>
      </c>
      <c r="C1109" s="64">
        <v>41943</v>
      </c>
      <c r="D1109">
        <v>241.7</v>
      </c>
      <c r="E1109">
        <v>100.91332230037236</v>
      </c>
      <c r="F1109" t="s">
        <v>427</v>
      </c>
      <c r="G1109" s="64">
        <v>41943</v>
      </c>
      <c r="H1109">
        <v>305.45999999999998</v>
      </c>
      <c r="I1109">
        <v>100.61238787402606</v>
      </c>
      <c r="J1109">
        <v>100.61238787402606</v>
      </c>
    </row>
    <row r="1110" spans="1:10" x14ac:dyDescent="0.25">
      <c r="A1110" s="36"/>
      <c r="B1110" t="s">
        <v>451</v>
      </c>
      <c r="C1110" s="64">
        <v>41946</v>
      </c>
      <c r="D1110">
        <v>242.59</v>
      </c>
      <c r="E1110">
        <v>100.91364029844594</v>
      </c>
      <c r="F1110" t="s">
        <v>427</v>
      </c>
      <c r="G1110" s="64">
        <v>41946</v>
      </c>
      <c r="H1110">
        <v>305.72000000000003</v>
      </c>
      <c r="I1110">
        <v>100.6127175192987</v>
      </c>
      <c r="J1110">
        <v>100.6127175192987</v>
      </c>
    </row>
    <row r="1111" spans="1:10" x14ac:dyDescent="0.25">
      <c r="A1111" s="36"/>
      <c r="B1111" t="s">
        <v>451</v>
      </c>
      <c r="C1111" s="64">
        <v>41947</v>
      </c>
      <c r="D1111">
        <v>238.93</v>
      </c>
      <c r="E1111">
        <v>100.91231741514251</v>
      </c>
      <c r="F1111" t="s">
        <v>427</v>
      </c>
      <c r="G1111" s="64">
        <v>41947</v>
      </c>
      <c r="H1111">
        <v>302.81</v>
      </c>
      <c r="I1111">
        <v>100.60899573990291</v>
      </c>
      <c r="J1111">
        <v>100.60899573990291</v>
      </c>
    </row>
    <row r="1112" spans="1:10" x14ac:dyDescent="0.25">
      <c r="A1112" s="36"/>
      <c r="B1112" t="s">
        <v>451</v>
      </c>
      <c r="C1112" s="64">
        <v>41948</v>
      </c>
      <c r="D1112">
        <v>230.97</v>
      </c>
      <c r="E1112">
        <v>100.90929557951249</v>
      </c>
      <c r="F1112" t="s">
        <v>427</v>
      </c>
      <c r="G1112" s="64">
        <v>41948</v>
      </c>
      <c r="H1112">
        <v>296.52</v>
      </c>
      <c r="I1112">
        <v>100.60070147038985</v>
      </c>
      <c r="J1112">
        <v>100.60070147038985</v>
      </c>
    </row>
    <row r="1113" spans="1:10" x14ac:dyDescent="0.25">
      <c r="A1113" s="36"/>
      <c r="B1113" t="s">
        <v>451</v>
      </c>
      <c r="C1113" s="64">
        <v>41949</v>
      </c>
      <c r="D1113">
        <v>241.22</v>
      </c>
      <c r="E1113">
        <v>100.91314982173949</v>
      </c>
      <c r="F1113" t="s">
        <v>427</v>
      </c>
      <c r="G1113" s="64">
        <v>41949</v>
      </c>
      <c r="H1113">
        <v>296.64</v>
      </c>
      <c r="I1113">
        <v>100.60086299892126</v>
      </c>
      <c r="J1113">
        <v>100.60086299892126</v>
      </c>
    </row>
    <row r="1114" spans="1:10" x14ac:dyDescent="0.25">
      <c r="A1114" s="36"/>
      <c r="B1114" t="s">
        <v>451</v>
      </c>
      <c r="C1114" s="64">
        <v>41950</v>
      </c>
      <c r="D1114">
        <v>240.2</v>
      </c>
      <c r="E1114">
        <v>100.91278101582014</v>
      </c>
      <c r="F1114" t="s">
        <v>427</v>
      </c>
      <c r="G1114" s="64">
        <v>41950</v>
      </c>
      <c r="H1114">
        <v>299.86</v>
      </c>
      <c r="I1114">
        <v>100.6051490695658</v>
      </c>
      <c r="J1114">
        <v>100.6051490695658</v>
      </c>
    </row>
    <row r="1115" spans="1:10" x14ac:dyDescent="0.25">
      <c r="A1115" s="36"/>
      <c r="B1115" t="s">
        <v>451</v>
      </c>
      <c r="C1115" s="64">
        <v>41953</v>
      </c>
      <c r="D1115">
        <v>241.93</v>
      </c>
      <c r="E1115">
        <v>100.91340470383996</v>
      </c>
      <c r="F1115" t="s">
        <v>427</v>
      </c>
      <c r="G1115" s="64">
        <v>41953</v>
      </c>
      <c r="H1115">
        <v>305.11</v>
      </c>
      <c r="I1115">
        <v>100.61194323358788</v>
      </c>
      <c r="J1115">
        <v>100.61194323358788</v>
      </c>
    </row>
    <row r="1116" spans="1:10" x14ac:dyDescent="0.25">
      <c r="A1116" s="36"/>
      <c r="B1116" t="s">
        <v>451</v>
      </c>
      <c r="C1116" s="64">
        <v>41954</v>
      </c>
      <c r="D1116">
        <v>251.08</v>
      </c>
      <c r="E1116">
        <v>100.91656045881791</v>
      </c>
      <c r="F1116" t="s">
        <v>427</v>
      </c>
      <c r="G1116" s="64">
        <v>41954</v>
      </c>
      <c r="H1116">
        <v>312.01</v>
      </c>
      <c r="I1116">
        <v>100.62052498317361</v>
      </c>
      <c r="J1116">
        <v>100.62052498317361</v>
      </c>
    </row>
    <row r="1117" spans="1:10" x14ac:dyDescent="0.25">
      <c r="A1117" s="36"/>
      <c r="B1117" t="s">
        <v>451</v>
      </c>
      <c r="C1117" s="64">
        <v>41955</v>
      </c>
      <c r="D1117">
        <v>249.1</v>
      </c>
      <c r="E1117">
        <v>100.91589723002811</v>
      </c>
      <c r="F1117" t="s">
        <v>427</v>
      </c>
      <c r="G1117" s="64">
        <v>41955</v>
      </c>
      <c r="H1117">
        <v>311.51</v>
      </c>
      <c r="I1117">
        <v>100.61991589355077</v>
      </c>
      <c r="J1117">
        <v>100.61991589355077</v>
      </c>
    </row>
    <row r="1118" spans="1:10" x14ac:dyDescent="0.25">
      <c r="A1118" s="36"/>
      <c r="B1118" t="s">
        <v>451</v>
      </c>
      <c r="C1118" s="64">
        <v>41956</v>
      </c>
      <c r="D1118">
        <v>251.7</v>
      </c>
      <c r="E1118">
        <v>100.91676599125944</v>
      </c>
      <c r="F1118" t="s">
        <v>427</v>
      </c>
      <c r="G1118" s="64">
        <v>41956</v>
      </c>
      <c r="H1118">
        <v>316.48</v>
      </c>
      <c r="I1118">
        <v>100.62588473205258</v>
      </c>
      <c r="J1118">
        <v>100.62588473205258</v>
      </c>
    </row>
    <row r="1119" spans="1:10" x14ac:dyDescent="0.25">
      <c r="A1119" s="36"/>
      <c r="B1119" t="s">
        <v>451</v>
      </c>
      <c r="C1119" s="64">
        <v>41957</v>
      </c>
      <c r="D1119">
        <v>258.68</v>
      </c>
      <c r="E1119">
        <v>100.91901190660275</v>
      </c>
      <c r="F1119" t="s">
        <v>427</v>
      </c>
      <c r="G1119" s="64">
        <v>41957</v>
      </c>
      <c r="H1119">
        <v>327.82</v>
      </c>
      <c r="I1119">
        <v>100.63882618510158</v>
      </c>
      <c r="J1119">
        <v>100.63882618510158</v>
      </c>
    </row>
    <row r="1120" spans="1:10" x14ac:dyDescent="0.25">
      <c r="A1120" s="36"/>
      <c r="B1120" t="s">
        <v>451</v>
      </c>
      <c r="C1120" s="64">
        <v>41960</v>
      </c>
      <c r="D1120">
        <v>253.98</v>
      </c>
      <c r="E1120">
        <v>100.91751319001496</v>
      </c>
      <c r="F1120" t="s">
        <v>427</v>
      </c>
      <c r="G1120" s="64">
        <v>41960</v>
      </c>
      <c r="H1120">
        <v>323.05</v>
      </c>
      <c r="I1120">
        <v>100.63349326729609</v>
      </c>
      <c r="J1120">
        <v>100.63349326729609</v>
      </c>
    </row>
    <row r="1121" spans="1:10" x14ac:dyDescent="0.25">
      <c r="A1121" s="36"/>
      <c r="B1121" t="s">
        <v>451</v>
      </c>
      <c r="C1121" s="64">
        <v>41961</v>
      </c>
      <c r="D1121">
        <v>257.7</v>
      </c>
      <c r="E1121">
        <v>100.91870391928599</v>
      </c>
      <c r="F1121" t="s">
        <v>427</v>
      </c>
      <c r="G1121" s="64">
        <v>41961</v>
      </c>
      <c r="H1121">
        <v>324.93</v>
      </c>
      <c r="I1121">
        <v>100.63561382451606</v>
      </c>
      <c r="J1121">
        <v>100.63561382451606</v>
      </c>
    </row>
    <row r="1122" spans="1:10" x14ac:dyDescent="0.25">
      <c r="A1122" s="36"/>
      <c r="B1122" t="s">
        <v>451</v>
      </c>
      <c r="C1122" s="64">
        <v>41962</v>
      </c>
      <c r="D1122">
        <v>247.74</v>
      </c>
      <c r="E1122">
        <v>100.9154355372568</v>
      </c>
      <c r="F1122" t="s">
        <v>427</v>
      </c>
      <c r="G1122" s="64">
        <v>41962</v>
      </c>
      <c r="H1122">
        <v>326.54000000000002</v>
      </c>
      <c r="I1122">
        <v>100.63741042445029</v>
      </c>
      <c r="J1122">
        <v>100.63741042445029</v>
      </c>
    </row>
    <row r="1123" spans="1:10" x14ac:dyDescent="0.25">
      <c r="A1123" s="36"/>
      <c r="B1123" t="s">
        <v>451</v>
      </c>
      <c r="C1123" s="64">
        <v>41963</v>
      </c>
      <c r="D1123">
        <v>248.71</v>
      </c>
      <c r="E1123">
        <v>100.91576534920188</v>
      </c>
      <c r="F1123" t="s">
        <v>427</v>
      </c>
      <c r="G1123" s="64">
        <v>41963</v>
      </c>
      <c r="H1123">
        <v>330.54</v>
      </c>
      <c r="I1123">
        <v>100.64179826949839</v>
      </c>
      <c r="J1123">
        <v>100.64179826949839</v>
      </c>
    </row>
    <row r="1124" spans="1:10" x14ac:dyDescent="0.25">
      <c r="A1124" s="36"/>
      <c r="B1124" t="s">
        <v>451</v>
      </c>
      <c r="C1124" s="64">
        <v>41964</v>
      </c>
      <c r="D1124">
        <v>242.78</v>
      </c>
      <c r="E1124">
        <v>100.9137078836807</v>
      </c>
      <c r="F1124" t="s">
        <v>427</v>
      </c>
      <c r="G1124" s="64">
        <v>41964</v>
      </c>
      <c r="H1124">
        <v>332.63</v>
      </c>
      <c r="I1124">
        <v>100.64404894327031</v>
      </c>
      <c r="J1124">
        <v>100.64404894327031</v>
      </c>
    </row>
    <row r="1125" spans="1:10" x14ac:dyDescent="0.25">
      <c r="A1125" s="36"/>
      <c r="B1125" t="s">
        <v>451</v>
      </c>
      <c r="C1125" s="64">
        <v>41967</v>
      </c>
      <c r="D1125">
        <v>246.72</v>
      </c>
      <c r="E1125">
        <v>100.91508592736706</v>
      </c>
      <c r="F1125" t="s">
        <v>427</v>
      </c>
      <c r="G1125" s="64">
        <v>41967</v>
      </c>
      <c r="H1125">
        <v>335.64</v>
      </c>
      <c r="I1125">
        <v>100.64724109164581</v>
      </c>
      <c r="J1125">
        <v>100.64724109164581</v>
      </c>
    </row>
    <row r="1126" spans="1:10" x14ac:dyDescent="0.25">
      <c r="A1126" s="36"/>
      <c r="B1126" t="s">
        <v>451</v>
      </c>
      <c r="C1126" s="64">
        <v>41968</v>
      </c>
      <c r="D1126">
        <v>248.09</v>
      </c>
      <c r="E1126">
        <v>100.91555483896973</v>
      </c>
      <c r="F1126" t="s">
        <v>427</v>
      </c>
      <c r="G1126" s="64">
        <v>41968</v>
      </c>
      <c r="H1126">
        <v>335.04</v>
      </c>
      <c r="I1126">
        <v>100.64660936007641</v>
      </c>
      <c r="J1126">
        <v>100.64660936007641</v>
      </c>
    </row>
    <row r="1127" spans="1:10" x14ac:dyDescent="0.25">
      <c r="A1127" s="36"/>
      <c r="B1127" t="s">
        <v>451</v>
      </c>
      <c r="C1127" s="64">
        <v>41969</v>
      </c>
      <c r="D1127">
        <v>248.44</v>
      </c>
      <c r="E1127">
        <v>100.91567380454033</v>
      </c>
      <c r="F1127" t="s">
        <v>427</v>
      </c>
      <c r="G1127" s="64">
        <v>41969</v>
      </c>
      <c r="H1127">
        <v>333.57</v>
      </c>
      <c r="I1127">
        <v>100.64505201307072</v>
      </c>
      <c r="J1127">
        <v>100.64505201307072</v>
      </c>
    </row>
    <row r="1128" spans="1:10" x14ac:dyDescent="0.25">
      <c r="A1128" s="36"/>
      <c r="B1128" t="s">
        <v>451</v>
      </c>
      <c r="C1128" s="64">
        <v>41971</v>
      </c>
      <c r="D1128">
        <v>244.52</v>
      </c>
      <c r="E1128">
        <v>100.91432193685588</v>
      </c>
      <c r="F1128" t="s">
        <v>427</v>
      </c>
      <c r="G1128" s="64">
        <v>41971</v>
      </c>
      <c r="H1128">
        <v>338.64</v>
      </c>
      <c r="I1128">
        <v>100.65036617056461</v>
      </c>
      <c r="J1128">
        <v>100.65036617056461</v>
      </c>
    </row>
    <row r="1129" spans="1:10" x14ac:dyDescent="0.25">
      <c r="A1129" s="36"/>
      <c r="B1129" t="s">
        <v>451</v>
      </c>
      <c r="C1129" s="64">
        <v>41974</v>
      </c>
      <c r="D1129">
        <v>231.64</v>
      </c>
      <c r="E1129">
        <v>100.90955793472629</v>
      </c>
      <c r="F1129" t="s">
        <v>427</v>
      </c>
      <c r="G1129" s="64">
        <v>41974</v>
      </c>
      <c r="H1129">
        <v>326</v>
      </c>
      <c r="I1129">
        <v>100.63680981595093</v>
      </c>
      <c r="J1129">
        <v>100.63680981595093</v>
      </c>
    </row>
    <row r="1130" spans="1:10" x14ac:dyDescent="0.25">
      <c r="A1130" s="36"/>
      <c r="B1130" t="s">
        <v>451</v>
      </c>
      <c r="C1130" s="64">
        <v>41975</v>
      </c>
      <c r="D1130">
        <v>231.43</v>
      </c>
      <c r="E1130">
        <v>100.90947586743292</v>
      </c>
      <c r="F1130" t="s">
        <v>427</v>
      </c>
      <c r="G1130" s="64">
        <v>41975</v>
      </c>
      <c r="H1130">
        <v>326.31</v>
      </c>
      <c r="I1130">
        <v>100.63715485274739</v>
      </c>
      <c r="J1130">
        <v>100.63715485274739</v>
      </c>
    </row>
    <row r="1131" spans="1:10" x14ac:dyDescent="0.25">
      <c r="A1131" s="36"/>
      <c r="B1131" t="s">
        <v>451</v>
      </c>
      <c r="C1131" s="64">
        <v>41976</v>
      </c>
      <c r="D1131">
        <v>229.3</v>
      </c>
      <c r="E1131">
        <v>100.90863497601396</v>
      </c>
      <c r="F1131" t="s">
        <v>427</v>
      </c>
      <c r="G1131" s="64">
        <v>41976</v>
      </c>
      <c r="H1131">
        <v>316.5</v>
      </c>
      <c r="I1131">
        <v>100.62590837282781</v>
      </c>
      <c r="J1131">
        <v>100.62590837282781</v>
      </c>
    </row>
    <row r="1132" spans="1:10" x14ac:dyDescent="0.25">
      <c r="A1132" s="36"/>
      <c r="B1132" t="s">
        <v>451</v>
      </c>
      <c r="C1132" s="64">
        <v>41977</v>
      </c>
      <c r="D1132">
        <v>228.28</v>
      </c>
      <c r="E1132">
        <v>100.90822673909234</v>
      </c>
      <c r="F1132" t="s">
        <v>427</v>
      </c>
      <c r="G1132" s="64">
        <v>41977</v>
      </c>
      <c r="H1132">
        <v>316.93</v>
      </c>
      <c r="I1132">
        <v>100.6264159278074</v>
      </c>
      <c r="J1132">
        <v>100.6264159278074</v>
      </c>
    </row>
    <row r="1133" spans="1:10" x14ac:dyDescent="0.25">
      <c r="A1133" s="36"/>
      <c r="B1133" t="s">
        <v>451</v>
      </c>
      <c r="C1133" s="64">
        <v>41978</v>
      </c>
      <c r="D1133">
        <v>223.71</v>
      </c>
      <c r="E1133">
        <v>100.90635197353717</v>
      </c>
      <c r="F1133" t="s">
        <v>427</v>
      </c>
      <c r="G1133" s="64">
        <v>41978</v>
      </c>
      <c r="H1133">
        <v>312.63</v>
      </c>
      <c r="I1133">
        <v>100.62127754853981</v>
      </c>
      <c r="J1133">
        <v>100.62127754853981</v>
      </c>
    </row>
    <row r="1134" spans="1:10" x14ac:dyDescent="0.25">
      <c r="A1134" s="36"/>
      <c r="B1134" t="s">
        <v>451</v>
      </c>
      <c r="C1134" s="64">
        <v>41981</v>
      </c>
      <c r="D1134">
        <v>214.36</v>
      </c>
      <c r="E1134">
        <v>100.90226721403246</v>
      </c>
      <c r="F1134" t="s">
        <v>427</v>
      </c>
      <c r="G1134" s="64">
        <v>41981</v>
      </c>
      <c r="H1134">
        <v>306.64</v>
      </c>
      <c r="I1134">
        <v>100.61387946777981</v>
      </c>
      <c r="J1134">
        <v>100.61387946777981</v>
      </c>
    </row>
    <row r="1135" spans="1:10" x14ac:dyDescent="0.25">
      <c r="A1135" s="36"/>
      <c r="B1135" t="s">
        <v>451</v>
      </c>
      <c r="C1135" s="64">
        <v>41982</v>
      </c>
      <c r="D1135">
        <v>216.89</v>
      </c>
      <c r="E1135">
        <v>100.90340725713496</v>
      </c>
      <c r="F1135" t="s">
        <v>427</v>
      </c>
      <c r="G1135" s="64">
        <v>41982</v>
      </c>
      <c r="H1135">
        <v>312.5</v>
      </c>
      <c r="I1135">
        <v>100.62112</v>
      </c>
      <c r="J1135">
        <v>100.62112</v>
      </c>
    </row>
    <row r="1136" spans="1:10" x14ac:dyDescent="0.25">
      <c r="A1136" s="36"/>
      <c r="B1136" t="s">
        <v>451</v>
      </c>
      <c r="C1136" s="64">
        <v>41983</v>
      </c>
      <c r="D1136">
        <v>209.84</v>
      </c>
      <c r="E1136">
        <v>100.90016202821197</v>
      </c>
      <c r="F1136" t="s">
        <v>427</v>
      </c>
      <c r="G1136" s="64">
        <v>41983</v>
      </c>
      <c r="H1136">
        <v>305.83999999999997</v>
      </c>
      <c r="I1136">
        <v>100.6128694742349</v>
      </c>
      <c r="J1136">
        <v>100.6128694742349</v>
      </c>
    </row>
    <row r="1137" spans="1:10" x14ac:dyDescent="0.25">
      <c r="A1137" s="36"/>
      <c r="B1137" t="s">
        <v>451</v>
      </c>
      <c r="C1137" s="64">
        <v>41984</v>
      </c>
      <c r="D1137">
        <v>208.88</v>
      </c>
      <c r="E1137">
        <v>100.89970317885867</v>
      </c>
      <c r="F1137" t="s">
        <v>427</v>
      </c>
      <c r="G1137" s="64">
        <v>41984</v>
      </c>
      <c r="H1137">
        <v>307.36</v>
      </c>
      <c r="I1137">
        <v>100.61478396668402</v>
      </c>
      <c r="J1137">
        <v>100.61478396668402</v>
      </c>
    </row>
    <row r="1138" spans="1:10" x14ac:dyDescent="0.25">
      <c r="A1138" s="36"/>
      <c r="B1138" t="s">
        <v>451</v>
      </c>
      <c r="C1138" s="64">
        <v>41985</v>
      </c>
      <c r="D1138">
        <v>207</v>
      </c>
      <c r="E1138">
        <v>100.8987922705314</v>
      </c>
      <c r="F1138" t="s">
        <v>427</v>
      </c>
      <c r="G1138" s="64">
        <v>41985</v>
      </c>
      <c r="H1138">
        <v>307.32</v>
      </c>
      <c r="I1138">
        <v>100.6147338279318</v>
      </c>
      <c r="J1138">
        <v>100.6147338279318</v>
      </c>
    </row>
    <row r="1139" spans="1:10" x14ac:dyDescent="0.25">
      <c r="A1139" s="36"/>
      <c r="B1139" t="s">
        <v>451</v>
      </c>
      <c r="C1139" s="64">
        <v>41988</v>
      </c>
      <c r="D1139">
        <v>204.04</v>
      </c>
      <c r="E1139">
        <v>100.89732405410703</v>
      </c>
      <c r="F1139" t="s">
        <v>427</v>
      </c>
      <c r="G1139" s="64">
        <v>41988</v>
      </c>
      <c r="H1139">
        <v>306.07</v>
      </c>
      <c r="I1139">
        <v>100.6131603881465</v>
      </c>
      <c r="J1139">
        <v>100.6131603881465</v>
      </c>
    </row>
    <row r="1140" spans="1:10" x14ac:dyDescent="0.25">
      <c r="A1140" s="36"/>
      <c r="B1140" t="s">
        <v>451</v>
      </c>
      <c r="C1140" s="64">
        <v>41989</v>
      </c>
      <c r="D1140">
        <v>197.81</v>
      </c>
      <c r="E1140">
        <v>100.89409028866083</v>
      </c>
      <c r="F1140" t="s">
        <v>427</v>
      </c>
      <c r="G1140" s="64">
        <v>41989</v>
      </c>
      <c r="H1140">
        <v>295.06</v>
      </c>
      <c r="I1140">
        <v>100.59872568291195</v>
      </c>
      <c r="J1140">
        <v>100.59872568291195</v>
      </c>
    </row>
    <row r="1141" spans="1:10" x14ac:dyDescent="0.25">
      <c r="A1141" s="36"/>
      <c r="B1141" t="s">
        <v>451</v>
      </c>
      <c r="C1141" s="64">
        <v>41990</v>
      </c>
      <c r="D1141">
        <v>205.82</v>
      </c>
      <c r="E1141">
        <v>100.89821202992907</v>
      </c>
      <c r="F1141" t="s">
        <v>427</v>
      </c>
      <c r="G1141" s="64">
        <v>41990</v>
      </c>
      <c r="H1141">
        <v>298.88</v>
      </c>
      <c r="I1141">
        <v>100.60385438972163</v>
      </c>
      <c r="J1141">
        <v>100.60385438972163</v>
      </c>
    </row>
    <row r="1142" spans="1:10" x14ac:dyDescent="0.25">
      <c r="A1142" s="36"/>
      <c r="B1142" t="s">
        <v>451</v>
      </c>
      <c r="C1142" s="64">
        <v>41991</v>
      </c>
      <c r="D1142">
        <v>218.26</v>
      </c>
      <c r="E1142">
        <v>100.90401356180702</v>
      </c>
      <c r="F1142" t="s">
        <v>427</v>
      </c>
      <c r="G1142" s="64">
        <v>41991</v>
      </c>
      <c r="H1142">
        <v>297.73</v>
      </c>
      <c r="I1142">
        <v>100.60232425351829</v>
      </c>
      <c r="J1142">
        <v>100.60232425351829</v>
      </c>
    </row>
    <row r="1143" spans="1:10" x14ac:dyDescent="0.25">
      <c r="A1143" s="36"/>
      <c r="B1143" t="s">
        <v>451</v>
      </c>
      <c r="C1143" s="64">
        <v>41992</v>
      </c>
      <c r="D1143">
        <v>219.29</v>
      </c>
      <c r="E1143">
        <v>100.90446440786174</v>
      </c>
      <c r="F1143" t="s">
        <v>427</v>
      </c>
      <c r="G1143" s="64">
        <v>41992</v>
      </c>
      <c r="H1143">
        <v>299.89999999999998</v>
      </c>
      <c r="I1143">
        <v>100.6052017339113</v>
      </c>
      <c r="J1143">
        <v>100.6052017339113</v>
      </c>
    </row>
    <row r="1144" spans="1:10" x14ac:dyDescent="0.25">
      <c r="A1144" s="36"/>
      <c r="B1144" t="s">
        <v>451</v>
      </c>
      <c r="C1144" s="64">
        <v>41995</v>
      </c>
      <c r="D1144">
        <v>222.6</v>
      </c>
      <c r="E1144">
        <v>100.90588499550763</v>
      </c>
      <c r="F1144" t="s">
        <v>427</v>
      </c>
      <c r="G1144" s="64">
        <v>41995</v>
      </c>
      <c r="H1144">
        <v>306.54000000000002</v>
      </c>
      <c r="I1144">
        <v>100.61375350688328</v>
      </c>
      <c r="J1144">
        <v>100.61375350688328</v>
      </c>
    </row>
    <row r="1145" spans="1:10" x14ac:dyDescent="0.25">
      <c r="A1145" s="36"/>
      <c r="B1145" t="s">
        <v>451</v>
      </c>
      <c r="C1145" s="64">
        <v>41996</v>
      </c>
      <c r="D1145">
        <v>220.97</v>
      </c>
      <c r="E1145">
        <v>100.90519074987554</v>
      </c>
      <c r="F1145" t="s">
        <v>427</v>
      </c>
      <c r="G1145" s="64">
        <v>41996</v>
      </c>
      <c r="H1145">
        <v>306.28500000000003</v>
      </c>
      <c r="I1145">
        <v>100.61343193430955</v>
      </c>
      <c r="J1145">
        <v>100.61343193430955</v>
      </c>
    </row>
    <row r="1146" spans="1:10" x14ac:dyDescent="0.25">
      <c r="A1146" s="36"/>
      <c r="B1146" t="s">
        <v>451</v>
      </c>
      <c r="C1146" s="64">
        <v>41997</v>
      </c>
      <c r="D1146">
        <v>222.26</v>
      </c>
      <c r="E1146">
        <v>100.90574102402591</v>
      </c>
      <c r="F1146" t="s">
        <v>427</v>
      </c>
      <c r="G1146" s="64">
        <v>41997</v>
      </c>
      <c r="H1146">
        <v>303.02999999999997</v>
      </c>
      <c r="I1146">
        <v>100.60927960927961</v>
      </c>
      <c r="J1146">
        <v>100.60927960927961</v>
      </c>
    </row>
    <row r="1147" spans="1:10" x14ac:dyDescent="0.25">
      <c r="A1147" s="36"/>
      <c r="B1147" t="s">
        <v>451</v>
      </c>
      <c r="C1147" s="64">
        <v>41999</v>
      </c>
      <c r="D1147">
        <v>227.82</v>
      </c>
      <c r="E1147">
        <v>100.90804143622158</v>
      </c>
      <c r="F1147" t="s">
        <v>427</v>
      </c>
      <c r="G1147" s="64">
        <v>41999</v>
      </c>
      <c r="H1147">
        <v>309.08999999999997</v>
      </c>
      <c r="I1147">
        <v>100.61694004982368</v>
      </c>
      <c r="J1147">
        <v>100.61694004982368</v>
      </c>
    </row>
    <row r="1148" spans="1:10" x14ac:dyDescent="0.25">
      <c r="A1148" s="36"/>
      <c r="B1148" t="s">
        <v>451</v>
      </c>
      <c r="C1148" s="64">
        <v>42002</v>
      </c>
      <c r="D1148">
        <v>225.71</v>
      </c>
      <c r="E1148">
        <v>100.90718178193256</v>
      </c>
      <c r="F1148" t="s">
        <v>427</v>
      </c>
      <c r="G1148" s="64">
        <v>42002</v>
      </c>
      <c r="H1148">
        <v>312.04000000000002</v>
      </c>
      <c r="I1148">
        <v>100.62056146647866</v>
      </c>
      <c r="J1148">
        <v>100.62056146647866</v>
      </c>
    </row>
    <row r="1149" spans="1:10" x14ac:dyDescent="0.25">
      <c r="A1149" s="36"/>
      <c r="B1149" t="s">
        <v>451</v>
      </c>
      <c r="C1149" s="64">
        <v>42003</v>
      </c>
      <c r="D1149">
        <v>222.23</v>
      </c>
      <c r="E1149">
        <v>100.90572829950952</v>
      </c>
      <c r="F1149" t="s">
        <v>427</v>
      </c>
      <c r="G1149" s="64">
        <v>42003</v>
      </c>
      <c r="H1149">
        <v>310.3</v>
      </c>
      <c r="I1149">
        <v>100.61843377376732</v>
      </c>
      <c r="J1149">
        <v>100.61843377376732</v>
      </c>
    </row>
    <row r="1150" spans="1:10" x14ac:dyDescent="0.25">
      <c r="A1150" s="36"/>
      <c r="B1150" t="s">
        <v>451</v>
      </c>
      <c r="C1150" s="64">
        <v>42004</v>
      </c>
      <c r="D1150">
        <v>222.41</v>
      </c>
      <c r="E1150">
        <v>100.90580459511713</v>
      </c>
      <c r="F1150" t="s">
        <v>427</v>
      </c>
      <c r="G1150" s="64">
        <v>42004</v>
      </c>
      <c r="H1150">
        <v>310.35000000000002</v>
      </c>
      <c r="I1150">
        <v>100.61849524730144</v>
      </c>
      <c r="J1150">
        <v>100.61849524730144</v>
      </c>
    </row>
    <row r="1151" spans="1:10" x14ac:dyDescent="0.25">
      <c r="A1151" s="36"/>
      <c r="B1151" t="s">
        <v>451</v>
      </c>
      <c r="C1151" s="64">
        <v>42006</v>
      </c>
      <c r="D1151">
        <v>219.31</v>
      </c>
      <c r="E1151">
        <v>100.90447312024075</v>
      </c>
      <c r="F1151" t="s">
        <v>427</v>
      </c>
      <c r="G1151" s="64">
        <v>42006</v>
      </c>
      <c r="H1151">
        <v>308.52</v>
      </c>
      <c r="I1151">
        <v>100.61623233501879</v>
      </c>
      <c r="J1151">
        <v>100.61623233501879</v>
      </c>
    </row>
    <row r="1152" spans="1:10" x14ac:dyDescent="0.25">
      <c r="A1152" s="36"/>
      <c r="B1152" t="s">
        <v>451</v>
      </c>
      <c r="C1152" s="64">
        <v>42009</v>
      </c>
      <c r="D1152">
        <v>210.09</v>
      </c>
      <c r="E1152">
        <v>100.90028083202436</v>
      </c>
      <c r="F1152" t="s">
        <v>427</v>
      </c>
      <c r="G1152" s="64">
        <v>42009</v>
      </c>
      <c r="H1152">
        <v>302.19</v>
      </c>
      <c r="I1152">
        <v>100.60819352063271</v>
      </c>
      <c r="J1152">
        <v>100.60819352063271</v>
      </c>
    </row>
    <row r="1153" spans="1:10" x14ac:dyDescent="0.25">
      <c r="A1153" s="36"/>
      <c r="B1153" t="s">
        <v>451</v>
      </c>
      <c r="C1153" s="64">
        <v>42010</v>
      </c>
      <c r="D1153">
        <v>211.28</v>
      </c>
      <c r="E1153">
        <v>100.90084248390761</v>
      </c>
      <c r="F1153" t="s">
        <v>427</v>
      </c>
      <c r="G1153" s="64">
        <v>42010</v>
      </c>
      <c r="H1153">
        <v>295.29000000000002</v>
      </c>
      <c r="I1153">
        <v>100.59903823360087</v>
      </c>
      <c r="J1153">
        <v>100.59903823360087</v>
      </c>
    </row>
    <row r="1154" spans="1:10" x14ac:dyDescent="0.25">
      <c r="A1154" s="36"/>
      <c r="B1154" t="s">
        <v>451</v>
      </c>
      <c r="C1154" s="64">
        <v>42011</v>
      </c>
      <c r="D1154">
        <v>210.95</v>
      </c>
      <c r="E1154">
        <v>100.90068736667456</v>
      </c>
      <c r="F1154" t="s">
        <v>427</v>
      </c>
      <c r="G1154" s="64">
        <v>42011</v>
      </c>
      <c r="H1154">
        <v>298.42</v>
      </c>
      <c r="I1154">
        <v>100.60324375041887</v>
      </c>
      <c r="J1154">
        <v>100.60324375041887</v>
      </c>
    </row>
    <row r="1155" spans="1:10" x14ac:dyDescent="0.25">
      <c r="A1155" s="36"/>
      <c r="B1155" t="s">
        <v>451</v>
      </c>
      <c r="C1155" s="64">
        <v>42012</v>
      </c>
      <c r="D1155">
        <v>210.61500000000001</v>
      </c>
      <c r="E1155">
        <v>100.90052940198942</v>
      </c>
      <c r="F1155" t="s">
        <v>427</v>
      </c>
      <c r="G1155" s="64">
        <v>42012</v>
      </c>
      <c r="H1155">
        <v>300.45999999999998</v>
      </c>
      <c r="I1155">
        <v>100.60593756240431</v>
      </c>
      <c r="J1155">
        <v>100.60593756240431</v>
      </c>
    </row>
    <row r="1156" spans="1:10" x14ac:dyDescent="0.25">
      <c r="A1156" s="36"/>
      <c r="B1156" t="s">
        <v>451</v>
      </c>
      <c r="C1156" s="64">
        <v>42013</v>
      </c>
      <c r="D1156">
        <v>206.66</v>
      </c>
      <c r="E1156">
        <v>100.89862576212136</v>
      </c>
      <c r="F1156" t="s">
        <v>427</v>
      </c>
      <c r="G1156" s="64">
        <v>42013</v>
      </c>
      <c r="H1156">
        <v>296.93</v>
      </c>
      <c r="I1156">
        <v>100.60125282053009</v>
      </c>
      <c r="J1156">
        <v>100.60125282053009</v>
      </c>
    </row>
    <row r="1157" spans="1:10" x14ac:dyDescent="0.25">
      <c r="A1157" s="36"/>
      <c r="B1157" t="s">
        <v>451</v>
      </c>
      <c r="C1157" s="64">
        <v>42016</v>
      </c>
      <c r="D1157">
        <v>202.21</v>
      </c>
      <c r="E1157">
        <v>100.89639483705059</v>
      </c>
      <c r="F1157" t="s">
        <v>427</v>
      </c>
      <c r="G1157" s="64">
        <v>42016</v>
      </c>
      <c r="H1157">
        <v>291.41000000000003</v>
      </c>
      <c r="I1157">
        <v>100.59369959850383</v>
      </c>
      <c r="J1157">
        <v>100.59369959850383</v>
      </c>
    </row>
    <row r="1158" spans="1:10" x14ac:dyDescent="0.25">
      <c r="A1158" s="36"/>
      <c r="B1158" t="s">
        <v>451</v>
      </c>
      <c r="C1158" s="64">
        <v>42017</v>
      </c>
      <c r="D1158">
        <v>204.25</v>
      </c>
      <c r="E1158">
        <v>100.89742962056303</v>
      </c>
      <c r="F1158" t="s">
        <v>427</v>
      </c>
      <c r="G1158" s="64">
        <v>42017</v>
      </c>
      <c r="H1158">
        <v>294.74</v>
      </c>
      <c r="I1158">
        <v>100.59829001832124</v>
      </c>
      <c r="J1158">
        <v>100.59829001832124</v>
      </c>
    </row>
    <row r="1159" spans="1:10" x14ac:dyDescent="0.25">
      <c r="A1159" s="36"/>
      <c r="B1159" t="s">
        <v>451</v>
      </c>
      <c r="C1159" s="64">
        <v>42018</v>
      </c>
      <c r="D1159">
        <v>192.69</v>
      </c>
      <c r="E1159">
        <v>100.89127614302767</v>
      </c>
      <c r="F1159" t="s">
        <v>427</v>
      </c>
      <c r="G1159" s="64">
        <v>42018</v>
      </c>
      <c r="H1159">
        <v>293.27</v>
      </c>
      <c r="I1159">
        <v>100.59627646878303</v>
      </c>
      <c r="J1159">
        <v>100.59627646878303</v>
      </c>
    </row>
    <row r="1160" spans="1:10" x14ac:dyDescent="0.25">
      <c r="A1160" s="36"/>
      <c r="B1160" t="s">
        <v>451</v>
      </c>
      <c r="C1160" s="64">
        <v>42019</v>
      </c>
      <c r="D1160">
        <v>191.87</v>
      </c>
      <c r="E1160">
        <v>100.89081148694429</v>
      </c>
      <c r="F1160" t="s">
        <v>427</v>
      </c>
      <c r="G1160" s="64">
        <v>42019</v>
      </c>
      <c r="H1160">
        <v>286.95</v>
      </c>
      <c r="I1160">
        <v>100.58738456177035</v>
      </c>
      <c r="J1160">
        <v>100.58738456177035</v>
      </c>
    </row>
    <row r="1161" spans="1:10" x14ac:dyDescent="0.25">
      <c r="A1161" s="36"/>
      <c r="B1161" t="s">
        <v>451</v>
      </c>
      <c r="C1161" s="64">
        <v>42020</v>
      </c>
      <c r="D1161">
        <v>193.07</v>
      </c>
      <c r="E1161">
        <v>100.89149013311234</v>
      </c>
      <c r="F1161" t="s">
        <v>427</v>
      </c>
      <c r="G1161" s="64">
        <v>42020</v>
      </c>
      <c r="H1161">
        <v>290.74</v>
      </c>
      <c r="I1161">
        <v>100.59276329366445</v>
      </c>
      <c r="J1161">
        <v>100.59276329366445</v>
      </c>
    </row>
    <row r="1162" spans="1:10" x14ac:dyDescent="0.25">
      <c r="A1162" s="36"/>
      <c r="B1162" t="s">
        <v>451</v>
      </c>
      <c r="C1162" s="64">
        <v>42024</v>
      </c>
      <c r="D1162">
        <v>191.93</v>
      </c>
      <c r="E1162">
        <v>100.89084562079925</v>
      </c>
      <c r="F1162" t="s">
        <v>427</v>
      </c>
      <c r="G1162" s="64">
        <v>42024</v>
      </c>
      <c r="H1162">
        <v>289.44</v>
      </c>
      <c r="I1162">
        <v>100.59093421779988</v>
      </c>
      <c r="J1162">
        <v>100.59093421779988</v>
      </c>
    </row>
    <row r="1163" spans="1:10" x14ac:dyDescent="0.25">
      <c r="A1163" s="36"/>
      <c r="B1163" t="s">
        <v>451</v>
      </c>
      <c r="C1163" s="64">
        <v>42025</v>
      </c>
      <c r="D1163">
        <v>196.57</v>
      </c>
      <c r="E1163">
        <v>100.89342219056824</v>
      </c>
      <c r="F1163" t="s">
        <v>427</v>
      </c>
      <c r="G1163" s="64">
        <v>42025</v>
      </c>
      <c r="H1163">
        <v>297.25</v>
      </c>
      <c r="I1163">
        <v>100.60168208578638</v>
      </c>
      <c r="J1163">
        <v>100.60168208578638</v>
      </c>
    </row>
    <row r="1164" spans="1:10" x14ac:dyDescent="0.25">
      <c r="A1164" s="36"/>
      <c r="B1164" t="s">
        <v>451</v>
      </c>
      <c r="C1164" s="64">
        <v>42026</v>
      </c>
      <c r="D1164">
        <v>201.62</v>
      </c>
      <c r="E1164">
        <v>100.89609165757365</v>
      </c>
      <c r="F1164" t="s">
        <v>427</v>
      </c>
      <c r="G1164" s="64">
        <v>42026</v>
      </c>
      <c r="H1164">
        <v>310.32</v>
      </c>
      <c r="I1164">
        <v>100.61845836555813</v>
      </c>
      <c r="J1164">
        <v>100.61845836555813</v>
      </c>
    </row>
    <row r="1165" spans="1:10" x14ac:dyDescent="0.25">
      <c r="A1165" s="36"/>
      <c r="B1165" t="s">
        <v>451</v>
      </c>
      <c r="C1165" s="64">
        <v>42027</v>
      </c>
      <c r="D1165">
        <v>201.29</v>
      </c>
      <c r="E1165">
        <v>100.8959213075662</v>
      </c>
      <c r="F1165" t="s">
        <v>427</v>
      </c>
      <c r="G1165" s="64">
        <v>42027</v>
      </c>
      <c r="H1165">
        <v>312.39</v>
      </c>
      <c r="I1165">
        <v>100.62098658727872</v>
      </c>
      <c r="J1165">
        <v>100.62098658727872</v>
      </c>
    </row>
    <row r="1166" spans="1:10" x14ac:dyDescent="0.25">
      <c r="A1166" s="36"/>
      <c r="B1166" t="s">
        <v>451</v>
      </c>
      <c r="C1166" s="64">
        <v>42030</v>
      </c>
      <c r="D1166">
        <v>206.55</v>
      </c>
      <c r="E1166">
        <v>100.89857177438877</v>
      </c>
      <c r="F1166" t="s">
        <v>427</v>
      </c>
      <c r="G1166" s="64">
        <v>42030</v>
      </c>
      <c r="H1166">
        <v>309.66000000000003</v>
      </c>
      <c r="I1166">
        <v>100.61764515920687</v>
      </c>
      <c r="J1166">
        <v>100.61764515920687</v>
      </c>
    </row>
    <row r="1167" spans="1:10" x14ac:dyDescent="0.25">
      <c r="A1167" s="36"/>
      <c r="B1167" t="s">
        <v>451</v>
      </c>
      <c r="C1167" s="64">
        <v>42031</v>
      </c>
      <c r="D1167">
        <v>205.98</v>
      </c>
      <c r="E1167">
        <v>100.89829109622293</v>
      </c>
      <c r="F1167" t="s">
        <v>427</v>
      </c>
      <c r="G1167" s="64">
        <v>42031</v>
      </c>
      <c r="H1167">
        <v>306.75</v>
      </c>
      <c r="I1167">
        <v>100.61401792991035</v>
      </c>
      <c r="J1167">
        <v>100.61401792991035</v>
      </c>
    </row>
    <row r="1168" spans="1:10" x14ac:dyDescent="0.25">
      <c r="A1168" s="36"/>
      <c r="B1168" t="s">
        <v>451</v>
      </c>
      <c r="C1168" s="64">
        <v>42032</v>
      </c>
      <c r="D1168">
        <v>199.37</v>
      </c>
      <c r="E1168">
        <v>100.89491899483373</v>
      </c>
      <c r="F1168" t="s">
        <v>427</v>
      </c>
      <c r="G1168" s="64">
        <v>42032</v>
      </c>
      <c r="H1168">
        <v>303.91000000000003</v>
      </c>
      <c r="I1168">
        <v>100.61041097693396</v>
      </c>
      <c r="J1168">
        <v>100.61041097693396</v>
      </c>
    </row>
    <row r="1169" spans="1:10" x14ac:dyDescent="0.25">
      <c r="A1169" s="36"/>
      <c r="B1169" t="s">
        <v>451</v>
      </c>
      <c r="C1169" s="64">
        <v>42033</v>
      </c>
      <c r="D1169">
        <v>205.2</v>
      </c>
      <c r="E1169">
        <v>100.89790448343079</v>
      </c>
      <c r="F1169" t="s">
        <v>427</v>
      </c>
      <c r="G1169" s="64">
        <v>42033</v>
      </c>
      <c r="H1169">
        <v>311.77999999999997</v>
      </c>
      <c r="I1169">
        <v>100.62024504458272</v>
      </c>
      <c r="J1169">
        <v>100.62024504458272</v>
      </c>
    </row>
    <row r="1170" spans="1:10" x14ac:dyDescent="0.25">
      <c r="A1170" s="36"/>
      <c r="B1170" t="s">
        <v>451</v>
      </c>
      <c r="C1170" s="64">
        <v>42034</v>
      </c>
      <c r="D1170">
        <v>203.6</v>
      </c>
      <c r="E1170">
        <v>100.89710216110019</v>
      </c>
      <c r="F1170" t="s">
        <v>427</v>
      </c>
      <c r="G1170" s="64">
        <v>42034</v>
      </c>
      <c r="H1170">
        <v>354.53</v>
      </c>
      <c r="I1170">
        <v>100.66603672467774</v>
      </c>
      <c r="J1170">
        <v>100.66603672467774</v>
      </c>
    </row>
    <row r="1171" spans="1:10" x14ac:dyDescent="0.25">
      <c r="A1171" s="36"/>
      <c r="B1171" t="s">
        <v>451</v>
      </c>
      <c r="C1171" s="64">
        <v>42037</v>
      </c>
      <c r="D1171">
        <v>210.94</v>
      </c>
      <c r="E1171">
        <v>100.9006826585759</v>
      </c>
      <c r="F1171" t="s">
        <v>427</v>
      </c>
      <c r="G1171" s="64">
        <v>42037</v>
      </c>
      <c r="H1171">
        <v>364.47</v>
      </c>
      <c r="I1171">
        <v>100.67514473070486</v>
      </c>
      <c r="J1171">
        <v>100.67514473070486</v>
      </c>
    </row>
    <row r="1172" spans="1:10" x14ac:dyDescent="0.25">
      <c r="A1172" s="36"/>
      <c r="B1172" t="s">
        <v>451</v>
      </c>
      <c r="C1172" s="64">
        <v>42038</v>
      </c>
      <c r="D1172">
        <v>218.36</v>
      </c>
      <c r="E1172">
        <v>100.90405751969224</v>
      </c>
      <c r="F1172" t="s">
        <v>427</v>
      </c>
      <c r="G1172" s="64">
        <v>42038</v>
      </c>
      <c r="H1172">
        <v>363.55</v>
      </c>
      <c r="I1172">
        <v>100.67432265162977</v>
      </c>
      <c r="J1172">
        <v>100.67432265162977</v>
      </c>
    </row>
    <row r="1173" spans="1:10" x14ac:dyDescent="0.25">
      <c r="A1173" s="36"/>
      <c r="B1173" t="s">
        <v>451</v>
      </c>
      <c r="C1173" s="64">
        <v>42039</v>
      </c>
      <c r="D1173">
        <v>218.55</v>
      </c>
      <c r="E1173">
        <v>100.90414092884923</v>
      </c>
      <c r="F1173" t="s">
        <v>427</v>
      </c>
      <c r="G1173" s="64">
        <v>42039</v>
      </c>
      <c r="H1173">
        <v>364.75</v>
      </c>
      <c r="I1173">
        <v>100.67539410555175</v>
      </c>
      <c r="J1173">
        <v>100.67539410555175</v>
      </c>
    </row>
    <row r="1174" spans="1:10" x14ac:dyDescent="0.25">
      <c r="A1174" s="36"/>
      <c r="B1174" t="s">
        <v>451</v>
      </c>
      <c r="C1174" s="64">
        <v>42040</v>
      </c>
      <c r="D1174">
        <v>220.99</v>
      </c>
      <c r="E1174">
        <v>100.90519933028644</v>
      </c>
      <c r="F1174" t="s">
        <v>427</v>
      </c>
      <c r="G1174" s="64">
        <v>42040</v>
      </c>
      <c r="H1174">
        <v>373.89</v>
      </c>
      <c r="I1174">
        <v>100.68332932145819</v>
      </c>
      <c r="J1174">
        <v>100.68332932145819</v>
      </c>
    </row>
    <row r="1175" spans="1:10" x14ac:dyDescent="0.25">
      <c r="A1175" s="36"/>
      <c r="B1175" t="s">
        <v>451</v>
      </c>
      <c r="C1175" s="64">
        <v>42041</v>
      </c>
      <c r="D1175">
        <v>217.36</v>
      </c>
      <c r="E1175">
        <v>100.90361612072138</v>
      </c>
      <c r="F1175" t="s">
        <v>427</v>
      </c>
      <c r="G1175" s="64">
        <v>42041</v>
      </c>
      <c r="H1175">
        <v>374.28</v>
      </c>
      <c r="I1175">
        <v>100.68365929250828</v>
      </c>
      <c r="J1175">
        <v>100.68365929250828</v>
      </c>
    </row>
    <row r="1176" spans="1:10" x14ac:dyDescent="0.25">
      <c r="A1176" s="36"/>
      <c r="B1176" t="s">
        <v>451</v>
      </c>
      <c r="C1176" s="64">
        <v>42044</v>
      </c>
      <c r="D1176">
        <v>217.48</v>
      </c>
      <c r="E1176">
        <v>100.90366930292441</v>
      </c>
      <c r="F1176" t="s">
        <v>427</v>
      </c>
      <c r="G1176" s="64">
        <v>42044</v>
      </c>
      <c r="H1176">
        <v>370.56</v>
      </c>
      <c r="I1176">
        <v>100.68048359240069</v>
      </c>
      <c r="J1176">
        <v>100.68048359240069</v>
      </c>
    </row>
    <row r="1177" spans="1:10" x14ac:dyDescent="0.25">
      <c r="A1177" s="36"/>
      <c r="B1177" t="s">
        <v>451</v>
      </c>
      <c r="C1177" s="64">
        <v>42045</v>
      </c>
      <c r="D1177">
        <v>216.29</v>
      </c>
      <c r="E1177">
        <v>100.90313930371261</v>
      </c>
      <c r="F1177" t="s">
        <v>427</v>
      </c>
      <c r="G1177" s="64">
        <v>42045</v>
      </c>
      <c r="H1177">
        <v>372.995</v>
      </c>
      <c r="I1177">
        <v>100.68256947144063</v>
      </c>
      <c r="J1177">
        <v>100.68256947144063</v>
      </c>
    </row>
    <row r="1178" spans="1:10" x14ac:dyDescent="0.25">
      <c r="A1178" s="36"/>
      <c r="B1178" t="s">
        <v>451</v>
      </c>
      <c r="C1178" s="64">
        <v>42046</v>
      </c>
      <c r="D1178">
        <v>212.8</v>
      </c>
      <c r="E1178">
        <v>100.9015507518797</v>
      </c>
      <c r="F1178" t="s">
        <v>427</v>
      </c>
      <c r="G1178" s="64">
        <v>42046</v>
      </c>
      <c r="H1178">
        <v>375.14</v>
      </c>
      <c r="I1178">
        <v>100.68438449645465</v>
      </c>
      <c r="J1178">
        <v>100.68438449645465</v>
      </c>
    </row>
    <row r="1179" spans="1:10" x14ac:dyDescent="0.25">
      <c r="A1179" s="36"/>
      <c r="B1179" t="s">
        <v>451</v>
      </c>
      <c r="C1179" s="64">
        <v>42047</v>
      </c>
      <c r="D1179">
        <v>202.88</v>
      </c>
      <c r="E1179">
        <v>100.8967369873817</v>
      </c>
      <c r="F1179" t="s">
        <v>427</v>
      </c>
      <c r="G1179" s="64">
        <v>42047</v>
      </c>
      <c r="H1179">
        <v>377.17</v>
      </c>
      <c r="I1179">
        <v>100.68608319855768</v>
      </c>
      <c r="J1179">
        <v>100.68608319855768</v>
      </c>
    </row>
    <row r="1180" spans="1:10" x14ac:dyDescent="0.25">
      <c r="A1180" s="36"/>
      <c r="B1180" t="s">
        <v>451</v>
      </c>
      <c r="C1180" s="64">
        <v>42048</v>
      </c>
      <c r="D1180">
        <v>203.77</v>
      </c>
      <c r="E1180">
        <v>100.89718800608529</v>
      </c>
      <c r="F1180" t="s">
        <v>427</v>
      </c>
      <c r="G1180" s="64">
        <v>42048</v>
      </c>
      <c r="H1180">
        <v>381.83</v>
      </c>
      <c r="I1180">
        <v>100.68991435979362</v>
      </c>
      <c r="J1180">
        <v>100.68991435979362</v>
      </c>
    </row>
    <row r="1181" spans="1:10" x14ac:dyDescent="0.25">
      <c r="A1181" s="36"/>
      <c r="B1181" t="s">
        <v>451</v>
      </c>
      <c r="C1181" s="64">
        <v>42052</v>
      </c>
      <c r="D1181">
        <v>204.35</v>
      </c>
      <c r="E1181">
        <v>100.89747981404453</v>
      </c>
      <c r="F1181" t="s">
        <v>427</v>
      </c>
      <c r="G1181" s="64">
        <v>42052</v>
      </c>
      <c r="H1181">
        <v>375.43</v>
      </c>
      <c r="I1181">
        <v>100.68462829289082</v>
      </c>
      <c r="J1181">
        <v>100.68462829289082</v>
      </c>
    </row>
    <row r="1182" spans="1:10" x14ac:dyDescent="0.25">
      <c r="A1182" s="36"/>
      <c r="B1182" t="s">
        <v>451</v>
      </c>
      <c r="C1182" s="64">
        <v>42053</v>
      </c>
      <c r="D1182">
        <v>204.46</v>
      </c>
      <c r="E1182">
        <v>100.89753497016531</v>
      </c>
      <c r="F1182" t="s">
        <v>427</v>
      </c>
      <c r="G1182" s="64">
        <v>42053</v>
      </c>
      <c r="H1182">
        <v>373.37</v>
      </c>
      <c r="I1182">
        <v>100.68288828775745</v>
      </c>
      <c r="J1182">
        <v>100.68288828775745</v>
      </c>
    </row>
    <row r="1183" spans="1:10" x14ac:dyDescent="0.25">
      <c r="A1183" s="36"/>
      <c r="B1183" t="s">
        <v>451</v>
      </c>
      <c r="C1183" s="64">
        <v>42054</v>
      </c>
      <c r="D1183">
        <v>211.70500000000001</v>
      </c>
      <c r="E1183">
        <v>100.90104154365744</v>
      </c>
      <c r="F1183" t="s">
        <v>427</v>
      </c>
      <c r="G1183" s="64">
        <v>42054</v>
      </c>
      <c r="H1183">
        <v>378.995</v>
      </c>
      <c r="I1183">
        <v>100.6875948231507</v>
      </c>
      <c r="J1183">
        <v>100.6875948231507</v>
      </c>
    </row>
    <row r="1184" spans="1:10" x14ac:dyDescent="0.25">
      <c r="A1184" s="36"/>
      <c r="B1184" t="s">
        <v>451</v>
      </c>
      <c r="C1184" s="64">
        <v>42055</v>
      </c>
      <c r="D1184">
        <v>217.11</v>
      </c>
      <c r="E1184">
        <v>100.90350513564553</v>
      </c>
      <c r="F1184" t="s">
        <v>427</v>
      </c>
      <c r="G1184" s="64">
        <v>42055</v>
      </c>
      <c r="H1184">
        <v>383.66</v>
      </c>
      <c r="I1184">
        <v>100.69139342125841</v>
      </c>
      <c r="J1184">
        <v>100.69139342125841</v>
      </c>
    </row>
    <row r="1185" spans="1:10" x14ac:dyDescent="0.25">
      <c r="A1185" s="36"/>
      <c r="B1185" t="s">
        <v>451</v>
      </c>
      <c r="C1185" s="64">
        <v>42058</v>
      </c>
      <c r="D1185">
        <v>207.33500000000001</v>
      </c>
      <c r="E1185">
        <v>100.89895579617527</v>
      </c>
      <c r="F1185" t="s">
        <v>427</v>
      </c>
      <c r="G1185" s="64">
        <v>42058</v>
      </c>
      <c r="H1185">
        <v>380.14</v>
      </c>
      <c r="I1185">
        <v>100.68853580259905</v>
      </c>
      <c r="J1185">
        <v>100.68853580259905</v>
      </c>
    </row>
    <row r="1186" spans="1:10" x14ac:dyDescent="0.25">
      <c r="A1186" s="36"/>
      <c r="B1186" t="s">
        <v>451</v>
      </c>
      <c r="C1186" s="64">
        <v>42059</v>
      </c>
      <c r="D1186">
        <v>204.11</v>
      </c>
      <c r="E1186">
        <v>100.89735926706187</v>
      </c>
      <c r="F1186" t="s">
        <v>427</v>
      </c>
      <c r="G1186" s="64">
        <v>42059</v>
      </c>
      <c r="H1186">
        <v>378.59</v>
      </c>
      <c r="I1186">
        <v>100.68726062495047</v>
      </c>
      <c r="J1186">
        <v>100.68726062495047</v>
      </c>
    </row>
    <row r="1187" spans="1:10" x14ac:dyDescent="0.25">
      <c r="A1187" s="36"/>
      <c r="B1187" t="s">
        <v>451</v>
      </c>
      <c r="C1187" s="64">
        <v>42060</v>
      </c>
      <c r="D1187">
        <v>203.76</v>
      </c>
      <c r="E1187">
        <v>100.8971829603455</v>
      </c>
      <c r="F1187" t="s">
        <v>427</v>
      </c>
      <c r="G1187" s="64">
        <v>42060</v>
      </c>
      <c r="H1187">
        <v>385.37</v>
      </c>
      <c r="I1187">
        <v>100.69276279938759</v>
      </c>
      <c r="J1187">
        <v>100.69276279938759</v>
      </c>
    </row>
    <row r="1188" spans="1:10" x14ac:dyDescent="0.25">
      <c r="A1188" s="36"/>
      <c r="B1188" t="s">
        <v>451</v>
      </c>
      <c r="C1188" s="64">
        <v>42061</v>
      </c>
      <c r="D1188">
        <v>207.19</v>
      </c>
      <c r="E1188">
        <v>100.89888508132631</v>
      </c>
      <c r="F1188" t="s">
        <v>427</v>
      </c>
      <c r="G1188" s="64">
        <v>42061</v>
      </c>
      <c r="H1188">
        <v>384.8</v>
      </c>
      <c r="I1188">
        <v>100.69230769230769</v>
      </c>
      <c r="J1188">
        <v>100.69230769230769</v>
      </c>
    </row>
    <row r="1189" spans="1:10" x14ac:dyDescent="0.25">
      <c r="A1189" s="36"/>
      <c r="B1189" t="s">
        <v>451</v>
      </c>
      <c r="C1189" s="64">
        <v>42062</v>
      </c>
      <c r="D1189">
        <v>203.34</v>
      </c>
      <c r="E1189">
        <v>100.89697059112817</v>
      </c>
      <c r="F1189" t="s">
        <v>427</v>
      </c>
      <c r="G1189" s="64">
        <v>42062</v>
      </c>
      <c r="H1189">
        <v>380.16</v>
      </c>
      <c r="I1189">
        <v>100.68855218855219</v>
      </c>
      <c r="J1189">
        <v>100.68855218855219</v>
      </c>
    </row>
    <row r="1190" spans="1:10" x14ac:dyDescent="0.25">
      <c r="A1190" s="36"/>
      <c r="B1190" t="s">
        <v>451</v>
      </c>
      <c r="C1190" s="64">
        <v>42065</v>
      </c>
      <c r="D1190">
        <v>197.32499999999999</v>
      </c>
      <c r="E1190">
        <v>100.89382997592804</v>
      </c>
      <c r="F1190" t="s">
        <v>427</v>
      </c>
      <c r="G1190" s="64">
        <v>42065</v>
      </c>
      <c r="H1190">
        <v>385.65499999999997</v>
      </c>
      <c r="I1190">
        <v>100.69298984843967</v>
      </c>
      <c r="J1190">
        <v>100.69298984843967</v>
      </c>
    </row>
    <row r="1191" spans="1:10" x14ac:dyDescent="0.25">
      <c r="A1191" s="36"/>
      <c r="B1191" t="s">
        <v>451</v>
      </c>
      <c r="C1191" s="64">
        <v>42066</v>
      </c>
      <c r="D1191">
        <v>199.56</v>
      </c>
      <c r="E1191">
        <v>100.89501904189217</v>
      </c>
      <c r="F1191" t="s">
        <v>427</v>
      </c>
      <c r="G1191" s="64">
        <v>42066</v>
      </c>
      <c r="H1191">
        <v>384.61</v>
      </c>
      <c r="I1191">
        <v>100.69215569017966</v>
      </c>
      <c r="J1191">
        <v>100.69215569017966</v>
      </c>
    </row>
    <row r="1192" spans="1:10" x14ac:dyDescent="0.25">
      <c r="A1192" s="36"/>
      <c r="B1192" t="s">
        <v>451</v>
      </c>
      <c r="C1192" s="64">
        <v>42067</v>
      </c>
      <c r="D1192">
        <v>202.435</v>
      </c>
      <c r="E1192">
        <v>100.89650999086126</v>
      </c>
      <c r="F1192" t="s">
        <v>427</v>
      </c>
      <c r="G1192" s="64">
        <v>42067</v>
      </c>
      <c r="H1192">
        <v>382.72</v>
      </c>
      <c r="I1192">
        <v>100.69063545150502</v>
      </c>
      <c r="J1192">
        <v>100.69063545150502</v>
      </c>
    </row>
    <row r="1193" spans="1:10" x14ac:dyDescent="0.25">
      <c r="A1193" s="36"/>
      <c r="B1193" t="s">
        <v>451</v>
      </c>
      <c r="C1193" s="64">
        <v>42068</v>
      </c>
      <c r="D1193">
        <v>200.63</v>
      </c>
      <c r="E1193">
        <v>100.8955789263819</v>
      </c>
      <c r="F1193" t="s">
        <v>427</v>
      </c>
      <c r="G1193" s="64">
        <v>42068</v>
      </c>
      <c r="H1193">
        <v>387.83</v>
      </c>
      <c r="I1193">
        <v>100.6947116004435</v>
      </c>
      <c r="J1193">
        <v>100.6947116004435</v>
      </c>
    </row>
    <row r="1194" spans="1:10" x14ac:dyDescent="0.25">
      <c r="A1194" s="36"/>
      <c r="B1194" t="s">
        <v>451</v>
      </c>
      <c r="C1194" s="64">
        <v>42069</v>
      </c>
      <c r="D1194">
        <v>193.88</v>
      </c>
      <c r="E1194">
        <v>100.89194347018774</v>
      </c>
      <c r="F1194" t="s">
        <v>427</v>
      </c>
      <c r="G1194" s="64">
        <v>42069</v>
      </c>
      <c r="H1194">
        <v>380.09</v>
      </c>
      <c r="I1194">
        <v>100.68849483017181</v>
      </c>
      <c r="J1194">
        <v>100.68849483017181</v>
      </c>
    </row>
    <row r="1195" spans="1:10" x14ac:dyDescent="0.25">
      <c r="A1195" s="36"/>
      <c r="B1195" t="s">
        <v>451</v>
      </c>
      <c r="C1195" s="64">
        <v>42072</v>
      </c>
      <c r="D1195">
        <v>190.88</v>
      </c>
      <c r="E1195">
        <v>100.89024518021793</v>
      </c>
      <c r="F1195" t="s">
        <v>427</v>
      </c>
      <c r="G1195" s="64">
        <v>42072</v>
      </c>
      <c r="H1195">
        <v>378.56</v>
      </c>
      <c r="I1195">
        <v>100.687235841082</v>
      </c>
      <c r="J1195">
        <v>100.687235841082</v>
      </c>
    </row>
    <row r="1196" spans="1:10" x14ac:dyDescent="0.25">
      <c r="A1196" s="36"/>
      <c r="B1196" t="s">
        <v>451</v>
      </c>
      <c r="C1196" s="64">
        <v>42073</v>
      </c>
      <c r="D1196">
        <v>190.32</v>
      </c>
      <c r="E1196">
        <v>100.88992223623372</v>
      </c>
      <c r="F1196" t="s">
        <v>427</v>
      </c>
      <c r="G1196" s="64">
        <v>42073</v>
      </c>
      <c r="H1196">
        <v>369.51</v>
      </c>
      <c r="I1196">
        <v>100.67957565424481</v>
      </c>
      <c r="J1196">
        <v>100.67957565424481</v>
      </c>
    </row>
    <row r="1197" spans="1:10" x14ac:dyDescent="0.25">
      <c r="A1197" s="36"/>
      <c r="B1197" t="s">
        <v>451</v>
      </c>
      <c r="C1197" s="64">
        <v>42074</v>
      </c>
      <c r="D1197">
        <v>193.74</v>
      </c>
      <c r="E1197">
        <v>100.8918653866006</v>
      </c>
      <c r="F1197" t="s">
        <v>427</v>
      </c>
      <c r="G1197" s="64">
        <v>42074</v>
      </c>
      <c r="H1197">
        <v>366.37</v>
      </c>
      <c r="I1197">
        <v>100.67682943472445</v>
      </c>
      <c r="J1197">
        <v>100.67682943472445</v>
      </c>
    </row>
    <row r="1198" spans="1:10" x14ac:dyDescent="0.25">
      <c r="A1198" s="36"/>
      <c r="B1198" t="s">
        <v>451</v>
      </c>
      <c r="C1198" s="64">
        <v>42075</v>
      </c>
      <c r="D1198">
        <v>191.07</v>
      </c>
      <c r="E1198">
        <v>100.89035432040613</v>
      </c>
      <c r="F1198" t="s">
        <v>427</v>
      </c>
      <c r="G1198" s="64">
        <v>42075</v>
      </c>
      <c r="H1198">
        <v>374.24</v>
      </c>
      <c r="I1198">
        <v>100.68362548097477</v>
      </c>
      <c r="J1198">
        <v>100.68362548097477</v>
      </c>
    </row>
    <row r="1199" spans="1:10" x14ac:dyDescent="0.25">
      <c r="A1199" s="36"/>
      <c r="B1199" t="s">
        <v>451</v>
      </c>
      <c r="C1199" s="64">
        <v>42076</v>
      </c>
      <c r="D1199">
        <v>188.68</v>
      </c>
      <c r="E1199">
        <v>100.88896544413822</v>
      </c>
      <c r="F1199" t="s">
        <v>427</v>
      </c>
      <c r="G1199" s="64">
        <v>42076</v>
      </c>
      <c r="H1199">
        <v>370.58</v>
      </c>
      <c r="I1199">
        <v>100.68050083652652</v>
      </c>
      <c r="J1199">
        <v>100.68050083652652</v>
      </c>
    </row>
    <row r="1200" spans="1:10" x14ac:dyDescent="0.25">
      <c r="A1200" s="36"/>
      <c r="B1200" t="s">
        <v>451</v>
      </c>
      <c r="C1200" s="64">
        <v>42079</v>
      </c>
      <c r="D1200">
        <v>195.7</v>
      </c>
      <c r="E1200">
        <v>100.89294839039346</v>
      </c>
      <c r="F1200" t="s">
        <v>427</v>
      </c>
      <c r="G1200" s="64">
        <v>42079</v>
      </c>
      <c r="H1200">
        <v>373.35</v>
      </c>
      <c r="I1200">
        <v>100.68287130038837</v>
      </c>
      <c r="J1200">
        <v>100.68287130038837</v>
      </c>
    </row>
    <row r="1201" spans="1:10" x14ac:dyDescent="0.25">
      <c r="A1201" s="36"/>
      <c r="B1201" t="s">
        <v>451</v>
      </c>
      <c r="C1201" s="64">
        <v>42080</v>
      </c>
      <c r="D1201">
        <v>194.73</v>
      </c>
      <c r="E1201">
        <v>100.89241513891028</v>
      </c>
      <c r="F1201" t="s">
        <v>427</v>
      </c>
      <c r="G1201" s="64">
        <v>42080</v>
      </c>
      <c r="H1201">
        <v>371.92</v>
      </c>
      <c r="I1201">
        <v>100.6816519681652</v>
      </c>
      <c r="J1201">
        <v>100.6816519681652</v>
      </c>
    </row>
    <row r="1202" spans="1:10" x14ac:dyDescent="0.25">
      <c r="A1202" s="36"/>
      <c r="B1202" t="s">
        <v>451</v>
      </c>
      <c r="C1202" s="64">
        <v>42081</v>
      </c>
      <c r="D1202">
        <v>200.71</v>
      </c>
      <c r="E1202">
        <v>100.89562054705794</v>
      </c>
      <c r="F1202" t="s">
        <v>427</v>
      </c>
      <c r="G1202" s="64">
        <v>42081</v>
      </c>
      <c r="H1202">
        <v>375.13499999999999</v>
      </c>
      <c r="I1202">
        <v>100.68438028976236</v>
      </c>
      <c r="J1202">
        <v>100.68438028976236</v>
      </c>
    </row>
    <row r="1203" spans="1:10" x14ac:dyDescent="0.25">
      <c r="A1203" s="36"/>
      <c r="B1203" t="s">
        <v>451</v>
      </c>
      <c r="C1203" s="64">
        <v>42082</v>
      </c>
      <c r="D1203">
        <v>195.65</v>
      </c>
      <c r="E1203">
        <v>100.89292103245592</v>
      </c>
      <c r="F1203" t="s">
        <v>427</v>
      </c>
      <c r="G1203" s="64">
        <v>42082</v>
      </c>
      <c r="H1203">
        <v>373.24</v>
      </c>
      <c r="I1203">
        <v>100.68277783731648</v>
      </c>
      <c r="J1203">
        <v>100.68277783731648</v>
      </c>
    </row>
    <row r="1204" spans="1:10" x14ac:dyDescent="0.25">
      <c r="A1204" s="36"/>
      <c r="B1204" t="s">
        <v>451</v>
      </c>
      <c r="C1204" s="64">
        <v>42083</v>
      </c>
      <c r="D1204">
        <v>198.08</v>
      </c>
      <c r="E1204">
        <v>100.89423465266559</v>
      </c>
      <c r="F1204" t="s">
        <v>427</v>
      </c>
      <c r="G1204" s="64">
        <v>42083</v>
      </c>
      <c r="H1204">
        <v>378.49</v>
      </c>
      <c r="I1204">
        <v>100.68717799677667</v>
      </c>
      <c r="J1204">
        <v>100.68717799677667</v>
      </c>
    </row>
    <row r="1205" spans="1:10" x14ac:dyDescent="0.25">
      <c r="A1205" s="36"/>
      <c r="B1205" t="s">
        <v>451</v>
      </c>
      <c r="C1205" s="64">
        <v>42086</v>
      </c>
      <c r="D1205">
        <v>199.63</v>
      </c>
      <c r="E1205">
        <v>100.89505585332866</v>
      </c>
      <c r="F1205" t="s">
        <v>427</v>
      </c>
      <c r="G1205" s="64">
        <v>42086</v>
      </c>
      <c r="H1205">
        <v>375.11</v>
      </c>
      <c r="I1205">
        <v>100.68435925461864</v>
      </c>
      <c r="J1205">
        <v>100.68435925461864</v>
      </c>
    </row>
    <row r="1206" spans="1:10" x14ac:dyDescent="0.25">
      <c r="A1206" s="36"/>
      <c r="B1206" t="s">
        <v>451</v>
      </c>
      <c r="C1206" s="64">
        <v>42087</v>
      </c>
      <c r="D1206">
        <v>201.72</v>
      </c>
      <c r="E1206">
        <v>100.89614316874876</v>
      </c>
      <c r="F1206" t="s">
        <v>427</v>
      </c>
      <c r="G1206" s="64">
        <v>42087</v>
      </c>
      <c r="H1206">
        <v>374.09</v>
      </c>
      <c r="I1206">
        <v>100.68349862332593</v>
      </c>
      <c r="J1206">
        <v>100.68349862332593</v>
      </c>
    </row>
    <row r="1207" spans="1:10" x14ac:dyDescent="0.25">
      <c r="A1207" s="36"/>
      <c r="B1207" t="s">
        <v>451</v>
      </c>
      <c r="C1207" s="64">
        <v>42088</v>
      </c>
      <c r="D1207">
        <v>194.3</v>
      </c>
      <c r="E1207">
        <v>100.89217704580545</v>
      </c>
      <c r="F1207" t="s">
        <v>427</v>
      </c>
      <c r="G1207" s="64">
        <v>42088</v>
      </c>
      <c r="H1207">
        <v>370.96</v>
      </c>
      <c r="I1207">
        <v>100.68082812163037</v>
      </c>
      <c r="J1207">
        <v>100.68082812163037</v>
      </c>
    </row>
    <row r="1208" spans="1:10" x14ac:dyDescent="0.25">
      <c r="A1208" s="36"/>
      <c r="B1208" t="s">
        <v>451</v>
      </c>
      <c r="C1208" s="64">
        <v>42089</v>
      </c>
      <c r="D1208">
        <v>190.405</v>
      </c>
      <c r="E1208">
        <v>100.88997137680208</v>
      </c>
      <c r="F1208" t="s">
        <v>427</v>
      </c>
      <c r="G1208" s="64">
        <v>42089</v>
      </c>
      <c r="H1208">
        <v>367.35</v>
      </c>
      <c r="I1208">
        <v>100.67769157479243</v>
      </c>
      <c r="J1208">
        <v>100.67769157479243</v>
      </c>
    </row>
    <row r="1209" spans="1:10" x14ac:dyDescent="0.25">
      <c r="A1209" s="36"/>
      <c r="B1209" t="s">
        <v>451</v>
      </c>
      <c r="C1209" s="64">
        <v>42090</v>
      </c>
      <c r="D1209">
        <v>185</v>
      </c>
      <c r="E1209">
        <v>100.88675675675675</v>
      </c>
      <c r="F1209" t="s">
        <v>427</v>
      </c>
      <c r="G1209" s="64">
        <v>42090</v>
      </c>
      <c r="H1209">
        <v>370.56</v>
      </c>
      <c r="I1209">
        <v>100.68048359240069</v>
      </c>
      <c r="J1209">
        <v>100.68048359240069</v>
      </c>
    </row>
    <row r="1210" spans="1:10" x14ac:dyDescent="0.25">
      <c r="A1210" s="36"/>
      <c r="B1210" t="s">
        <v>451</v>
      </c>
      <c r="C1210" s="64">
        <v>42093</v>
      </c>
      <c r="D1210">
        <v>190.57</v>
      </c>
      <c r="E1210">
        <v>100.89006664217872</v>
      </c>
      <c r="F1210" t="s">
        <v>427</v>
      </c>
      <c r="G1210" s="64">
        <v>42093</v>
      </c>
      <c r="H1210">
        <v>374.59</v>
      </c>
      <c r="I1210">
        <v>100.68392108705518</v>
      </c>
      <c r="J1210">
        <v>100.68392108705518</v>
      </c>
    </row>
    <row r="1211" spans="1:10" x14ac:dyDescent="0.25">
      <c r="A1211" s="36"/>
      <c r="B1211" t="s">
        <v>451</v>
      </c>
      <c r="C1211" s="64">
        <v>42094</v>
      </c>
      <c r="D1211">
        <v>188.77</v>
      </c>
      <c r="E1211">
        <v>100.88901838215818</v>
      </c>
      <c r="F1211" t="s">
        <v>427</v>
      </c>
      <c r="G1211" s="64">
        <v>42094</v>
      </c>
      <c r="H1211">
        <v>372.1</v>
      </c>
      <c r="I1211">
        <v>100.68180596613813</v>
      </c>
      <c r="J1211">
        <v>100.68180596613813</v>
      </c>
    </row>
    <row r="1212" spans="1:10" x14ac:dyDescent="0.25">
      <c r="A1212" s="36"/>
      <c r="B1212" t="s">
        <v>451</v>
      </c>
      <c r="C1212" s="64">
        <v>42095</v>
      </c>
      <c r="D1212">
        <v>187.59</v>
      </c>
      <c r="E1212">
        <v>100.88832027293566</v>
      </c>
      <c r="F1212" t="s">
        <v>427</v>
      </c>
      <c r="G1212" s="64">
        <v>42095</v>
      </c>
      <c r="H1212">
        <v>370.255</v>
      </c>
      <c r="I1212">
        <v>100.68022038865107</v>
      </c>
      <c r="J1212">
        <v>100.68022038865107</v>
      </c>
    </row>
    <row r="1213" spans="1:10" x14ac:dyDescent="0.25">
      <c r="A1213" s="36"/>
      <c r="B1213" t="s">
        <v>451</v>
      </c>
      <c r="C1213" s="64">
        <v>42096</v>
      </c>
      <c r="D1213">
        <v>191</v>
      </c>
      <c r="E1213">
        <v>100.89031413612565</v>
      </c>
      <c r="F1213" t="s">
        <v>427</v>
      </c>
      <c r="G1213" s="64">
        <v>42096</v>
      </c>
      <c r="H1213">
        <v>372.25</v>
      </c>
      <c r="I1213">
        <v>100.68193418401611</v>
      </c>
      <c r="J1213">
        <v>100.68193418401611</v>
      </c>
    </row>
    <row r="1214" spans="1:10" x14ac:dyDescent="0.25">
      <c r="A1214" s="36"/>
      <c r="B1214" t="s">
        <v>451</v>
      </c>
      <c r="C1214" s="64">
        <v>42100</v>
      </c>
      <c r="D1214">
        <v>203.1</v>
      </c>
      <c r="E1214">
        <v>100.89684884293452</v>
      </c>
      <c r="F1214" t="s">
        <v>427</v>
      </c>
      <c r="G1214" s="64">
        <v>42100</v>
      </c>
      <c r="H1214">
        <v>377.04</v>
      </c>
      <c r="I1214">
        <v>100.68597496286866</v>
      </c>
      <c r="J1214">
        <v>100.68597496286866</v>
      </c>
    </row>
    <row r="1215" spans="1:10" x14ac:dyDescent="0.25">
      <c r="A1215" s="36"/>
      <c r="B1215" t="s">
        <v>451</v>
      </c>
      <c r="C1215" s="64">
        <v>42101</v>
      </c>
      <c r="D1215">
        <v>203.25</v>
      </c>
      <c r="E1215">
        <v>100.8969249692497</v>
      </c>
      <c r="F1215" t="s">
        <v>427</v>
      </c>
      <c r="G1215" s="64">
        <v>42101</v>
      </c>
      <c r="H1215">
        <v>374.41</v>
      </c>
      <c r="I1215">
        <v>100.68376913009801</v>
      </c>
      <c r="J1215">
        <v>100.68376913009801</v>
      </c>
    </row>
    <row r="1216" spans="1:10" x14ac:dyDescent="0.25">
      <c r="A1216" s="36"/>
      <c r="B1216" t="s">
        <v>451</v>
      </c>
      <c r="C1216" s="64">
        <v>42102</v>
      </c>
      <c r="D1216">
        <v>207.67</v>
      </c>
      <c r="E1216">
        <v>100.89911879424086</v>
      </c>
      <c r="F1216" t="s">
        <v>427</v>
      </c>
      <c r="G1216" s="64">
        <v>42102</v>
      </c>
      <c r="H1216">
        <v>381.2</v>
      </c>
      <c r="I1216">
        <v>100.6894018887723</v>
      </c>
      <c r="J1216">
        <v>100.6894018887723</v>
      </c>
    </row>
    <row r="1217" spans="1:10" x14ac:dyDescent="0.25">
      <c r="A1217" s="36"/>
      <c r="B1217" t="s">
        <v>451</v>
      </c>
      <c r="C1217" s="64">
        <v>42103</v>
      </c>
      <c r="D1217">
        <v>210.09</v>
      </c>
      <c r="E1217">
        <v>100.90028083202436</v>
      </c>
      <c r="F1217" t="s">
        <v>427</v>
      </c>
      <c r="G1217" s="64">
        <v>42103</v>
      </c>
      <c r="H1217">
        <v>383.54</v>
      </c>
      <c r="I1217">
        <v>100.69129686603745</v>
      </c>
      <c r="J1217">
        <v>100.69129686603745</v>
      </c>
    </row>
    <row r="1218" spans="1:10" x14ac:dyDescent="0.25">
      <c r="A1218" s="36"/>
      <c r="B1218" t="s">
        <v>451</v>
      </c>
      <c r="C1218" s="64">
        <v>42104</v>
      </c>
      <c r="D1218">
        <v>210.9</v>
      </c>
      <c r="E1218">
        <v>100.90066382171645</v>
      </c>
      <c r="F1218" t="s">
        <v>427</v>
      </c>
      <c r="G1218" s="64">
        <v>42104</v>
      </c>
      <c r="H1218">
        <v>382.65</v>
      </c>
      <c r="I1218">
        <v>100.6905788579642</v>
      </c>
      <c r="J1218">
        <v>100.6905788579642</v>
      </c>
    </row>
    <row r="1219" spans="1:10" x14ac:dyDescent="0.25">
      <c r="A1219" s="36"/>
      <c r="B1219" t="s">
        <v>451</v>
      </c>
      <c r="C1219" s="64">
        <v>42107</v>
      </c>
      <c r="D1219">
        <v>209.78</v>
      </c>
      <c r="E1219">
        <v>100.90013347316236</v>
      </c>
      <c r="F1219" t="s">
        <v>427</v>
      </c>
      <c r="G1219" s="64">
        <v>42107</v>
      </c>
      <c r="H1219">
        <v>382.36</v>
      </c>
      <c r="I1219">
        <v>100.69034417826133</v>
      </c>
      <c r="J1219">
        <v>100.69034417826133</v>
      </c>
    </row>
    <row r="1220" spans="1:10" x14ac:dyDescent="0.25">
      <c r="A1220" s="36"/>
      <c r="B1220" t="s">
        <v>451</v>
      </c>
      <c r="C1220" s="64">
        <v>42108</v>
      </c>
      <c r="D1220">
        <v>207.46</v>
      </c>
      <c r="E1220">
        <v>100.89901667791382</v>
      </c>
      <c r="F1220" t="s">
        <v>427</v>
      </c>
      <c r="G1220" s="64">
        <v>42108</v>
      </c>
      <c r="H1220">
        <v>385.11</v>
      </c>
      <c r="I1220">
        <v>100.6925553737893</v>
      </c>
      <c r="J1220">
        <v>100.6925553737893</v>
      </c>
    </row>
    <row r="1221" spans="1:10" x14ac:dyDescent="0.25">
      <c r="A1221" s="36"/>
      <c r="B1221" t="s">
        <v>451</v>
      </c>
      <c r="C1221" s="64">
        <v>42109</v>
      </c>
      <c r="D1221">
        <v>207.83</v>
      </c>
      <c r="E1221">
        <v>100.89919645864408</v>
      </c>
      <c r="F1221" t="s">
        <v>427</v>
      </c>
      <c r="G1221" s="64">
        <v>42109</v>
      </c>
      <c r="H1221">
        <v>383.45</v>
      </c>
      <c r="I1221">
        <v>100.69122440996219</v>
      </c>
      <c r="J1221">
        <v>100.69122440996219</v>
      </c>
    </row>
    <row r="1222" spans="1:10" x14ac:dyDescent="0.25">
      <c r="A1222" s="36"/>
      <c r="B1222" t="s">
        <v>451</v>
      </c>
      <c r="C1222" s="64">
        <v>42110</v>
      </c>
      <c r="D1222">
        <v>206.7</v>
      </c>
      <c r="E1222">
        <v>100.89864537977745</v>
      </c>
      <c r="F1222" t="s">
        <v>427</v>
      </c>
      <c r="G1222" s="64">
        <v>42110</v>
      </c>
      <c r="H1222">
        <v>386.04</v>
      </c>
      <c r="I1222">
        <v>100.69329603149933</v>
      </c>
      <c r="J1222">
        <v>100.69329603149933</v>
      </c>
    </row>
    <row r="1223" spans="1:10" x14ac:dyDescent="0.25">
      <c r="A1223" s="36"/>
      <c r="B1223" t="s">
        <v>451</v>
      </c>
      <c r="C1223" s="64">
        <v>42111</v>
      </c>
      <c r="D1223">
        <v>206.79</v>
      </c>
      <c r="E1223">
        <v>100.89868949175492</v>
      </c>
      <c r="F1223" t="s">
        <v>427</v>
      </c>
      <c r="G1223" s="64">
        <v>42111</v>
      </c>
      <c r="H1223">
        <v>375.56</v>
      </c>
      <c r="I1223">
        <v>100.68473745872829</v>
      </c>
      <c r="J1223">
        <v>100.68473745872829</v>
      </c>
    </row>
    <row r="1224" spans="1:10" x14ac:dyDescent="0.25">
      <c r="A1224" s="36"/>
      <c r="B1224" t="s">
        <v>451</v>
      </c>
      <c r="C1224" s="64">
        <v>42114</v>
      </c>
      <c r="D1224">
        <v>205.27</v>
      </c>
      <c r="E1224">
        <v>100.89793929945925</v>
      </c>
      <c r="F1224" t="s">
        <v>427</v>
      </c>
      <c r="G1224" s="64">
        <v>42114</v>
      </c>
      <c r="H1224">
        <v>389.51</v>
      </c>
      <c r="I1224">
        <v>100.69602834330313</v>
      </c>
      <c r="J1224">
        <v>100.69602834330313</v>
      </c>
    </row>
    <row r="1225" spans="1:10" x14ac:dyDescent="0.25">
      <c r="A1225" s="36"/>
      <c r="B1225" t="s">
        <v>451</v>
      </c>
      <c r="C1225" s="64">
        <v>42115</v>
      </c>
      <c r="D1225">
        <v>209.41</v>
      </c>
      <c r="E1225">
        <v>100.89995702210973</v>
      </c>
      <c r="F1225" t="s">
        <v>427</v>
      </c>
      <c r="G1225" s="64">
        <v>42115</v>
      </c>
      <c r="H1225">
        <v>391.18</v>
      </c>
      <c r="I1225">
        <v>100.69732603916356</v>
      </c>
      <c r="J1225">
        <v>100.69732603916356</v>
      </c>
    </row>
    <row r="1226" spans="1:10" x14ac:dyDescent="0.25">
      <c r="A1226" s="36"/>
      <c r="B1226" t="s">
        <v>451</v>
      </c>
      <c r="C1226" s="64">
        <v>42116</v>
      </c>
      <c r="D1226">
        <v>219.44</v>
      </c>
      <c r="E1226">
        <v>100.90452971199417</v>
      </c>
      <c r="F1226" t="s">
        <v>427</v>
      </c>
      <c r="G1226" s="64">
        <v>42116</v>
      </c>
      <c r="H1226">
        <v>389.8</v>
      </c>
      <c r="I1226">
        <v>100.69625448948179</v>
      </c>
      <c r="J1226">
        <v>100.69625448948179</v>
      </c>
    </row>
    <row r="1227" spans="1:10" x14ac:dyDescent="0.25">
      <c r="A1227" s="36"/>
      <c r="B1227" t="s">
        <v>451</v>
      </c>
      <c r="C1227" s="64">
        <v>42117</v>
      </c>
      <c r="D1227">
        <v>218.6</v>
      </c>
      <c r="E1227">
        <v>100.90416285452882</v>
      </c>
      <c r="F1227" t="s">
        <v>427</v>
      </c>
      <c r="G1227" s="64">
        <v>42117</v>
      </c>
      <c r="H1227">
        <v>389.99</v>
      </c>
      <c r="I1227">
        <v>100.69640247185825</v>
      </c>
      <c r="J1227">
        <v>100.69640247185825</v>
      </c>
    </row>
    <row r="1228" spans="1:10" x14ac:dyDescent="0.25">
      <c r="A1228" s="36"/>
      <c r="B1228" t="s">
        <v>451</v>
      </c>
      <c r="C1228" s="64">
        <v>42118</v>
      </c>
      <c r="D1228">
        <v>218.42500000000001</v>
      </c>
      <c r="E1228">
        <v>100.90408607073365</v>
      </c>
      <c r="F1228" t="s">
        <v>427</v>
      </c>
      <c r="G1228" s="64">
        <v>42118</v>
      </c>
      <c r="H1228">
        <v>445.1</v>
      </c>
      <c r="I1228">
        <v>100.73399236126713</v>
      </c>
      <c r="J1228">
        <v>100.73399236126713</v>
      </c>
    </row>
    <row r="1229" spans="1:10" x14ac:dyDescent="0.25">
      <c r="A1229" s="36"/>
      <c r="B1229" t="s">
        <v>451</v>
      </c>
      <c r="C1229" s="64">
        <v>42121</v>
      </c>
      <c r="D1229">
        <v>231.55</v>
      </c>
      <c r="E1229">
        <v>100.90952278125675</v>
      </c>
      <c r="F1229" t="s">
        <v>427</v>
      </c>
      <c r="G1229" s="64">
        <v>42121</v>
      </c>
      <c r="H1229">
        <v>438.56</v>
      </c>
      <c r="I1229">
        <v>100.73002553812478</v>
      </c>
      <c r="J1229">
        <v>100.73002553812478</v>
      </c>
    </row>
    <row r="1230" spans="1:10" x14ac:dyDescent="0.25">
      <c r="A1230" s="36"/>
      <c r="B1230" t="s">
        <v>451</v>
      </c>
      <c r="C1230" s="64">
        <v>42122</v>
      </c>
      <c r="D1230">
        <v>230.48</v>
      </c>
      <c r="E1230">
        <v>100.90910274210344</v>
      </c>
      <c r="F1230" t="s">
        <v>427</v>
      </c>
      <c r="G1230" s="64">
        <v>42122</v>
      </c>
      <c r="H1230">
        <v>429.31</v>
      </c>
      <c r="I1230">
        <v>100.72420861382219</v>
      </c>
      <c r="J1230">
        <v>100.72420861382219</v>
      </c>
    </row>
    <row r="1231" spans="1:10" x14ac:dyDescent="0.25">
      <c r="A1231" s="36"/>
      <c r="B1231" t="s">
        <v>451</v>
      </c>
      <c r="C1231" s="64">
        <v>42123</v>
      </c>
      <c r="D1231">
        <v>232.45</v>
      </c>
      <c r="E1231">
        <v>100.9098730909873</v>
      </c>
      <c r="F1231" t="s">
        <v>427</v>
      </c>
      <c r="G1231" s="64">
        <v>42123</v>
      </c>
      <c r="H1231">
        <v>429.37</v>
      </c>
      <c r="I1231">
        <v>100.72424715280528</v>
      </c>
      <c r="J1231">
        <v>100.72424715280528</v>
      </c>
    </row>
    <row r="1232" spans="1:10" x14ac:dyDescent="0.25">
      <c r="A1232" s="36"/>
      <c r="B1232" t="s">
        <v>451</v>
      </c>
      <c r="C1232" s="64">
        <v>42124</v>
      </c>
      <c r="D1232">
        <v>226.05</v>
      </c>
      <c r="E1232">
        <v>100.90732138907322</v>
      </c>
      <c r="F1232" t="s">
        <v>427</v>
      </c>
      <c r="G1232" s="64">
        <v>42124</v>
      </c>
      <c r="H1232">
        <v>421.78</v>
      </c>
      <c r="I1232">
        <v>100.71928493527432</v>
      </c>
      <c r="J1232">
        <v>100.71928493527432</v>
      </c>
    </row>
    <row r="1233" spans="1:10" x14ac:dyDescent="0.25">
      <c r="A1233" s="36"/>
      <c r="B1233" t="s">
        <v>451</v>
      </c>
      <c r="C1233" s="64">
        <v>42125</v>
      </c>
      <c r="D1233">
        <v>226.03</v>
      </c>
      <c r="E1233">
        <v>100.90731318851481</v>
      </c>
      <c r="F1233" t="s">
        <v>427</v>
      </c>
      <c r="G1233" s="64">
        <v>42125</v>
      </c>
      <c r="H1233">
        <v>422.87</v>
      </c>
      <c r="I1233">
        <v>100.72000851325467</v>
      </c>
      <c r="J1233">
        <v>100.72000851325467</v>
      </c>
    </row>
    <row r="1234" spans="1:10" x14ac:dyDescent="0.25">
      <c r="A1234" s="36"/>
      <c r="B1234" t="s">
        <v>451</v>
      </c>
      <c r="C1234" s="64">
        <v>42128</v>
      </c>
      <c r="D1234">
        <v>230.51</v>
      </c>
      <c r="E1234">
        <v>100.90911457203592</v>
      </c>
      <c r="F1234" t="s">
        <v>427</v>
      </c>
      <c r="G1234" s="64">
        <v>42128</v>
      </c>
      <c r="H1234">
        <v>423.04</v>
      </c>
      <c r="I1234">
        <v>100.72012102874433</v>
      </c>
      <c r="J1234">
        <v>100.72012102874433</v>
      </c>
    </row>
    <row r="1235" spans="1:10" x14ac:dyDescent="0.25">
      <c r="A1235" s="36"/>
      <c r="B1235" t="s">
        <v>451</v>
      </c>
      <c r="C1235" s="64">
        <v>42129</v>
      </c>
      <c r="D1235">
        <v>232.95</v>
      </c>
      <c r="E1235">
        <v>100.91006653788367</v>
      </c>
      <c r="F1235" t="s">
        <v>427</v>
      </c>
      <c r="G1235" s="64">
        <v>42129</v>
      </c>
      <c r="H1235">
        <v>421.19</v>
      </c>
      <c r="I1235">
        <v>100.7188917115791</v>
      </c>
      <c r="J1235">
        <v>100.7188917115791</v>
      </c>
    </row>
    <row r="1236" spans="1:10" x14ac:dyDescent="0.25">
      <c r="A1236" s="36"/>
      <c r="B1236" t="s">
        <v>451</v>
      </c>
      <c r="C1236" s="64">
        <v>42130</v>
      </c>
      <c r="D1236">
        <v>230.43</v>
      </c>
      <c r="E1236">
        <v>100.90908301870417</v>
      </c>
      <c r="F1236" t="s">
        <v>427</v>
      </c>
      <c r="G1236" s="64">
        <v>42130</v>
      </c>
      <c r="H1236">
        <v>419.1</v>
      </c>
      <c r="I1236">
        <v>100.71748985922214</v>
      </c>
      <c r="J1236">
        <v>100.71748985922214</v>
      </c>
    </row>
    <row r="1237" spans="1:10" x14ac:dyDescent="0.25">
      <c r="A1237" s="36"/>
      <c r="B1237" t="s">
        <v>451</v>
      </c>
      <c r="C1237" s="64">
        <v>42131</v>
      </c>
      <c r="D1237">
        <v>236.8</v>
      </c>
      <c r="E1237">
        <v>100.91152871621621</v>
      </c>
      <c r="F1237" t="s">
        <v>427</v>
      </c>
      <c r="G1237" s="64">
        <v>42131</v>
      </c>
      <c r="H1237">
        <v>426.88</v>
      </c>
      <c r="I1237">
        <v>100.72263868065967</v>
      </c>
      <c r="J1237">
        <v>100.72263868065967</v>
      </c>
    </row>
    <row r="1238" spans="1:10" x14ac:dyDescent="0.25">
      <c r="A1238" s="36"/>
      <c r="B1238" t="s">
        <v>451</v>
      </c>
      <c r="C1238" s="64">
        <v>42132</v>
      </c>
      <c r="D1238">
        <v>236.61</v>
      </c>
      <c r="E1238">
        <v>100.91145767296395</v>
      </c>
      <c r="F1238" t="s">
        <v>427</v>
      </c>
      <c r="G1238" s="64">
        <v>42132</v>
      </c>
      <c r="H1238">
        <v>433.69</v>
      </c>
      <c r="I1238">
        <v>100.72699393576056</v>
      </c>
      <c r="J1238">
        <v>100.72699393576056</v>
      </c>
    </row>
    <row r="1239" spans="1:10" x14ac:dyDescent="0.25">
      <c r="A1239" s="36"/>
      <c r="B1239" t="s">
        <v>451</v>
      </c>
      <c r="C1239" s="64">
        <v>42135</v>
      </c>
      <c r="D1239">
        <v>239.49</v>
      </c>
      <c r="E1239">
        <v>100.91252244352583</v>
      </c>
      <c r="F1239" t="s">
        <v>427</v>
      </c>
      <c r="G1239" s="64">
        <v>42135</v>
      </c>
      <c r="H1239">
        <v>432.85</v>
      </c>
      <c r="I1239">
        <v>100.7264641330715</v>
      </c>
      <c r="J1239">
        <v>100.7264641330715</v>
      </c>
    </row>
    <row r="1240" spans="1:10" x14ac:dyDescent="0.25">
      <c r="A1240" s="36"/>
      <c r="B1240" t="s">
        <v>451</v>
      </c>
      <c r="C1240" s="64">
        <v>42136</v>
      </c>
      <c r="D1240">
        <v>244.74</v>
      </c>
      <c r="E1240">
        <v>100.91439895399199</v>
      </c>
      <c r="F1240" t="s">
        <v>427</v>
      </c>
      <c r="G1240" s="64">
        <v>42136</v>
      </c>
      <c r="H1240">
        <v>431.02</v>
      </c>
      <c r="I1240">
        <v>100.72530277017307</v>
      </c>
      <c r="J1240">
        <v>100.72530277017307</v>
      </c>
    </row>
    <row r="1241" spans="1:10" x14ac:dyDescent="0.25">
      <c r="A1241" s="36"/>
      <c r="B1241" t="s">
        <v>451</v>
      </c>
      <c r="C1241" s="64">
        <v>42137</v>
      </c>
      <c r="D1241">
        <v>243.18</v>
      </c>
      <c r="E1241">
        <v>100.91384982317625</v>
      </c>
      <c r="F1241" t="s">
        <v>427</v>
      </c>
      <c r="G1241" s="64">
        <v>42137</v>
      </c>
      <c r="H1241">
        <v>426.87</v>
      </c>
      <c r="I1241">
        <v>100.72263218310025</v>
      </c>
      <c r="J1241">
        <v>100.72263218310025</v>
      </c>
    </row>
    <row r="1242" spans="1:10" x14ac:dyDescent="0.25">
      <c r="A1242" s="36"/>
      <c r="B1242" t="s">
        <v>451</v>
      </c>
      <c r="C1242" s="64">
        <v>42138</v>
      </c>
      <c r="D1242">
        <v>244.1</v>
      </c>
      <c r="E1242">
        <v>100.9141745186399</v>
      </c>
      <c r="F1242" t="s">
        <v>427</v>
      </c>
      <c r="G1242" s="64">
        <v>42138</v>
      </c>
      <c r="H1242">
        <v>432.28</v>
      </c>
      <c r="I1242">
        <v>100.72610345146664</v>
      </c>
      <c r="J1242">
        <v>100.72610345146664</v>
      </c>
    </row>
    <row r="1243" spans="1:10" x14ac:dyDescent="0.25">
      <c r="A1243" s="36"/>
      <c r="B1243" t="s">
        <v>451</v>
      </c>
      <c r="C1243" s="64">
        <v>42139</v>
      </c>
      <c r="D1243">
        <v>248.84</v>
      </c>
      <c r="E1243">
        <v>100.9158093554091</v>
      </c>
      <c r="F1243" t="s">
        <v>427</v>
      </c>
      <c r="G1243" s="64">
        <v>42139</v>
      </c>
      <c r="H1243">
        <v>426</v>
      </c>
      <c r="I1243">
        <v>100.72206572769953</v>
      </c>
      <c r="J1243">
        <v>100.72206572769953</v>
      </c>
    </row>
    <row r="1244" spans="1:10" x14ac:dyDescent="0.25">
      <c r="A1244" s="36"/>
      <c r="B1244" t="s">
        <v>451</v>
      </c>
      <c r="C1244" s="64">
        <v>42142</v>
      </c>
      <c r="D1244">
        <v>248.75</v>
      </c>
      <c r="E1244">
        <v>100.91577889447237</v>
      </c>
      <c r="F1244" t="s">
        <v>427</v>
      </c>
      <c r="G1244" s="64">
        <v>42142</v>
      </c>
      <c r="H1244">
        <v>425.24</v>
      </c>
      <c r="I1244">
        <v>100.72156899633148</v>
      </c>
      <c r="J1244">
        <v>100.72156899633148</v>
      </c>
    </row>
    <row r="1245" spans="1:10" x14ac:dyDescent="0.25">
      <c r="A1245" s="36"/>
      <c r="B1245" t="s">
        <v>451</v>
      </c>
      <c r="C1245" s="64">
        <v>42143</v>
      </c>
      <c r="D1245">
        <v>247.14</v>
      </c>
      <c r="E1245">
        <v>100.91523023387553</v>
      </c>
      <c r="F1245" t="s">
        <v>427</v>
      </c>
      <c r="G1245" s="64">
        <v>42143</v>
      </c>
      <c r="H1245">
        <v>421.71</v>
      </c>
      <c r="I1245">
        <v>100.71923833914302</v>
      </c>
      <c r="J1245">
        <v>100.71923833914302</v>
      </c>
    </row>
    <row r="1246" spans="1:10" x14ac:dyDescent="0.25">
      <c r="A1246" s="36"/>
      <c r="B1246" t="s">
        <v>451</v>
      </c>
      <c r="C1246" s="64">
        <v>42144</v>
      </c>
      <c r="D1246">
        <v>244.35</v>
      </c>
      <c r="E1246">
        <v>100.91426232862698</v>
      </c>
      <c r="F1246" t="s">
        <v>427</v>
      </c>
      <c r="G1246" s="64">
        <v>42144</v>
      </c>
      <c r="H1246">
        <v>423.86</v>
      </c>
      <c r="I1246">
        <v>100.72066248289529</v>
      </c>
      <c r="J1246">
        <v>100.72066248289529</v>
      </c>
    </row>
    <row r="1247" spans="1:10" x14ac:dyDescent="0.25">
      <c r="A1247" s="36"/>
      <c r="B1247" t="s">
        <v>451</v>
      </c>
      <c r="C1247" s="64">
        <v>42145</v>
      </c>
      <c r="D1247">
        <v>245.62</v>
      </c>
      <c r="E1247">
        <v>100.91470564286296</v>
      </c>
      <c r="F1247" t="s">
        <v>427</v>
      </c>
      <c r="G1247" s="64">
        <v>42145</v>
      </c>
      <c r="H1247">
        <v>431.63</v>
      </c>
      <c r="I1247">
        <v>100.72569098533467</v>
      </c>
      <c r="J1247">
        <v>100.72569098533467</v>
      </c>
    </row>
    <row r="1248" spans="1:10" x14ac:dyDescent="0.25">
      <c r="A1248" s="36"/>
      <c r="B1248" t="s">
        <v>451</v>
      </c>
      <c r="C1248" s="64">
        <v>42146</v>
      </c>
      <c r="D1248">
        <v>247.73</v>
      </c>
      <c r="E1248">
        <v>100.91543212368305</v>
      </c>
      <c r="F1248" t="s">
        <v>427</v>
      </c>
      <c r="G1248" s="64">
        <v>42146</v>
      </c>
      <c r="H1248">
        <v>427.63</v>
      </c>
      <c r="I1248">
        <v>100.72312513153895</v>
      </c>
      <c r="J1248">
        <v>100.72312513153895</v>
      </c>
    </row>
    <row r="1249" spans="1:10" x14ac:dyDescent="0.25">
      <c r="A1249" s="36"/>
      <c r="B1249" t="s">
        <v>451</v>
      </c>
      <c r="C1249" s="64">
        <v>42150</v>
      </c>
      <c r="D1249">
        <v>247.45500000000001</v>
      </c>
      <c r="E1249">
        <v>100.91533814228849</v>
      </c>
      <c r="F1249" t="s">
        <v>427</v>
      </c>
      <c r="G1249" s="64">
        <v>42150</v>
      </c>
      <c r="H1249">
        <v>425.47</v>
      </c>
      <c r="I1249">
        <v>100.72171951018873</v>
      </c>
      <c r="J1249">
        <v>100.72171951018873</v>
      </c>
    </row>
    <row r="1250" spans="1:10" x14ac:dyDescent="0.25">
      <c r="A1250" s="36"/>
      <c r="B1250" t="s">
        <v>451</v>
      </c>
      <c r="C1250" s="64">
        <v>42151</v>
      </c>
      <c r="D1250">
        <v>247.43</v>
      </c>
      <c r="E1250">
        <v>100.91532958816634</v>
      </c>
      <c r="F1250" t="s">
        <v>427</v>
      </c>
      <c r="G1250" s="64">
        <v>42151</v>
      </c>
      <c r="H1250">
        <v>431.42</v>
      </c>
      <c r="I1250">
        <v>100.72555746140652</v>
      </c>
      <c r="J1250">
        <v>100.72555746140652</v>
      </c>
    </row>
    <row r="1251" spans="1:10" x14ac:dyDescent="0.25">
      <c r="A1251" s="36"/>
      <c r="B1251" t="s">
        <v>451</v>
      </c>
      <c r="C1251" s="64">
        <v>42152</v>
      </c>
      <c r="D1251">
        <v>251.45</v>
      </c>
      <c r="E1251">
        <v>100.91668323722411</v>
      </c>
      <c r="F1251" t="s">
        <v>427</v>
      </c>
      <c r="G1251" s="64">
        <v>42152</v>
      </c>
      <c r="H1251">
        <v>426.57</v>
      </c>
      <c r="I1251">
        <v>100.72243711465879</v>
      </c>
      <c r="J1251">
        <v>100.72243711465879</v>
      </c>
    </row>
    <row r="1252" spans="1:10" x14ac:dyDescent="0.25">
      <c r="A1252" s="36"/>
      <c r="B1252" t="s">
        <v>451</v>
      </c>
      <c r="C1252" s="64">
        <v>42153</v>
      </c>
      <c r="D1252">
        <v>250.8</v>
      </c>
      <c r="E1252">
        <v>100.9164673046252</v>
      </c>
      <c r="F1252" t="s">
        <v>427</v>
      </c>
      <c r="G1252" s="64">
        <v>42153</v>
      </c>
      <c r="H1252">
        <v>429.23</v>
      </c>
      <c r="I1252">
        <v>100.72415721175128</v>
      </c>
      <c r="J1252">
        <v>100.72415721175128</v>
      </c>
    </row>
    <row r="1253" spans="1:10" x14ac:dyDescent="0.25">
      <c r="A1253" s="36"/>
      <c r="B1253" t="s">
        <v>451</v>
      </c>
      <c r="C1253" s="64">
        <v>42156</v>
      </c>
      <c r="D1253">
        <v>249.45</v>
      </c>
      <c r="E1253">
        <v>100.91601523351373</v>
      </c>
      <c r="F1253" t="s">
        <v>427</v>
      </c>
      <c r="G1253" s="64">
        <v>42156</v>
      </c>
      <c r="H1253">
        <v>430.92</v>
      </c>
      <c r="I1253">
        <v>100.72523902348463</v>
      </c>
      <c r="J1253">
        <v>100.72523902348463</v>
      </c>
    </row>
    <row r="1254" spans="1:10" x14ac:dyDescent="0.25">
      <c r="A1254" s="36"/>
      <c r="B1254" t="s">
        <v>451</v>
      </c>
      <c r="C1254" s="64">
        <v>42157</v>
      </c>
      <c r="D1254">
        <v>248.35</v>
      </c>
      <c r="E1254">
        <v>100.91564324541977</v>
      </c>
      <c r="F1254" t="s">
        <v>427</v>
      </c>
      <c r="G1254" s="64">
        <v>42157</v>
      </c>
      <c r="H1254">
        <v>430.99</v>
      </c>
      <c r="I1254">
        <v>100.72528364927261</v>
      </c>
      <c r="J1254">
        <v>100.72528364927261</v>
      </c>
    </row>
    <row r="1255" spans="1:10" x14ac:dyDescent="0.25">
      <c r="A1255" s="36"/>
      <c r="B1255" t="s">
        <v>451</v>
      </c>
      <c r="C1255" s="64">
        <v>42158</v>
      </c>
      <c r="D1255">
        <v>248.99</v>
      </c>
      <c r="E1255">
        <v>100.9158600747018</v>
      </c>
      <c r="F1255" t="s">
        <v>427</v>
      </c>
      <c r="G1255" s="64">
        <v>42158</v>
      </c>
      <c r="H1255">
        <v>436.59</v>
      </c>
      <c r="I1255">
        <v>100.72880734785497</v>
      </c>
      <c r="J1255">
        <v>100.72880734785497</v>
      </c>
    </row>
    <row r="1256" spans="1:10" x14ac:dyDescent="0.25">
      <c r="A1256" s="36"/>
      <c r="B1256" t="s">
        <v>451</v>
      </c>
      <c r="C1256" s="64">
        <v>42159</v>
      </c>
      <c r="D1256">
        <v>245.92</v>
      </c>
      <c r="E1256">
        <v>100.9148096942095</v>
      </c>
      <c r="F1256" t="s">
        <v>427</v>
      </c>
      <c r="G1256" s="64">
        <v>42159</v>
      </c>
      <c r="H1256">
        <v>430.78</v>
      </c>
      <c r="I1256">
        <v>100.72514972839964</v>
      </c>
      <c r="J1256">
        <v>100.72514972839964</v>
      </c>
    </row>
    <row r="1257" spans="1:10" x14ac:dyDescent="0.25">
      <c r="A1257" s="36"/>
      <c r="B1257" t="s">
        <v>451</v>
      </c>
      <c r="C1257" s="64">
        <v>42160</v>
      </c>
      <c r="D1257">
        <v>249.14</v>
      </c>
      <c r="E1257">
        <v>100.91591073292125</v>
      </c>
      <c r="F1257" t="s">
        <v>427</v>
      </c>
      <c r="G1257" s="64">
        <v>42160</v>
      </c>
      <c r="H1257">
        <v>426.95</v>
      </c>
      <c r="I1257">
        <v>100.72268415505329</v>
      </c>
      <c r="J1257">
        <v>100.72268415505329</v>
      </c>
    </row>
    <row r="1258" spans="1:10" x14ac:dyDescent="0.25">
      <c r="A1258" s="36"/>
      <c r="B1258" t="s">
        <v>451</v>
      </c>
      <c r="C1258" s="64">
        <v>42163</v>
      </c>
      <c r="D1258">
        <v>256.29000000000002</v>
      </c>
      <c r="E1258">
        <v>100.91825666237466</v>
      </c>
      <c r="F1258" t="s">
        <v>427</v>
      </c>
      <c r="G1258" s="64">
        <v>42163</v>
      </c>
      <c r="H1258">
        <v>423.5</v>
      </c>
      <c r="I1258">
        <v>100.72042502951594</v>
      </c>
      <c r="J1258">
        <v>100.72042502951594</v>
      </c>
    </row>
    <row r="1259" spans="1:10" x14ac:dyDescent="0.25">
      <c r="A1259" s="36"/>
      <c r="B1259" t="s">
        <v>451</v>
      </c>
      <c r="C1259" s="64">
        <v>42164</v>
      </c>
      <c r="D1259">
        <v>256</v>
      </c>
      <c r="E1259">
        <v>100.9181640625</v>
      </c>
      <c r="F1259" t="s">
        <v>427</v>
      </c>
      <c r="G1259" s="64">
        <v>42164</v>
      </c>
      <c r="H1259">
        <v>425.48</v>
      </c>
      <c r="I1259">
        <v>100.72172605057817</v>
      </c>
      <c r="J1259">
        <v>100.72172605057817</v>
      </c>
    </row>
    <row r="1260" spans="1:10" x14ac:dyDescent="0.25">
      <c r="A1260" s="36"/>
      <c r="B1260" t="s">
        <v>451</v>
      </c>
      <c r="C1260" s="64">
        <v>42165</v>
      </c>
      <c r="D1260">
        <v>250.7</v>
      </c>
      <c r="E1260">
        <v>100.91643398484244</v>
      </c>
      <c r="F1260" t="s">
        <v>427</v>
      </c>
      <c r="G1260" s="64">
        <v>42165</v>
      </c>
      <c r="H1260">
        <v>430.77</v>
      </c>
      <c r="I1260">
        <v>100.72514334795831</v>
      </c>
      <c r="J1260">
        <v>100.72514334795831</v>
      </c>
    </row>
    <row r="1261" spans="1:10" x14ac:dyDescent="0.25">
      <c r="A1261" s="36"/>
      <c r="B1261" t="s">
        <v>451</v>
      </c>
      <c r="C1261" s="64">
        <v>42166</v>
      </c>
      <c r="D1261">
        <v>251.41</v>
      </c>
      <c r="E1261">
        <v>100.91666998130543</v>
      </c>
      <c r="F1261" t="s">
        <v>427</v>
      </c>
      <c r="G1261" s="64">
        <v>42166</v>
      </c>
      <c r="H1261">
        <v>432.97</v>
      </c>
      <c r="I1261">
        <v>100.72653994503084</v>
      </c>
      <c r="J1261">
        <v>100.72653994503084</v>
      </c>
    </row>
    <row r="1262" spans="1:10" x14ac:dyDescent="0.25">
      <c r="A1262" s="36"/>
      <c r="B1262" t="s">
        <v>451</v>
      </c>
      <c r="C1262" s="64">
        <v>42167</v>
      </c>
      <c r="D1262">
        <v>250.69</v>
      </c>
      <c r="E1262">
        <v>100.91643065140212</v>
      </c>
      <c r="F1262" t="s">
        <v>427</v>
      </c>
      <c r="G1262" s="64">
        <v>42167</v>
      </c>
      <c r="H1262">
        <v>429.92</v>
      </c>
      <c r="I1262">
        <v>100.72459992556755</v>
      </c>
      <c r="J1262">
        <v>100.72459992556755</v>
      </c>
    </row>
    <row r="1263" spans="1:10" x14ac:dyDescent="0.25">
      <c r="A1263" s="36"/>
      <c r="B1263" t="s">
        <v>451</v>
      </c>
      <c r="C1263" s="64">
        <v>42170</v>
      </c>
      <c r="D1263">
        <v>250.38</v>
      </c>
      <c r="E1263">
        <v>100.91632718268232</v>
      </c>
      <c r="F1263" t="s">
        <v>427</v>
      </c>
      <c r="G1263" s="64">
        <v>42170</v>
      </c>
      <c r="H1263">
        <v>423.67</v>
      </c>
      <c r="I1263">
        <v>100.72053721056483</v>
      </c>
      <c r="J1263">
        <v>100.72053721056483</v>
      </c>
    </row>
    <row r="1264" spans="1:10" x14ac:dyDescent="0.25">
      <c r="A1264" s="36"/>
      <c r="B1264" t="s">
        <v>451</v>
      </c>
      <c r="C1264" s="64">
        <v>42171</v>
      </c>
      <c r="D1264">
        <v>253.12</v>
      </c>
      <c r="E1264">
        <v>100.91723293299621</v>
      </c>
      <c r="F1264" t="s">
        <v>427</v>
      </c>
      <c r="G1264" s="64">
        <v>42171</v>
      </c>
      <c r="H1264">
        <v>427.26</v>
      </c>
      <c r="I1264">
        <v>100.72288536254271</v>
      </c>
      <c r="J1264">
        <v>100.72288536254271</v>
      </c>
    </row>
    <row r="1265" spans="1:10" x14ac:dyDescent="0.25">
      <c r="A1265" s="36"/>
      <c r="B1265" t="s">
        <v>451</v>
      </c>
      <c r="C1265" s="64">
        <v>42172</v>
      </c>
      <c r="D1265">
        <v>260.41000000000003</v>
      </c>
      <c r="E1265">
        <v>100.91954994047848</v>
      </c>
      <c r="F1265" t="s">
        <v>427</v>
      </c>
      <c r="G1265" s="64">
        <v>42172</v>
      </c>
      <c r="H1265">
        <v>427.81</v>
      </c>
      <c r="I1265">
        <v>100.72324162595545</v>
      </c>
      <c r="J1265">
        <v>100.72324162595545</v>
      </c>
    </row>
    <row r="1266" spans="1:10" x14ac:dyDescent="0.25">
      <c r="A1266" s="36"/>
      <c r="B1266" t="s">
        <v>451</v>
      </c>
      <c r="C1266" s="64">
        <v>42173</v>
      </c>
      <c r="D1266">
        <v>261.89</v>
      </c>
      <c r="E1266">
        <v>100.92000458207644</v>
      </c>
      <c r="F1266" t="s">
        <v>427</v>
      </c>
      <c r="G1266" s="64">
        <v>42173</v>
      </c>
      <c r="H1266">
        <v>439.39</v>
      </c>
      <c r="I1266">
        <v>100.730535515146</v>
      </c>
      <c r="J1266">
        <v>100.730535515146</v>
      </c>
    </row>
    <row r="1267" spans="1:10" x14ac:dyDescent="0.25">
      <c r="A1267" s="36"/>
      <c r="B1267" t="s">
        <v>451</v>
      </c>
      <c r="C1267" s="64">
        <v>42174</v>
      </c>
      <c r="D1267">
        <v>262.51</v>
      </c>
      <c r="E1267">
        <v>100.92019351643746</v>
      </c>
      <c r="F1267" t="s">
        <v>427</v>
      </c>
      <c r="G1267" s="64">
        <v>42174</v>
      </c>
      <c r="H1267">
        <v>434.92</v>
      </c>
      <c r="I1267">
        <v>100.72776602593581</v>
      </c>
      <c r="J1267">
        <v>100.72776602593581</v>
      </c>
    </row>
    <row r="1268" spans="1:10" x14ac:dyDescent="0.25">
      <c r="A1268" s="36"/>
      <c r="B1268" t="s">
        <v>451</v>
      </c>
      <c r="C1268" s="64">
        <v>42177</v>
      </c>
      <c r="D1268">
        <v>259.79000000000002</v>
      </c>
      <c r="E1268">
        <v>100.91935794295392</v>
      </c>
      <c r="F1268" t="s">
        <v>427</v>
      </c>
      <c r="G1268" s="64">
        <v>42177</v>
      </c>
      <c r="H1268">
        <v>436.29</v>
      </c>
      <c r="I1268">
        <v>100.72862087143872</v>
      </c>
      <c r="J1268">
        <v>100.72862087143872</v>
      </c>
    </row>
    <row r="1269" spans="1:10" x14ac:dyDescent="0.25">
      <c r="A1269" s="36"/>
      <c r="B1269" t="s">
        <v>451</v>
      </c>
      <c r="C1269" s="64">
        <v>42178</v>
      </c>
      <c r="D1269">
        <v>267.67</v>
      </c>
      <c r="E1269">
        <v>100.92173198341241</v>
      </c>
      <c r="F1269" t="s">
        <v>427</v>
      </c>
      <c r="G1269" s="64">
        <v>42178</v>
      </c>
      <c r="H1269">
        <v>445.99</v>
      </c>
      <c r="I1269">
        <v>100.73452319558734</v>
      </c>
      <c r="J1269">
        <v>100.73452319558734</v>
      </c>
    </row>
    <row r="1270" spans="1:10" x14ac:dyDescent="0.25">
      <c r="A1270" s="36"/>
      <c r="B1270" t="s">
        <v>451</v>
      </c>
      <c r="C1270" s="64">
        <v>42179</v>
      </c>
      <c r="D1270">
        <v>265.17</v>
      </c>
      <c r="E1270">
        <v>100.9209940792699</v>
      </c>
      <c r="F1270" t="s">
        <v>427</v>
      </c>
      <c r="G1270" s="64">
        <v>42179</v>
      </c>
      <c r="H1270">
        <v>440.84</v>
      </c>
      <c r="I1270">
        <v>100.73142183104981</v>
      </c>
      <c r="J1270">
        <v>100.73142183104981</v>
      </c>
    </row>
    <row r="1271" spans="1:10" x14ac:dyDescent="0.25">
      <c r="A1271" s="36"/>
      <c r="B1271" t="s">
        <v>451</v>
      </c>
      <c r="C1271" s="64">
        <v>42180</v>
      </c>
      <c r="D1271">
        <v>268.79000000000002</v>
      </c>
      <c r="E1271">
        <v>100.92205811228096</v>
      </c>
      <c r="F1271" t="s">
        <v>427</v>
      </c>
      <c r="G1271" s="64">
        <v>42180</v>
      </c>
      <c r="H1271">
        <v>440.1</v>
      </c>
      <c r="I1271">
        <v>100.73097023403771</v>
      </c>
      <c r="J1271">
        <v>100.73097023403771</v>
      </c>
    </row>
    <row r="1272" spans="1:10" x14ac:dyDescent="0.25">
      <c r="A1272" s="36"/>
      <c r="B1272" t="s">
        <v>451</v>
      </c>
      <c r="C1272" s="64">
        <v>42181</v>
      </c>
      <c r="D1272">
        <v>267.08999999999997</v>
      </c>
      <c r="E1272">
        <v>100.92156202029278</v>
      </c>
      <c r="F1272" t="s">
        <v>427</v>
      </c>
      <c r="G1272" s="64">
        <v>42181</v>
      </c>
      <c r="H1272">
        <v>438.1</v>
      </c>
      <c r="I1272">
        <v>100.729742068021</v>
      </c>
      <c r="J1272">
        <v>100.729742068021</v>
      </c>
    </row>
    <row r="1273" spans="1:10" x14ac:dyDescent="0.25">
      <c r="A1273" s="36"/>
      <c r="B1273" t="s">
        <v>451</v>
      </c>
      <c r="C1273" s="64">
        <v>42184</v>
      </c>
      <c r="D1273">
        <v>262.02</v>
      </c>
      <c r="E1273">
        <v>100.92004427142966</v>
      </c>
      <c r="F1273" t="s">
        <v>427</v>
      </c>
      <c r="G1273" s="64">
        <v>42184</v>
      </c>
      <c r="H1273">
        <v>429.86</v>
      </c>
      <c r="I1273">
        <v>100.7245614851347</v>
      </c>
      <c r="J1273">
        <v>100.7245614851347</v>
      </c>
    </row>
    <row r="1274" spans="1:10" x14ac:dyDescent="0.25">
      <c r="A1274" s="36"/>
      <c r="B1274" t="s">
        <v>451</v>
      </c>
      <c r="C1274" s="64">
        <v>42185</v>
      </c>
      <c r="D1274">
        <v>268.26</v>
      </c>
      <c r="E1274">
        <v>100.92190412286588</v>
      </c>
      <c r="F1274" t="s">
        <v>427</v>
      </c>
      <c r="G1274" s="64">
        <v>42185</v>
      </c>
      <c r="H1274">
        <v>434.09</v>
      </c>
      <c r="I1274">
        <v>100.72724550208483</v>
      </c>
      <c r="J1274">
        <v>100.72724550208483</v>
      </c>
    </row>
    <row r="1275" spans="1:10" x14ac:dyDescent="0.25">
      <c r="A1275" s="36"/>
      <c r="B1275" t="s">
        <v>451</v>
      </c>
      <c r="C1275" s="64">
        <v>42186</v>
      </c>
      <c r="D1275">
        <v>269.14999999999998</v>
      </c>
      <c r="E1275">
        <v>100.92216236299461</v>
      </c>
      <c r="F1275" t="s">
        <v>427</v>
      </c>
      <c r="G1275" s="64">
        <v>42186</v>
      </c>
      <c r="H1275">
        <v>437.39</v>
      </c>
      <c r="I1275">
        <v>100.72930336770388</v>
      </c>
      <c r="J1275">
        <v>100.72930336770388</v>
      </c>
    </row>
    <row r="1276" spans="1:10" x14ac:dyDescent="0.25">
      <c r="A1276" s="36"/>
      <c r="B1276" t="s">
        <v>451</v>
      </c>
      <c r="C1276" s="64">
        <v>42187</v>
      </c>
      <c r="D1276">
        <v>280.02</v>
      </c>
      <c r="E1276">
        <v>100.92518391543462</v>
      </c>
      <c r="F1276" t="s">
        <v>427</v>
      </c>
      <c r="G1276" s="64">
        <v>42187</v>
      </c>
      <c r="H1276">
        <v>437.71</v>
      </c>
      <c r="I1276">
        <v>100.7295012679628</v>
      </c>
      <c r="J1276">
        <v>100.7295012679628</v>
      </c>
    </row>
    <row r="1277" spans="1:10" x14ac:dyDescent="0.25">
      <c r="A1277" s="36"/>
      <c r="B1277" t="s">
        <v>451</v>
      </c>
      <c r="C1277" s="64">
        <v>42191</v>
      </c>
      <c r="D1277">
        <v>279.72000000000003</v>
      </c>
      <c r="E1277">
        <v>100.92510367510367</v>
      </c>
      <c r="F1277" t="s">
        <v>427</v>
      </c>
      <c r="G1277" s="64">
        <v>42191</v>
      </c>
      <c r="H1277">
        <v>436.04</v>
      </c>
      <c r="I1277">
        <v>100.72846527841483</v>
      </c>
      <c r="J1277">
        <v>100.72846527841483</v>
      </c>
    </row>
    <row r="1278" spans="1:10" x14ac:dyDescent="0.25">
      <c r="A1278" s="36"/>
      <c r="B1278" t="s">
        <v>451</v>
      </c>
      <c r="C1278" s="64">
        <v>42192</v>
      </c>
      <c r="D1278">
        <v>267.88</v>
      </c>
      <c r="E1278">
        <v>100.92179334030163</v>
      </c>
      <c r="F1278" t="s">
        <v>427</v>
      </c>
      <c r="G1278" s="64">
        <v>42192</v>
      </c>
      <c r="H1278">
        <v>436.72</v>
      </c>
      <c r="I1278">
        <v>100.72888807473896</v>
      </c>
      <c r="J1278">
        <v>100.72888807473896</v>
      </c>
    </row>
    <row r="1279" spans="1:10" x14ac:dyDescent="0.25">
      <c r="A1279" s="36"/>
      <c r="B1279" t="s">
        <v>451</v>
      </c>
      <c r="C1279" s="64">
        <v>42193</v>
      </c>
      <c r="D1279">
        <v>254.96</v>
      </c>
      <c r="E1279">
        <v>100.91783024788202</v>
      </c>
      <c r="F1279" t="s">
        <v>427</v>
      </c>
      <c r="G1279" s="64">
        <v>42193</v>
      </c>
      <c r="H1279">
        <v>429.7</v>
      </c>
      <c r="I1279">
        <v>100.72445892483128</v>
      </c>
      <c r="J1279">
        <v>100.72445892483128</v>
      </c>
    </row>
    <row r="1280" spans="1:10" x14ac:dyDescent="0.25">
      <c r="A1280" s="36"/>
      <c r="B1280" t="s">
        <v>451</v>
      </c>
      <c r="C1280" s="64">
        <v>42194</v>
      </c>
      <c r="D1280">
        <v>257.92</v>
      </c>
      <c r="E1280">
        <v>100.91877326302729</v>
      </c>
      <c r="F1280" t="s">
        <v>427</v>
      </c>
      <c r="G1280" s="64">
        <v>42194</v>
      </c>
      <c r="H1280">
        <v>434.39</v>
      </c>
      <c r="I1280">
        <v>100.72743387278713</v>
      </c>
      <c r="J1280">
        <v>100.72743387278713</v>
      </c>
    </row>
    <row r="1281" spans="1:10" x14ac:dyDescent="0.25">
      <c r="A1281" s="36"/>
      <c r="B1281" t="s">
        <v>451</v>
      </c>
      <c r="C1281" s="64">
        <v>42195</v>
      </c>
      <c r="D1281">
        <v>259.14999999999998</v>
      </c>
      <c r="E1281">
        <v>100.91915878834652</v>
      </c>
      <c r="F1281" t="s">
        <v>427</v>
      </c>
      <c r="G1281" s="64">
        <v>42195</v>
      </c>
      <c r="H1281">
        <v>443.51</v>
      </c>
      <c r="I1281">
        <v>100.73303871389597</v>
      </c>
      <c r="J1281">
        <v>100.73303871389597</v>
      </c>
    </row>
    <row r="1282" spans="1:10" x14ac:dyDescent="0.25">
      <c r="A1282" s="36"/>
      <c r="B1282" t="s">
        <v>451</v>
      </c>
      <c r="C1282" s="64">
        <v>42198</v>
      </c>
      <c r="D1282">
        <v>262.16000000000003</v>
      </c>
      <c r="E1282">
        <v>100.92008696978944</v>
      </c>
      <c r="F1282" t="s">
        <v>427</v>
      </c>
      <c r="G1282" s="64">
        <v>42198</v>
      </c>
      <c r="H1282">
        <v>455.57</v>
      </c>
      <c r="I1282">
        <v>100.74010580152337</v>
      </c>
      <c r="J1282">
        <v>100.74010580152337</v>
      </c>
    </row>
    <row r="1283" spans="1:10" x14ac:dyDescent="0.25">
      <c r="A1283" s="36"/>
      <c r="B1283" t="s">
        <v>451</v>
      </c>
      <c r="C1283" s="64">
        <v>42199</v>
      </c>
      <c r="D1283">
        <v>265.64999999999998</v>
      </c>
      <c r="E1283">
        <v>100.92113683418032</v>
      </c>
      <c r="F1283" t="s">
        <v>427</v>
      </c>
      <c r="G1283" s="64">
        <v>42199</v>
      </c>
      <c r="H1283">
        <v>465.57</v>
      </c>
      <c r="I1283">
        <v>100.74568808127671</v>
      </c>
      <c r="J1283">
        <v>100.74568808127671</v>
      </c>
    </row>
    <row r="1284" spans="1:10" x14ac:dyDescent="0.25">
      <c r="A1284" s="36"/>
      <c r="B1284" t="s">
        <v>451</v>
      </c>
      <c r="C1284" s="64">
        <v>42200</v>
      </c>
      <c r="D1284">
        <v>263.14</v>
      </c>
      <c r="E1284">
        <v>100.92038458615185</v>
      </c>
      <c r="F1284" t="s">
        <v>427</v>
      </c>
      <c r="G1284" s="64">
        <v>42200</v>
      </c>
      <c r="H1284">
        <v>461.19</v>
      </c>
      <c r="I1284">
        <v>100.74327283765911</v>
      </c>
      <c r="J1284">
        <v>100.74327283765911</v>
      </c>
    </row>
    <row r="1285" spans="1:10" x14ac:dyDescent="0.25">
      <c r="A1285" s="36"/>
      <c r="B1285" t="s">
        <v>451</v>
      </c>
      <c r="C1285" s="64">
        <v>42201</v>
      </c>
      <c r="D1285">
        <v>266.68</v>
      </c>
      <c r="E1285">
        <v>100.9214414279286</v>
      </c>
      <c r="F1285" t="s">
        <v>427</v>
      </c>
      <c r="G1285" s="64">
        <v>42201</v>
      </c>
      <c r="H1285">
        <v>475.48</v>
      </c>
      <c r="I1285">
        <v>100.7509884748044</v>
      </c>
      <c r="J1285">
        <v>100.7509884748044</v>
      </c>
    </row>
    <row r="1286" spans="1:10" x14ac:dyDescent="0.25">
      <c r="A1286" s="36"/>
      <c r="B1286" t="s">
        <v>451</v>
      </c>
      <c r="C1286" s="64">
        <v>42202</v>
      </c>
      <c r="D1286">
        <v>274.66000000000003</v>
      </c>
      <c r="E1286">
        <v>100.92372387679313</v>
      </c>
      <c r="F1286" t="s">
        <v>427</v>
      </c>
      <c r="G1286" s="64">
        <v>42202</v>
      </c>
      <c r="H1286">
        <v>483.01</v>
      </c>
      <c r="I1286">
        <v>100.75487049957557</v>
      </c>
      <c r="J1286">
        <v>100.75487049957557</v>
      </c>
    </row>
    <row r="1287" spans="1:10" x14ac:dyDescent="0.25">
      <c r="A1287" s="36"/>
      <c r="B1287" t="s">
        <v>451</v>
      </c>
      <c r="C1287" s="64">
        <v>42205</v>
      </c>
      <c r="D1287">
        <v>282.26</v>
      </c>
      <c r="E1287">
        <v>100.92577765181039</v>
      </c>
      <c r="F1287" t="s">
        <v>427</v>
      </c>
      <c r="G1287" s="64">
        <v>42205</v>
      </c>
      <c r="H1287">
        <v>488.1</v>
      </c>
      <c r="I1287">
        <v>100.75742675681212</v>
      </c>
      <c r="J1287">
        <v>100.75742675681212</v>
      </c>
    </row>
    <row r="1288" spans="1:10" x14ac:dyDescent="0.25">
      <c r="A1288" s="36"/>
      <c r="B1288" t="s">
        <v>451</v>
      </c>
      <c r="C1288" s="64">
        <v>42206</v>
      </c>
      <c r="D1288">
        <v>266.77</v>
      </c>
      <c r="E1288">
        <v>100.92146793117666</v>
      </c>
      <c r="F1288" t="s">
        <v>427</v>
      </c>
      <c r="G1288" s="64">
        <v>42206</v>
      </c>
      <c r="H1288">
        <v>488</v>
      </c>
      <c r="I1288">
        <v>100.75737704918033</v>
      </c>
      <c r="J1288">
        <v>100.75737704918033</v>
      </c>
    </row>
    <row r="1289" spans="1:10" x14ac:dyDescent="0.25">
      <c r="A1289" s="36"/>
      <c r="B1289" t="s">
        <v>451</v>
      </c>
      <c r="C1289" s="64">
        <v>42207</v>
      </c>
      <c r="D1289">
        <v>267.87</v>
      </c>
      <c r="E1289">
        <v>100.92179042072647</v>
      </c>
      <c r="F1289" t="s">
        <v>427</v>
      </c>
      <c r="G1289" s="64">
        <v>42207</v>
      </c>
      <c r="H1289">
        <v>488.27</v>
      </c>
      <c r="I1289">
        <v>100.75751121305835</v>
      </c>
      <c r="J1289">
        <v>100.75751121305835</v>
      </c>
    </row>
    <row r="1290" spans="1:10" x14ac:dyDescent="0.25">
      <c r="A1290" s="36"/>
      <c r="B1290" t="s">
        <v>451</v>
      </c>
      <c r="C1290" s="64">
        <v>42208</v>
      </c>
      <c r="D1290">
        <v>267.2</v>
      </c>
      <c r="E1290">
        <v>100.92159431137725</v>
      </c>
      <c r="F1290" t="s">
        <v>427</v>
      </c>
      <c r="G1290" s="64">
        <v>42208</v>
      </c>
      <c r="H1290">
        <v>482.18</v>
      </c>
      <c r="I1290">
        <v>100.75444854618607</v>
      </c>
      <c r="J1290">
        <v>100.75444854618607</v>
      </c>
    </row>
    <row r="1291" spans="1:10" x14ac:dyDescent="0.25">
      <c r="A1291" s="36"/>
      <c r="B1291" t="s">
        <v>451</v>
      </c>
      <c r="C1291" s="64">
        <v>42209</v>
      </c>
      <c r="D1291">
        <v>265.41000000000003</v>
      </c>
      <c r="E1291">
        <v>100.92106552126899</v>
      </c>
      <c r="F1291" t="s">
        <v>427</v>
      </c>
      <c r="G1291" s="64">
        <v>42209</v>
      </c>
      <c r="H1291">
        <v>529.41999999999996</v>
      </c>
      <c r="I1291">
        <v>100.77635903441502</v>
      </c>
      <c r="J1291">
        <v>100.77635903441502</v>
      </c>
    </row>
    <row r="1292" spans="1:10" x14ac:dyDescent="0.25">
      <c r="A1292" s="36"/>
      <c r="B1292" t="s">
        <v>451</v>
      </c>
      <c r="C1292" s="64">
        <v>42212</v>
      </c>
      <c r="D1292">
        <v>253.01</v>
      </c>
      <c r="E1292">
        <v>100.9171969487372</v>
      </c>
      <c r="F1292" t="s">
        <v>427</v>
      </c>
      <c r="G1292" s="64">
        <v>42212</v>
      </c>
      <c r="H1292">
        <v>531.41</v>
      </c>
      <c r="I1292">
        <v>100.77719651493197</v>
      </c>
      <c r="J1292">
        <v>100.77719651493197</v>
      </c>
    </row>
    <row r="1293" spans="1:10" x14ac:dyDescent="0.25">
      <c r="A1293" s="36"/>
      <c r="B1293" t="s">
        <v>451</v>
      </c>
      <c r="C1293" s="64">
        <v>42213</v>
      </c>
      <c r="D1293">
        <v>264.82</v>
      </c>
      <c r="E1293">
        <v>100.92088966090175</v>
      </c>
      <c r="F1293" t="s">
        <v>427</v>
      </c>
      <c r="G1293" s="64">
        <v>42213</v>
      </c>
      <c r="H1293">
        <v>526.03</v>
      </c>
      <c r="I1293">
        <v>100.77491778035473</v>
      </c>
      <c r="J1293">
        <v>100.77491778035473</v>
      </c>
    </row>
    <row r="1294" spans="1:10" x14ac:dyDescent="0.25">
      <c r="A1294" s="36"/>
      <c r="B1294" t="s">
        <v>451</v>
      </c>
      <c r="C1294" s="64">
        <v>42214</v>
      </c>
      <c r="D1294">
        <v>263.82</v>
      </c>
      <c r="E1294">
        <v>100.92058979607307</v>
      </c>
      <c r="F1294" t="s">
        <v>427</v>
      </c>
      <c r="G1294" s="64">
        <v>42214</v>
      </c>
      <c r="H1294">
        <v>529</v>
      </c>
      <c r="I1294">
        <v>100.77618147448015</v>
      </c>
      <c r="J1294">
        <v>100.77618147448015</v>
      </c>
    </row>
    <row r="1295" spans="1:10" x14ac:dyDescent="0.25">
      <c r="A1295" s="36"/>
      <c r="B1295" t="s">
        <v>451</v>
      </c>
      <c r="C1295" s="64">
        <v>42215</v>
      </c>
      <c r="D1295">
        <v>266.79000000000002</v>
      </c>
      <c r="E1295">
        <v>100.921473818359</v>
      </c>
      <c r="F1295" t="s">
        <v>427</v>
      </c>
      <c r="G1295" s="64">
        <v>42215</v>
      </c>
      <c r="H1295">
        <v>536.76</v>
      </c>
      <c r="I1295">
        <v>100.77941724420597</v>
      </c>
      <c r="J1295">
        <v>100.77941724420597</v>
      </c>
    </row>
    <row r="1296" spans="1:10" x14ac:dyDescent="0.25">
      <c r="A1296" s="36"/>
      <c r="B1296" t="s">
        <v>451</v>
      </c>
      <c r="C1296" s="64">
        <v>42216</v>
      </c>
      <c r="D1296">
        <v>266.14999999999998</v>
      </c>
      <c r="E1296">
        <v>100.92128498966748</v>
      </c>
      <c r="F1296" t="s">
        <v>427</v>
      </c>
      <c r="G1296" s="64">
        <v>42216</v>
      </c>
      <c r="H1296">
        <v>536.15</v>
      </c>
      <c r="I1296">
        <v>100.77916627809381</v>
      </c>
      <c r="J1296">
        <v>100.77916627809381</v>
      </c>
    </row>
    <row r="1297" spans="1:10" x14ac:dyDescent="0.25">
      <c r="A1297" s="36"/>
      <c r="B1297" t="s">
        <v>451</v>
      </c>
      <c r="C1297" s="64">
        <v>42219</v>
      </c>
      <c r="D1297">
        <v>259.99</v>
      </c>
      <c r="E1297">
        <v>100.91941997769145</v>
      </c>
      <c r="F1297" t="s">
        <v>427</v>
      </c>
      <c r="G1297" s="64">
        <v>42219</v>
      </c>
      <c r="H1297">
        <v>535.03</v>
      </c>
      <c r="I1297">
        <v>100.77870399790666</v>
      </c>
      <c r="J1297">
        <v>100.77870399790666</v>
      </c>
    </row>
    <row r="1298" spans="1:10" x14ac:dyDescent="0.25">
      <c r="A1298" s="36"/>
      <c r="B1298" t="s">
        <v>451</v>
      </c>
      <c r="C1298" s="64">
        <v>42220</v>
      </c>
      <c r="D1298">
        <v>266.27999999999997</v>
      </c>
      <c r="E1298">
        <v>100.92132341895748</v>
      </c>
      <c r="F1298" t="s">
        <v>427</v>
      </c>
      <c r="G1298" s="64">
        <v>42220</v>
      </c>
      <c r="H1298">
        <v>531.9</v>
      </c>
      <c r="I1298">
        <v>100.77740176724949</v>
      </c>
      <c r="J1298">
        <v>100.77740176724949</v>
      </c>
    </row>
    <row r="1299" spans="1:10" x14ac:dyDescent="0.25">
      <c r="A1299" s="36"/>
      <c r="B1299" t="s">
        <v>451</v>
      </c>
      <c r="C1299" s="64">
        <v>42221</v>
      </c>
      <c r="D1299">
        <v>270.13</v>
      </c>
      <c r="E1299">
        <v>100.92244474882465</v>
      </c>
      <c r="F1299" t="s">
        <v>427</v>
      </c>
      <c r="G1299" s="64">
        <v>42221</v>
      </c>
      <c r="H1299">
        <v>537.01</v>
      </c>
      <c r="I1299">
        <v>100.77951993445187</v>
      </c>
      <c r="J1299">
        <v>100.77951993445187</v>
      </c>
    </row>
    <row r="1300" spans="1:10" x14ac:dyDescent="0.25">
      <c r="A1300" s="36"/>
      <c r="B1300" t="s">
        <v>451</v>
      </c>
      <c r="C1300" s="64">
        <v>42222</v>
      </c>
      <c r="D1300">
        <v>246.13</v>
      </c>
      <c r="E1300">
        <v>100.91488237923049</v>
      </c>
      <c r="F1300" t="s">
        <v>427</v>
      </c>
      <c r="G1300" s="64">
        <v>42222</v>
      </c>
      <c r="H1300">
        <v>529.46</v>
      </c>
      <c r="I1300">
        <v>100.77637593019303</v>
      </c>
      <c r="J1300">
        <v>100.77637593019303</v>
      </c>
    </row>
    <row r="1301" spans="1:10" x14ac:dyDescent="0.25">
      <c r="A1301" s="36"/>
      <c r="B1301" t="s">
        <v>451</v>
      </c>
      <c r="C1301" s="64">
        <v>42223</v>
      </c>
      <c r="D1301">
        <v>242.51</v>
      </c>
      <c r="E1301">
        <v>100.91361180982227</v>
      </c>
      <c r="F1301" t="s">
        <v>427</v>
      </c>
      <c r="G1301" s="64">
        <v>42223</v>
      </c>
      <c r="H1301">
        <v>522.62</v>
      </c>
      <c r="I1301">
        <v>100.77344916000153</v>
      </c>
      <c r="J1301">
        <v>100.77344916000153</v>
      </c>
    </row>
    <row r="1302" spans="1:10" x14ac:dyDescent="0.25">
      <c r="A1302" s="36"/>
      <c r="B1302" t="s">
        <v>451</v>
      </c>
      <c r="C1302" s="64">
        <v>42226</v>
      </c>
      <c r="D1302">
        <v>241.14</v>
      </c>
      <c r="E1302">
        <v>100.91312100854276</v>
      </c>
      <c r="F1302" t="s">
        <v>427</v>
      </c>
      <c r="G1302" s="64">
        <v>42226</v>
      </c>
      <c r="H1302">
        <v>524</v>
      </c>
      <c r="I1302">
        <v>100.77404580152671</v>
      </c>
      <c r="J1302">
        <v>100.77404580152671</v>
      </c>
    </row>
    <row r="1303" spans="1:10" x14ac:dyDescent="0.25">
      <c r="A1303" s="36"/>
      <c r="B1303" t="s">
        <v>451</v>
      </c>
      <c r="C1303" s="64">
        <v>42227</v>
      </c>
      <c r="D1303">
        <v>237.37</v>
      </c>
      <c r="E1303">
        <v>100.91174116358428</v>
      </c>
      <c r="F1303" t="s">
        <v>427</v>
      </c>
      <c r="G1303" s="64">
        <v>42227</v>
      </c>
      <c r="H1303">
        <v>527.46</v>
      </c>
      <c r="I1303">
        <v>100.77552800212338</v>
      </c>
      <c r="J1303">
        <v>100.77552800212338</v>
      </c>
    </row>
    <row r="1304" spans="1:10" x14ac:dyDescent="0.25">
      <c r="A1304" s="36"/>
      <c r="B1304" t="s">
        <v>451</v>
      </c>
      <c r="C1304" s="64">
        <v>42228</v>
      </c>
      <c r="D1304">
        <v>238.17</v>
      </c>
      <c r="E1304">
        <v>100.91203762018726</v>
      </c>
      <c r="F1304" t="s">
        <v>427</v>
      </c>
      <c r="G1304" s="64">
        <v>42228</v>
      </c>
      <c r="H1304">
        <v>525.91</v>
      </c>
      <c r="I1304">
        <v>100.77486642201137</v>
      </c>
      <c r="J1304">
        <v>100.77486642201137</v>
      </c>
    </row>
    <row r="1305" spans="1:10" x14ac:dyDescent="0.25">
      <c r="A1305" s="36"/>
      <c r="B1305" t="s">
        <v>451</v>
      </c>
      <c r="C1305" s="64">
        <v>42229</v>
      </c>
      <c r="D1305">
        <v>242.51</v>
      </c>
      <c r="E1305">
        <v>100.91361180982227</v>
      </c>
      <c r="F1305" t="s">
        <v>427</v>
      </c>
      <c r="G1305" s="64">
        <v>42229</v>
      </c>
      <c r="H1305">
        <v>529.66</v>
      </c>
      <c r="I1305">
        <v>100.77646037080392</v>
      </c>
      <c r="J1305">
        <v>100.77646037080392</v>
      </c>
    </row>
    <row r="1306" spans="1:10" x14ac:dyDescent="0.25">
      <c r="A1306" s="36"/>
      <c r="B1306" t="s">
        <v>451</v>
      </c>
      <c r="C1306" s="64">
        <v>42230</v>
      </c>
      <c r="D1306">
        <v>243.15</v>
      </c>
      <c r="E1306">
        <v>100.91383919391322</v>
      </c>
      <c r="F1306" t="s">
        <v>427</v>
      </c>
      <c r="G1306" s="64">
        <v>42230</v>
      </c>
      <c r="H1306">
        <v>531.52</v>
      </c>
      <c r="I1306">
        <v>100.77724262492474</v>
      </c>
      <c r="J1306">
        <v>100.77724262492474</v>
      </c>
    </row>
    <row r="1307" spans="1:10" x14ac:dyDescent="0.25">
      <c r="A1307" s="36"/>
      <c r="B1307" t="s">
        <v>451</v>
      </c>
      <c r="C1307" s="64">
        <v>42233</v>
      </c>
      <c r="D1307">
        <v>254.99</v>
      </c>
      <c r="E1307">
        <v>100.9178399152908</v>
      </c>
      <c r="F1307" t="s">
        <v>427</v>
      </c>
      <c r="G1307" s="64">
        <v>42233</v>
      </c>
      <c r="H1307">
        <v>535.22</v>
      </c>
      <c r="I1307">
        <v>100.77878255670565</v>
      </c>
      <c r="J1307">
        <v>100.77878255670565</v>
      </c>
    </row>
    <row r="1308" spans="1:10" x14ac:dyDescent="0.25">
      <c r="A1308" s="36"/>
      <c r="B1308" t="s">
        <v>451</v>
      </c>
      <c r="C1308" s="64">
        <v>42234</v>
      </c>
      <c r="D1308">
        <v>260.72000000000003</v>
      </c>
      <c r="E1308">
        <v>100.91964559680883</v>
      </c>
      <c r="F1308" t="s">
        <v>427</v>
      </c>
      <c r="G1308" s="64">
        <v>42234</v>
      </c>
      <c r="H1308">
        <v>535.02</v>
      </c>
      <c r="I1308">
        <v>100.77869986168741</v>
      </c>
      <c r="J1308">
        <v>100.77869986168741</v>
      </c>
    </row>
    <row r="1309" spans="1:10" x14ac:dyDescent="0.25">
      <c r="A1309" s="36"/>
      <c r="B1309" t="s">
        <v>451</v>
      </c>
      <c r="C1309" s="64">
        <v>42235</v>
      </c>
      <c r="D1309">
        <v>255.25</v>
      </c>
      <c r="E1309">
        <v>100.91792360430951</v>
      </c>
      <c r="F1309" t="s">
        <v>427</v>
      </c>
      <c r="G1309" s="64">
        <v>42235</v>
      </c>
      <c r="H1309">
        <v>532.91999999999996</v>
      </c>
      <c r="I1309">
        <v>100.77782781655783</v>
      </c>
      <c r="J1309">
        <v>100.77782781655783</v>
      </c>
    </row>
    <row r="1310" spans="1:10" x14ac:dyDescent="0.25">
      <c r="A1310" s="36"/>
      <c r="B1310" t="s">
        <v>451</v>
      </c>
      <c r="C1310" s="64">
        <v>42236</v>
      </c>
      <c r="D1310">
        <v>242.18</v>
      </c>
      <c r="E1310">
        <v>100.91349409530102</v>
      </c>
      <c r="F1310" t="s">
        <v>427</v>
      </c>
      <c r="G1310" s="64">
        <v>42236</v>
      </c>
      <c r="H1310">
        <v>515.78</v>
      </c>
      <c r="I1310">
        <v>100.77044476327116</v>
      </c>
      <c r="J1310">
        <v>100.77044476327116</v>
      </c>
    </row>
    <row r="1311" spans="1:10" x14ac:dyDescent="0.25">
      <c r="A1311" s="36"/>
      <c r="B1311" t="s">
        <v>451</v>
      </c>
      <c r="C1311" s="64">
        <v>42237</v>
      </c>
      <c r="D1311">
        <v>230.77</v>
      </c>
      <c r="E1311">
        <v>100.90921696927677</v>
      </c>
      <c r="F1311" t="s">
        <v>427</v>
      </c>
      <c r="G1311" s="64">
        <v>42237</v>
      </c>
      <c r="H1311">
        <v>494.47</v>
      </c>
      <c r="I1311">
        <v>100.76055170182215</v>
      </c>
      <c r="J1311">
        <v>100.76055170182215</v>
      </c>
    </row>
    <row r="1312" spans="1:10" x14ac:dyDescent="0.25">
      <c r="A1312" s="36"/>
      <c r="B1312" t="s">
        <v>451</v>
      </c>
      <c r="C1312" s="64">
        <v>42240</v>
      </c>
      <c r="D1312">
        <v>218.87</v>
      </c>
      <c r="E1312">
        <v>100.90428108009321</v>
      </c>
      <c r="F1312" t="s">
        <v>427</v>
      </c>
      <c r="G1312" s="64">
        <v>42240</v>
      </c>
      <c r="H1312">
        <v>463.37</v>
      </c>
      <c r="I1312">
        <v>100.74448065261022</v>
      </c>
      <c r="J1312">
        <v>100.74448065261022</v>
      </c>
    </row>
    <row r="1313" spans="1:10" x14ac:dyDescent="0.25">
      <c r="A1313" s="36"/>
      <c r="B1313" t="s">
        <v>451</v>
      </c>
      <c r="C1313" s="64">
        <v>42241</v>
      </c>
      <c r="D1313">
        <v>220.03</v>
      </c>
      <c r="E1313">
        <v>100.90478571103941</v>
      </c>
      <c r="F1313" t="s">
        <v>427</v>
      </c>
      <c r="G1313" s="64">
        <v>42241</v>
      </c>
      <c r="H1313">
        <v>466.37</v>
      </c>
      <c r="I1313">
        <v>100.74612432189035</v>
      </c>
      <c r="J1313">
        <v>100.74612432189035</v>
      </c>
    </row>
    <row r="1314" spans="1:10" x14ac:dyDescent="0.25">
      <c r="A1314" s="36"/>
      <c r="B1314" t="s">
        <v>451</v>
      </c>
      <c r="C1314" s="64">
        <v>42242</v>
      </c>
      <c r="D1314">
        <v>224.84</v>
      </c>
      <c r="E1314">
        <v>100.90682262942536</v>
      </c>
      <c r="F1314" t="s">
        <v>427</v>
      </c>
      <c r="G1314" s="64">
        <v>42242</v>
      </c>
      <c r="H1314">
        <v>500.77</v>
      </c>
      <c r="I1314">
        <v>100.76356411126865</v>
      </c>
      <c r="J1314">
        <v>100.76356411126865</v>
      </c>
    </row>
    <row r="1315" spans="1:10" x14ac:dyDescent="0.25">
      <c r="A1315" s="36"/>
      <c r="B1315" t="s">
        <v>451</v>
      </c>
      <c r="C1315" s="64">
        <v>42243</v>
      </c>
      <c r="D1315">
        <v>242.99</v>
      </c>
      <c r="E1315">
        <v>100.91378246018354</v>
      </c>
      <c r="F1315" t="s">
        <v>427</v>
      </c>
      <c r="G1315" s="64">
        <v>42243</v>
      </c>
      <c r="H1315">
        <v>518.37</v>
      </c>
      <c r="I1315">
        <v>100.77159172019985</v>
      </c>
      <c r="J1315">
        <v>100.77159172019985</v>
      </c>
    </row>
    <row r="1316" spans="1:10" x14ac:dyDescent="0.25">
      <c r="A1316" s="36"/>
      <c r="B1316" t="s">
        <v>451</v>
      </c>
      <c r="C1316" s="64">
        <v>42244</v>
      </c>
      <c r="D1316">
        <v>248.48</v>
      </c>
      <c r="E1316">
        <v>100.91568737926593</v>
      </c>
      <c r="F1316" t="s">
        <v>427</v>
      </c>
      <c r="G1316" s="64">
        <v>42244</v>
      </c>
      <c r="H1316">
        <v>518.01</v>
      </c>
      <c r="I1316">
        <v>100.77143298391923</v>
      </c>
      <c r="J1316">
        <v>100.77143298391923</v>
      </c>
    </row>
    <row r="1317" spans="1:10" x14ac:dyDescent="0.25">
      <c r="A1317" s="36"/>
      <c r="B1317" t="s">
        <v>451</v>
      </c>
      <c r="C1317" s="64">
        <v>42247</v>
      </c>
      <c r="D1317">
        <v>249.06</v>
      </c>
      <c r="E1317">
        <v>100.91588372279772</v>
      </c>
      <c r="F1317" t="s">
        <v>427</v>
      </c>
      <c r="G1317" s="64">
        <v>42247</v>
      </c>
      <c r="H1317">
        <v>512.89</v>
      </c>
      <c r="I1317">
        <v>100.76915128000157</v>
      </c>
      <c r="J1317">
        <v>100.76915128000157</v>
      </c>
    </row>
    <row r="1318" spans="1:10" x14ac:dyDescent="0.25">
      <c r="A1318" s="36"/>
      <c r="B1318" t="s">
        <v>451</v>
      </c>
      <c r="C1318" s="64">
        <v>42248</v>
      </c>
      <c r="D1318">
        <v>238.63</v>
      </c>
      <c r="E1318">
        <v>100.91220718266773</v>
      </c>
      <c r="F1318" t="s">
        <v>427</v>
      </c>
      <c r="G1318" s="64">
        <v>42248</v>
      </c>
      <c r="H1318">
        <v>496.54</v>
      </c>
      <c r="I1318">
        <v>100.76154992548435</v>
      </c>
      <c r="J1318">
        <v>100.76154992548435</v>
      </c>
    </row>
    <row r="1319" spans="1:10" x14ac:dyDescent="0.25">
      <c r="A1319" s="36"/>
      <c r="B1319" t="s">
        <v>451</v>
      </c>
      <c r="C1319" s="64">
        <v>42249</v>
      </c>
      <c r="D1319">
        <v>247.69</v>
      </c>
      <c r="E1319">
        <v>100.91541846663168</v>
      </c>
      <c r="F1319" t="s">
        <v>427</v>
      </c>
      <c r="G1319" s="64">
        <v>42249</v>
      </c>
      <c r="H1319">
        <v>510.55</v>
      </c>
      <c r="I1319">
        <v>100.76809323278817</v>
      </c>
      <c r="J1319">
        <v>100.76809323278817</v>
      </c>
    </row>
    <row r="1320" spans="1:10" x14ac:dyDescent="0.25">
      <c r="A1320" s="36"/>
      <c r="B1320" t="s">
        <v>451</v>
      </c>
      <c r="C1320" s="64">
        <v>42250</v>
      </c>
      <c r="D1320">
        <v>245.57</v>
      </c>
      <c r="E1320">
        <v>100.91468827625525</v>
      </c>
      <c r="F1320" t="s">
        <v>427</v>
      </c>
      <c r="G1320" s="64">
        <v>42250</v>
      </c>
      <c r="H1320">
        <v>504.72</v>
      </c>
      <c r="I1320">
        <v>100.76541448724045</v>
      </c>
      <c r="J1320">
        <v>100.76541448724045</v>
      </c>
    </row>
    <row r="1321" spans="1:10" x14ac:dyDescent="0.25">
      <c r="A1321" s="36"/>
      <c r="B1321" t="s">
        <v>451</v>
      </c>
      <c r="C1321" s="64">
        <v>42251</v>
      </c>
      <c r="D1321">
        <v>241.93</v>
      </c>
      <c r="E1321">
        <v>100.91340470383996</v>
      </c>
      <c r="F1321" t="s">
        <v>427</v>
      </c>
      <c r="G1321" s="64">
        <v>42251</v>
      </c>
      <c r="H1321">
        <v>499</v>
      </c>
      <c r="I1321">
        <v>100.7627254509018</v>
      </c>
      <c r="J1321">
        <v>100.7627254509018</v>
      </c>
    </row>
    <row r="1322" spans="1:10" x14ac:dyDescent="0.25">
      <c r="A1322" s="36"/>
      <c r="B1322" t="s">
        <v>451</v>
      </c>
      <c r="C1322" s="64">
        <v>42255</v>
      </c>
      <c r="D1322">
        <v>248.17</v>
      </c>
      <c r="E1322">
        <v>100.91558206068422</v>
      </c>
      <c r="F1322" t="s">
        <v>427</v>
      </c>
      <c r="G1322" s="64">
        <v>42255</v>
      </c>
      <c r="H1322">
        <v>517.54</v>
      </c>
      <c r="I1322">
        <v>100.77122541252849</v>
      </c>
      <c r="J1322">
        <v>100.77122541252849</v>
      </c>
    </row>
    <row r="1323" spans="1:10" x14ac:dyDescent="0.25">
      <c r="A1323" s="36"/>
      <c r="B1323" t="s">
        <v>451</v>
      </c>
      <c r="C1323" s="64">
        <v>42256</v>
      </c>
      <c r="D1323">
        <v>248.91</v>
      </c>
      <c r="E1323">
        <v>100.91583303201961</v>
      </c>
      <c r="F1323" t="s">
        <v>427</v>
      </c>
      <c r="G1323" s="64">
        <v>42256</v>
      </c>
      <c r="H1323">
        <v>516.89</v>
      </c>
      <c r="I1323">
        <v>100.77093772369363</v>
      </c>
      <c r="J1323">
        <v>100.77093772369363</v>
      </c>
    </row>
    <row r="1324" spans="1:10" x14ac:dyDescent="0.25">
      <c r="A1324" s="36"/>
      <c r="B1324" t="s">
        <v>451</v>
      </c>
      <c r="C1324" s="64">
        <v>42257</v>
      </c>
      <c r="D1324">
        <v>248.48</v>
      </c>
      <c r="E1324">
        <v>100.91568737926593</v>
      </c>
      <c r="F1324" t="s">
        <v>427</v>
      </c>
      <c r="G1324" s="64">
        <v>42257</v>
      </c>
      <c r="H1324">
        <v>522.24</v>
      </c>
      <c r="I1324">
        <v>100.77328431372548</v>
      </c>
      <c r="J1324">
        <v>100.77328431372548</v>
      </c>
    </row>
    <row r="1325" spans="1:10" x14ac:dyDescent="0.25">
      <c r="A1325" s="36"/>
      <c r="B1325" t="s">
        <v>451</v>
      </c>
      <c r="C1325" s="64">
        <v>42258</v>
      </c>
      <c r="D1325">
        <v>250.24</v>
      </c>
      <c r="E1325">
        <v>100.91628037084399</v>
      </c>
      <c r="F1325" t="s">
        <v>427</v>
      </c>
      <c r="G1325" s="64">
        <v>42258</v>
      </c>
      <c r="H1325">
        <v>529.44000000000005</v>
      </c>
      <c r="I1325">
        <v>100.77636748262314</v>
      </c>
      <c r="J1325">
        <v>100.77636748262314</v>
      </c>
    </row>
    <row r="1326" spans="1:10" x14ac:dyDescent="0.25">
      <c r="A1326" s="36"/>
      <c r="B1326" t="s">
        <v>451</v>
      </c>
      <c r="C1326" s="64">
        <v>42261</v>
      </c>
      <c r="D1326">
        <v>253.19</v>
      </c>
      <c r="E1326">
        <v>100.91725581579051</v>
      </c>
      <c r="F1326" t="s">
        <v>427</v>
      </c>
      <c r="G1326" s="64">
        <v>42261</v>
      </c>
      <c r="H1326">
        <v>521.38</v>
      </c>
      <c r="I1326">
        <v>100.77291035329318</v>
      </c>
      <c r="J1326">
        <v>100.77291035329318</v>
      </c>
    </row>
    <row r="1327" spans="1:10" x14ac:dyDescent="0.25">
      <c r="A1327" s="36"/>
      <c r="B1327" t="s">
        <v>451</v>
      </c>
      <c r="C1327" s="64">
        <v>42262</v>
      </c>
      <c r="D1327">
        <v>253.57</v>
      </c>
      <c r="E1327">
        <v>100.91737981622431</v>
      </c>
      <c r="F1327" t="s">
        <v>427</v>
      </c>
      <c r="G1327" s="64">
        <v>42262</v>
      </c>
      <c r="H1327">
        <v>522.37</v>
      </c>
      <c r="I1327">
        <v>100.773340735494</v>
      </c>
      <c r="J1327">
        <v>100.773340735494</v>
      </c>
    </row>
    <row r="1328" spans="1:10" x14ac:dyDescent="0.25">
      <c r="A1328" s="36"/>
      <c r="B1328" t="s">
        <v>451</v>
      </c>
      <c r="C1328" s="64">
        <v>42263</v>
      </c>
      <c r="D1328">
        <v>262.25</v>
      </c>
      <c r="E1328">
        <v>100.92011439466158</v>
      </c>
      <c r="F1328" t="s">
        <v>427</v>
      </c>
      <c r="G1328" s="64">
        <v>42263</v>
      </c>
      <c r="H1328">
        <v>527.39</v>
      </c>
      <c r="I1328">
        <v>100.77549820815715</v>
      </c>
      <c r="J1328">
        <v>100.77549820815715</v>
      </c>
    </row>
    <row r="1329" spans="1:10" x14ac:dyDescent="0.25">
      <c r="A1329" s="36"/>
      <c r="B1329" t="s">
        <v>451</v>
      </c>
      <c r="C1329" s="64">
        <v>42264</v>
      </c>
      <c r="D1329">
        <v>262.07</v>
      </c>
      <c r="E1329">
        <v>100.92005952608082</v>
      </c>
      <c r="F1329" t="s">
        <v>427</v>
      </c>
      <c r="G1329" s="64">
        <v>42264</v>
      </c>
      <c r="H1329">
        <v>538.87</v>
      </c>
      <c r="I1329">
        <v>100.78028095830163</v>
      </c>
      <c r="J1329">
        <v>100.78028095830163</v>
      </c>
    </row>
    <row r="1330" spans="1:10" x14ac:dyDescent="0.25">
      <c r="A1330" s="36"/>
      <c r="B1330" t="s">
        <v>451</v>
      </c>
      <c r="C1330" s="64">
        <v>42265</v>
      </c>
      <c r="D1330">
        <v>260.62</v>
      </c>
      <c r="E1330">
        <v>100.91961476479165</v>
      </c>
      <c r="F1330" t="s">
        <v>427</v>
      </c>
      <c r="G1330" s="64">
        <v>42265</v>
      </c>
      <c r="H1330">
        <v>540.26</v>
      </c>
      <c r="I1330">
        <v>100.78084625920853</v>
      </c>
      <c r="J1330">
        <v>100.78084625920853</v>
      </c>
    </row>
    <row r="1331" spans="1:10" x14ac:dyDescent="0.25">
      <c r="A1331" s="36"/>
      <c r="B1331" t="s">
        <v>451</v>
      </c>
      <c r="C1331" s="64">
        <v>42268</v>
      </c>
      <c r="D1331">
        <v>264.2</v>
      </c>
      <c r="E1331">
        <v>100.92070401211204</v>
      </c>
      <c r="F1331" t="s">
        <v>427</v>
      </c>
      <c r="G1331" s="64">
        <v>42268</v>
      </c>
      <c r="H1331">
        <v>548.39</v>
      </c>
      <c r="I1331">
        <v>100.78409526067215</v>
      </c>
      <c r="J1331">
        <v>100.78409526067215</v>
      </c>
    </row>
    <row r="1332" spans="1:10" x14ac:dyDescent="0.25">
      <c r="A1332" s="36"/>
      <c r="B1332" t="s">
        <v>451</v>
      </c>
      <c r="C1332" s="64">
        <v>42269</v>
      </c>
      <c r="D1332">
        <v>260.94</v>
      </c>
      <c r="E1332">
        <v>100.91971334406377</v>
      </c>
      <c r="F1332" t="s">
        <v>427</v>
      </c>
      <c r="G1332" s="64">
        <v>42269</v>
      </c>
      <c r="H1332">
        <v>538.4</v>
      </c>
      <c r="I1332">
        <v>100.78008915304606</v>
      </c>
      <c r="J1332">
        <v>100.78008915304606</v>
      </c>
    </row>
    <row r="1333" spans="1:10" x14ac:dyDescent="0.25">
      <c r="A1333" s="36"/>
      <c r="B1333" t="s">
        <v>451</v>
      </c>
      <c r="C1333" s="64">
        <v>42270</v>
      </c>
      <c r="D1333">
        <v>261.06</v>
      </c>
      <c r="E1333">
        <v>100.91975024898491</v>
      </c>
      <c r="F1333" t="s">
        <v>427</v>
      </c>
      <c r="G1333" s="64">
        <v>42270</v>
      </c>
      <c r="H1333">
        <v>536.07000000000005</v>
      </c>
      <c r="I1333">
        <v>100.77913332214077</v>
      </c>
      <c r="J1333">
        <v>100.77913332214077</v>
      </c>
    </row>
    <row r="1334" spans="1:10" x14ac:dyDescent="0.25">
      <c r="A1334" s="36"/>
      <c r="B1334" t="s">
        <v>451</v>
      </c>
      <c r="C1334" s="64">
        <v>42271</v>
      </c>
      <c r="D1334">
        <v>263.12</v>
      </c>
      <c r="E1334">
        <v>100.92037853450897</v>
      </c>
      <c r="F1334" t="s">
        <v>427</v>
      </c>
      <c r="G1334" s="64">
        <v>42271</v>
      </c>
      <c r="H1334">
        <v>533.75</v>
      </c>
      <c r="I1334">
        <v>100.77817330210773</v>
      </c>
      <c r="J1334">
        <v>100.77817330210773</v>
      </c>
    </row>
    <row r="1335" spans="1:10" x14ac:dyDescent="0.25">
      <c r="A1335" s="36"/>
      <c r="B1335" t="s">
        <v>451</v>
      </c>
      <c r="C1335" s="64">
        <v>42272</v>
      </c>
      <c r="D1335">
        <v>256.91000000000003</v>
      </c>
      <c r="E1335">
        <v>100.91845393328403</v>
      </c>
      <c r="F1335" t="s">
        <v>427</v>
      </c>
      <c r="G1335" s="64">
        <v>42272</v>
      </c>
      <c r="H1335">
        <v>524.25</v>
      </c>
      <c r="I1335">
        <v>100.77415355269433</v>
      </c>
      <c r="J1335">
        <v>100.77415355269433</v>
      </c>
    </row>
    <row r="1336" spans="1:10" x14ac:dyDescent="0.25">
      <c r="A1336" s="36"/>
      <c r="B1336" t="s">
        <v>451</v>
      </c>
      <c r="C1336" s="64">
        <v>42275</v>
      </c>
      <c r="D1336">
        <v>248.43</v>
      </c>
      <c r="E1336">
        <v>100.91567041017591</v>
      </c>
      <c r="F1336" t="s">
        <v>427</v>
      </c>
      <c r="G1336" s="64">
        <v>42275</v>
      </c>
      <c r="H1336">
        <v>504.06</v>
      </c>
      <c r="I1336">
        <v>100.76510732849263</v>
      </c>
      <c r="J1336">
        <v>100.76510732849263</v>
      </c>
    </row>
    <row r="1337" spans="1:10" x14ac:dyDescent="0.25">
      <c r="A1337" s="36"/>
      <c r="B1337" t="s">
        <v>451</v>
      </c>
      <c r="C1337" s="64">
        <v>42276</v>
      </c>
      <c r="D1337">
        <v>246.65</v>
      </c>
      <c r="E1337">
        <v>100.91506182850192</v>
      </c>
      <c r="F1337" t="s">
        <v>427</v>
      </c>
      <c r="G1337" s="64">
        <v>42276</v>
      </c>
      <c r="H1337">
        <v>496.07</v>
      </c>
      <c r="I1337">
        <v>100.7613240066926</v>
      </c>
      <c r="J1337">
        <v>100.7613240066926</v>
      </c>
    </row>
    <row r="1338" spans="1:10" x14ac:dyDescent="0.25">
      <c r="A1338" s="36"/>
      <c r="B1338" t="s">
        <v>451</v>
      </c>
      <c r="C1338" s="64">
        <v>42277</v>
      </c>
      <c r="D1338">
        <v>248.4</v>
      </c>
      <c r="E1338">
        <v>100.91566022544283</v>
      </c>
      <c r="F1338" t="s">
        <v>427</v>
      </c>
      <c r="G1338" s="64">
        <v>42277</v>
      </c>
      <c r="H1338">
        <v>511.89</v>
      </c>
      <c r="I1338">
        <v>100.76870030670652</v>
      </c>
      <c r="J1338">
        <v>100.76870030670652</v>
      </c>
    </row>
    <row r="1339" spans="1:10" x14ac:dyDescent="0.25">
      <c r="A1339" s="36"/>
      <c r="B1339" t="s">
        <v>451</v>
      </c>
      <c r="C1339" s="64">
        <v>42278</v>
      </c>
      <c r="D1339">
        <v>239.88</v>
      </c>
      <c r="E1339">
        <v>100.91266466566617</v>
      </c>
      <c r="F1339" t="s">
        <v>427</v>
      </c>
      <c r="G1339" s="64">
        <v>42278</v>
      </c>
      <c r="H1339">
        <v>520.72</v>
      </c>
      <c r="I1339">
        <v>100.77262252266092</v>
      </c>
      <c r="J1339">
        <v>100.77262252266092</v>
      </c>
    </row>
    <row r="1340" spans="1:10" x14ac:dyDescent="0.25">
      <c r="A1340" s="36"/>
      <c r="B1340" t="s">
        <v>451</v>
      </c>
      <c r="C1340" s="64">
        <v>42279</v>
      </c>
      <c r="D1340">
        <v>247.57</v>
      </c>
      <c r="E1340">
        <v>100.91537746899867</v>
      </c>
      <c r="F1340" t="s">
        <v>427</v>
      </c>
      <c r="G1340" s="64">
        <v>42279</v>
      </c>
      <c r="H1340">
        <v>532.54</v>
      </c>
      <c r="I1340">
        <v>100.77766928305854</v>
      </c>
      <c r="J1340">
        <v>100.77766928305854</v>
      </c>
    </row>
    <row r="1341" spans="1:10" x14ac:dyDescent="0.25">
      <c r="A1341" s="36"/>
      <c r="B1341" t="s">
        <v>451</v>
      </c>
      <c r="C1341" s="64">
        <v>42282</v>
      </c>
      <c r="D1341">
        <v>246.15</v>
      </c>
      <c r="E1341">
        <v>100.91488929514523</v>
      </c>
      <c r="F1341" t="s">
        <v>427</v>
      </c>
      <c r="G1341" s="64">
        <v>42282</v>
      </c>
      <c r="H1341">
        <v>543.67999999999995</v>
      </c>
      <c r="I1341">
        <v>100.78222483814008</v>
      </c>
      <c r="J1341">
        <v>100.78222483814008</v>
      </c>
    </row>
    <row r="1342" spans="1:10" x14ac:dyDescent="0.25">
      <c r="A1342" s="36"/>
      <c r="B1342" t="s">
        <v>451</v>
      </c>
      <c r="C1342" s="64">
        <v>42283</v>
      </c>
      <c r="D1342">
        <v>241.46</v>
      </c>
      <c r="E1342">
        <v>100.9132361467738</v>
      </c>
      <c r="F1342" t="s">
        <v>427</v>
      </c>
      <c r="G1342" s="64">
        <v>42283</v>
      </c>
      <c r="H1342">
        <v>537.48</v>
      </c>
      <c r="I1342">
        <v>100.77971273349706</v>
      </c>
      <c r="J1342">
        <v>100.77971273349706</v>
      </c>
    </row>
    <row r="1343" spans="1:10" x14ac:dyDescent="0.25">
      <c r="A1343" s="36"/>
      <c r="B1343" t="s">
        <v>451</v>
      </c>
      <c r="C1343" s="64">
        <v>42284</v>
      </c>
      <c r="D1343">
        <v>231.96</v>
      </c>
      <c r="E1343">
        <v>100.90968270391447</v>
      </c>
      <c r="F1343" t="s">
        <v>427</v>
      </c>
      <c r="G1343" s="64">
        <v>42284</v>
      </c>
      <c r="H1343">
        <v>541.94000000000005</v>
      </c>
      <c r="I1343">
        <v>100.78152563014356</v>
      </c>
      <c r="J1343">
        <v>100.78152563014356</v>
      </c>
    </row>
    <row r="1344" spans="1:10" x14ac:dyDescent="0.25">
      <c r="A1344" s="36"/>
      <c r="B1344" t="s">
        <v>451</v>
      </c>
      <c r="C1344" s="64">
        <v>42285</v>
      </c>
      <c r="D1344">
        <v>226.72</v>
      </c>
      <c r="E1344">
        <v>100.90759527170077</v>
      </c>
      <c r="F1344" t="s">
        <v>427</v>
      </c>
      <c r="G1344" s="64">
        <v>42285</v>
      </c>
      <c r="H1344">
        <v>533.16</v>
      </c>
      <c r="I1344">
        <v>100.77792782654363</v>
      </c>
      <c r="J1344">
        <v>100.77792782654363</v>
      </c>
    </row>
    <row r="1345" spans="1:10" x14ac:dyDescent="0.25">
      <c r="A1345" s="36"/>
      <c r="B1345" t="s">
        <v>451</v>
      </c>
      <c r="C1345" s="64">
        <v>42286</v>
      </c>
      <c r="D1345">
        <v>220.69</v>
      </c>
      <c r="E1345">
        <v>100.9050704608274</v>
      </c>
      <c r="F1345" t="s">
        <v>427</v>
      </c>
      <c r="G1345" s="64">
        <v>42286</v>
      </c>
      <c r="H1345">
        <v>539.79999999999995</v>
      </c>
      <c r="I1345">
        <v>100.78065950351983</v>
      </c>
      <c r="J1345">
        <v>100.78065950351983</v>
      </c>
    </row>
    <row r="1346" spans="1:10" x14ac:dyDescent="0.25">
      <c r="A1346" s="36"/>
      <c r="B1346" t="s">
        <v>451</v>
      </c>
      <c r="C1346" s="64">
        <v>42289</v>
      </c>
      <c r="D1346">
        <v>215.58</v>
      </c>
      <c r="E1346">
        <v>100.90282029872901</v>
      </c>
      <c r="F1346" t="s">
        <v>427</v>
      </c>
      <c r="G1346" s="64">
        <v>42289</v>
      </c>
      <c r="H1346">
        <v>550.19000000000005</v>
      </c>
      <c r="I1346">
        <v>100.7848016139879</v>
      </c>
      <c r="J1346">
        <v>100.7848016139879</v>
      </c>
    </row>
    <row r="1347" spans="1:10" x14ac:dyDescent="0.25">
      <c r="A1347" s="36"/>
      <c r="B1347" t="s">
        <v>451</v>
      </c>
      <c r="C1347" s="64">
        <v>42290</v>
      </c>
      <c r="D1347">
        <v>219.25</v>
      </c>
      <c r="E1347">
        <v>100.90444697833523</v>
      </c>
      <c r="F1347" t="s">
        <v>427</v>
      </c>
      <c r="G1347" s="64">
        <v>42290</v>
      </c>
      <c r="H1347">
        <v>548.9</v>
      </c>
      <c r="I1347">
        <v>100.78429586445618</v>
      </c>
      <c r="J1347">
        <v>100.78429586445618</v>
      </c>
    </row>
    <row r="1348" spans="1:10" x14ac:dyDescent="0.25">
      <c r="A1348" s="36"/>
      <c r="B1348" t="s">
        <v>451</v>
      </c>
      <c r="C1348" s="64">
        <v>42291</v>
      </c>
      <c r="D1348">
        <v>216.88</v>
      </c>
      <c r="E1348">
        <v>100.90340280339358</v>
      </c>
      <c r="F1348" t="s">
        <v>427</v>
      </c>
      <c r="G1348" s="64">
        <v>42291</v>
      </c>
      <c r="H1348">
        <v>544.83000000000004</v>
      </c>
      <c r="I1348">
        <v>100.78268450709396</v>
      </c>
      <c r="J1348">
        <v>100.78268450709396</v>
      </c>
    </row>
    <row r="1349" spans="1:10" x14ac:dyDescent="0.25">
      <c r="A1349" s="36"/>
      <c r="B1349" t="s">
        <v>451</v>
      </c>
      <c r="C1349" s="64">
        <v>42292</v>
      </c>
      <c r="D1349">
        <v>221.31</v>
      </c>
      <c r="E1349">
        <v>100.90533640594641</v>
      </c>
      <c r="F1349" t="s">
        <v>427</v>
      </c>
      <c r="G1349" s="64">
        <v>42292</v>
      </c>
      <c r="H1349">
        <v>562.44000000000005</v>
      </c>
      <c r="I1349">
        <v>100.78948865656781</v>
      </c>
      <c r="J1349">
        <v>100.78948865656781</v>
      </c>
    </row>
    <row r="1350" spans="1:10" x14ac:dyDescent="0.25">
      <c r="A1350" s="36"/>
      <c r="B1350" t="s">
        <v>451</v>
      </c>
      <c r="C1350" s="64">
        <v>42293</v>
      </c>
      <c r="D1350">
        <v>227.01</v>
      </c>
      <c r="E1350">
        <v>100.90771331659398</v>
      </c>
      <c r="F1350" t="s">
        <v>427</v>
      </c>
      <c r="G1350" s="64">
        <v>42293</v>
      </c>
      <c r="H1350">
        <v>570.76</v>
      </c>
      <c r="I1350">
        <v>100.79255729203167</v>
      </c>
      <c r="J1350">
        <v>100.79255729203167</v>
      </c>
    </row>
    <row r="1351" spans="1:10" x14ac:dyDescent="0.25">
      <c r="A1351" s="36"/>
      <c r="B1351" t="s">
        <v>451</v>
      </c>
      <c r="C1351" s="64">
        <v>42296</v>
      </c>
      <c r="D1351">
        <v>228.1</v>
      </c>
      <c r="E1351">
        <v>100.90815431828146</v>
      </c>
      <c r="F1351" t="s">
        <v>427</v>
      </c>
      <c r="G1351" s="64">
        <v>42296</v>
      </c>
      <c r="H1351">
        <v>573.15</v>
      </c>
      <c r="I1351">
        <v>100.79342231527524</v>
      </c>
      <c r="J1351">
        <v>100.79342231527524</v>
      </c>
    </row>
    <row r="1352" spans="1:10" x14ac:dyDescent="0.25">
      <c r="A1352" s="36"/>
      <c r="B1352" t="s">
        <v>451</v>
      </c>
      <c r="C1352" s="64">
        <v>42297</v>
      </c>
      <c r="D1352">
        <v>213.03</v>
      </c>
      <c r="E1352">
        <v>100.90165704360888</v>
      </c>
      <c r="F1352" t="s">
        <v>427</v>
      </c>
      <c r="G1352" s="64">
        <v>42297</v>
      </c>
      <c r="H1352">
        <v>560.88</v>
      </c>
      <c r="I1352">
        <v>100.78890315218942</v>
      </c>
      <c r="J1352">
        <v>100.78890315218942</v>
      </c>
    </row>
    <row r="1353" spans="1:10" x14ac:dyDescent="0.25">
      <c r="A1353" s="36"/>
      <c r="B1353" t="s">
        <v>451</v>
      </c>
      <c r="C1353" s="64">
        <v>42298</v>
      </c>
      <c r="D1353">
        <v>210.09</v>
      </c>
      <c r="E1353">
        <v>100.90028083202436</v>
      </c>
      <c r="F1353" t="s">
        <v>427</v>
      </c>
      <c r="G1353" s="64">
        <v>42298</v>
      </c>
      <c r="H1353">
        <v>555.77</v>
      </c>
      <c r="I1353">
        <v>100.78696223257822</v>
      </c>
      <c r="J1353">
        <v>100.78696223257822</v>
      </c>
    </row>
    <row r="1354" spans="1:10" x14ac:dyDescent="0.25">
      <c r="A1354" s="36"/>
      <c r="B1354" t="s">
        <v>451</v>
      </c>
      <c r="C1354" s="64">
        <v>42299</v>
      </c>
      <c r="D1354">
        <v>211.72</v>
      </c>
      <c r="E1354">
        <v>100.90104855469488</v>
      </c>
      <c r="F1354" t="s">
        <v>427</v>
      </c>
      <c r="G1354" s="64">
        <v>42299</v>
      </c>
      <c r="H1354">
        <v>563.91</v>
      </c>
      <c r="I1354">
        <v>100.79003741731836</v>
      </c>
      <c r="J1354">
        <v>100.79003741731836</v>
      </c>
    </row>
    <row r="1355" spans="1:10" x14ac:dyDescent="0.25">
      <c r="A1355" s="36"/>
      <c r="B1355" t="s">
        <v>451</v>
      </c>
      <c r="C1355" s="64">
        <v>42300</v>
      </c>
      <c r="D1355">
        <v>209.09</v>
      </c>
      <c r="E1355">
        <v>100.89980391219092</v>
      </c>
      <c r="F1355" t="s">
        <v>427</v>
      </c>
      <c r="G1355" s="64">
        <v>42300</v>
      </c>
      <c r="H1355">
        <v>599.03</v>
      </c>
      <c r="I1355">
        <v>100.80234712785671</v>
      </c>
      <c r="J1355">
        <v>100.80234712785671</v>
      </c>
    </row>
    <row r="1356" spans="1:10" x14ac:dyDescent="0.25">
      <c r="A1356" s="36"/>
      <c r="B1356" t="s">
        <v>451</v>
      </c>
      <c r="C1356" s="64">
        <v>42303</v>
      </c>
      <c r="D1356">
        <v>215.26</v>
      </c>
      <c r="E1356">
        <v>100.90267583387531</v>
      </c>
      <c r="F1356" t="s">
        <v>427</v>
      </c>
      <c r="G1356" s="64">
        <v>42303</v>
      </c>
      <c r="H1356">
        <v>608.61</v>
      </c>
      <c r="I1356">
        <v>100.80545833949492</v>
      </c>
      <c r="J1356">
        <v>100.80545833949492</v>
      </c>
    </row>
    <row r="1357" spans="1:10" x14ac:dyDescent="0.25">
      <c r="A1357" s="36"/>
      <c r="B1357" t="s">
        <v>451</v>
      </c>
      <c r="C1357" s="64">
        <v>42304</v>
      </c>
      <c r="D1357">
        <v>210.35</v>
      </c>
      <c r="E1357">
        <v>100.90040408842405</v>
      </c>
      <c r="F1357" t="s">
        <v>427</v>
      </c>
      <c r="G1357" s="64">
        <v>42304</v>
      </c>
      <c r="H1357">
        <v>611.01</v>
      </c>
      <c r="I1357">
        <v>100.80622248408373</v>
      </c>
      <c r="J1357">
        <v>100.80622248408373</v>
      </c>
    </row>
    <row r="1358" spans="1:10" x14ac:dyDescent="0.25">
      <c r="A1358" s="36"/>
      <c r="B1358" t="s">
        <v>451</v>
      </c>
      <c r="C1358" s="64">
        <v>42305</v>
      </c>
      <c r="D1358">
        <v>212.96</v>
      </c>
      <c r="E1358">
        <v>100.90162471825695</v>
      </c>
      <c r="F1358" t="s">
        <v>427</v>
      </c>
      <c r="G1358" s="64">
        <v>42305</v>
      </c>
      <c r="H1358">
        <v>617.1</v>
      </c>
      <c r="I1358">
        <v>100.8081348241776</v>
      </c>
      <c r="J1358">
        <v>100.8081348241776</v>
      </c>
    </row>
    <row r="1359" spans="1:10" x14ac:dyDescent="0.25">
      <c r="A1359" s="36"/>
      <c r="B1359" t="s">
        <v>451</v>
      </c>
      <c r="C1359" s="64">
        <v>42306</v>
      </c>
      <c r="D1359">
        <v>211.63</v>
      </c>
      <c r="E1359">
        <v>100.90100647356235</v>
      </c>
      <c r="F1359" t="s">
        <v>427</v>
      </c>
      <c r="G1359" s="64">
        <v>42306</v>
      </c>
      <c r="H1359">
        <v>626.54999999999995</v>
      </c>
      <c r="I1359">
        <v>100.8110286489506</v>
      </c>
      <c r="J1359">
        <v>100.8110286489506</v>
      </c>
    </row>
    <row r="1360" spans="1:10" x14ac:dyDescent="0.25">
      <c r="A1360" s="36"/>
      <c r="B1360" t="s">
        <v>451</v>
      </c>
      <c r="C1360" s="64">
        <v>42307</v>
      </c>
      <c r="D1360">
        <v>206.93</v>
      </c>
      <c r="E1360">
        <v>100.89875803411782</v>
      </c>
      <c r="F1360" t="s">
        <v>427</v>
      </c>
      <c r="G1360" s="64">
        <v>42307</v>
      </c>
      <c r="H1360">
        <v>625.9</v>
      </c>
      <c r="I1360">
        <v>100.81083240134207</v>
      </c>
      <c r="J1360">
        <v>100.81083240134207</v>
      </c>
    </row>
    <row r="1361" spans="1:10" x14ac:dyDescent="0.25">
      <c r="A1361" s="36"/>
      <c r="B1361" t="s">
        <v>451</v>
      </c>
      <c r="C1361" s="64">
        <v>42310</v>
      </c>
      <c r="D1361">
        <v>213.79</v>
      </c>
      <c r="E1361">
        <v>100.90200664203191</v>
      </c>
      <c r="F1361" t="s">
        <v>427</v>
      </c>
      <c r="G1361" s="64">
        <v>42310</v>
      </c>
      <c r="H1361">
        <v>628.35</v>
      </c>
      <c r="I1361">
        <v>100.81156998488103</v>
      </c>
      <c r="J1361">
        <v>100.81156998488103</v>
      </c>
    </row>
    <row r="1362" spans="1:10" x14ac:dyDescent="0.25">
      <c r="A1362" s="36"/>
      <c r="B1362" t="s">
        <v>451</v>
      </c>
      <c r="C1362" s="64">
        <v>42311</v>
      </c>
      <c r="D1362">
        <v>208.35</v>
      </c>
      <c r="E1362">
        <v>100.89944804415647</v>
      </c>
      <c r="F1362" t="s">
        <v>427</v>
      </c>
      <c r="G1362" s="64">
        <v>42311</v>
      </c>
      <c r="H1362">
        <v>625.30999999999995</v>
      </c>
      <c r="I1362">
        <v>100.81065391565784</v>
      </c>
      <c r="J1362">
        <v>100.81065391565784</v>
      </c>
    </row>
    <row r="1363" spans="1:10" x14ac:dyDescent="0.25">
      <c r="A1363" s="36"/>
      <c r="B1363" t="s">
        <v>451</v>
      </c>
      <c r="C1363" s="64">
        <v>42312</v>
      </c>
      <c r="D1363">
        <v>231.63</v>
      </c>
      <c r="E1363">
        <v>100.90955403013426</v>
      </c>
      <c r="F1363" t="s">
        <v>427</v>
      </c>
      <c r="G1363" s="64">
        <v>42312</v>
      </c>
      <c r="H1363">
        <v>640.95000000000005</v>
      </c>
      <c r="I1363">
        <v>100.81527420235588</v>
      </c>
      <c r="J1363">
        <v>100.81527420235588</v>
      </c>
    </row>
    <row r="1364" spans="1:10" x14ac:dyDescent="0.25">
      <c r="A1364" s="36"/>
      <c r="B1364" t="s">
        <v>451</v>
      </c>
      <c r="C1364" s="64">
        <v>42313</v>
      </c>
      <c r="D1364">
        <v>231.77</v>
      </c>
      <c r="E1364">
        <v>100.90960866376149</v>
      </c>
      <c r="F1364" t="s">
        <v>427</v>
      </c>
      <c r="G1364" s="64">
        <v>42313</v>
      </c>
      <c r="H1364">
        <v>655.65</v>
      </c>
      <c r="I1364">
        <v>100.81941584686952</v>
      </c>
      <c r="J1364">
        <v>100.81941584686952</v>
      </c>
    </row>
    <row r="1365" spans="1:10" x14ac:dyDescent="0.25">
      <c r="A1365" s="36"/>
      <c r="B1365" t="s">
        <v>451</v>
      </c>
      <c r="C1365" s="64">
        <v>42314</v>
      </c>
      <c r="D1365">
        <v>232.36</v>
      </c>
      <c r="E1365">
        <v>100.90983818213118</v>
      </c>
      <c r="F1365" t="s">
        <v>427</v>
      </c>
      <c r="G1365" s="64">
        <v>42314</v>
      </c>
      <c r="H1365">
        <v>659.37</v>
      </c>
      <c r="I1365">
        <v>100.82043465732441</v>
      </c>
      <c r="J1365">
        <v>100.82043465732441</v>
      </c>
    </row>
    <row r="1366" spans="1:10" x14ac:dyDescent="0.25">
      <c r="A1366" s="36"/>
      <c r="B1366" t="s">
        <v>451</v>
      </c>
      <c r="C1366" s="64">
        <v>42317</v>
      </c>
      <c r="D1366">
        <v>225.33</v>
      </c>
      <c r="E1366">
        <v>100.90702525185284</v>
      </c>
      <c r="F1366" t="s">
        <v>427</v>
      </c>
      <c r="G1366" s="64">
        <v>42317</v>
      </c>
      <c r="H1366">
        <v>655.49</v>
      </c>
      <c r="I1366">
        <v>100.81937176768524</v>
      </c>
      <c r="J1366">
        <v>100.81937176768524</v>
      </c>
    </row>
    <row r="1367" spans="1:10" x14ac:dyDescent="0.25">
      <c r="A1367" s="36"/>
      <c r="B1367" t="s">
        <v>451</v>
      </c>
      <c r="C1367" s="64">
        <v>42318</v>
      </c>
      <c r="D1367">
        <v>216.5</v>
      </c>
      <c r="E1367">
        <v>100.90323325635104</v>
      </c>
      <c r="F1367" t="s">
        <v>427</v>
      </c>
      <c r="G1367" s="64">
        <v>42318</v>
      </c>
      <c r="H1367">
        <v>659.68</v>
      </c>
      <c r="I1367">
        <v>100.82051903953432</v>
      </c>
      <c r="J1367">
        <v>100.82051903953432</v>
      </c>
    </row>
    <row r="1368" spans="1:10" x14ac:dyDescent="0.25">
      <c r="A1368" s="36"/>
      <c r="B1368" t="s">
        <v>451</v>
      </c>
      <c r="C1368" s="64">
        <v>42319</v>
      </c>
      <c r="D1368">
        <v>219.08</v>
      </c>
      <c r="E1368">
        <v>100.90437283184225</v>
      </c>
      <c r="F1368" t="s">
        <v>427</v>
      </c>
      <c r="G1368" s="64">
        <v>42319</v>
      </c>
      <c r="H1368">
        <v>673.25</v>
      </c>
      <c r="I1368">
        <v>100.82413665057557</v>
      </c>
      <c r="J1368">
        <v>100.82413665057557</v>
      </c>
    </row>
    <row r="1369" spans="1:10" x14ac:dyDescent="0.25">
      <c r="A1369" s="36"/>
      <c r="B1369" t="s">
        <v>451</v>
      </c>
      <c r="C1369" s="64">
        <v>42320</v>
      </c>
      <c r="D1369">
        <v>212.94</v>
      </c>
      <c r="E1369">
        <v>100.90161547853856</v>
      </c>
      <c r="F1369" t="s">
        <v>427</v>
      </c>
      <c r="G1369" s="64">
        <v>42320</v>
      </c>
      <c r="H1369">
        <v>665.6</v>
      </c>
      <c r="I1369">
        <v>100.82211538461539</v>
      </c>
      <c r="J1369">
        <v>100.82211538461539</v>
      </c>
    </row>
    <row r="1370" spans="1:10" x14ac:dyDescent="0.25">
      <c r="A1370" s="36"/>
      <c r="B1370" t="s">
        <v>451</v>
      </c>
      <c r="C1370" s="64">
        <v>42321</v>
      </c>
      <c r="D1370">
        <v>207.19</v>
      </c>
      <c r="E1370">
        <v>100.89888508132631</v>
      </c>
      <c r="F1370" t="s">
        <v>427</v>
      </c>
      <c r="G1370" s="64">
        <v>42321</v>
      </c>
      <c r="H1370">
        <v>642.35</v>
      </c>
      <c r="I1370">
        <v>100.81567681170701</v>
      </c>
      <c r="J1370">
        <v>100.81567681170701</v>
      </c>
    </row>
    <row r="1371" spans="1:10" x14ac:dyDescent="0.25">
      <c r="A1371" s="36"/>
      <c r="B1371" t="s">
        <v>451</v>
      </c>
      <c r="C1371" s="64">
        <v>42324</v>
      </c>
      <c r="D1371">
        <v>214.31</v>
      </c>
      <c r="E1371">
        <v>100.90224441229994</v>
      </c>
      <c r="F1371" t="s">
        <v>427</v>
      </c>
      <c r="G1371" s="64">
        <v>42324</v>
      </c>
      <c r="H1371">
        <v>647.80999999999995</v>
      </c>
      <c r="I1371">
        <v>100.81723036075392</v>
      </c>
      <c r="J1371">
        <v>100.81723036075392</v>
      </c>
    </row>
    <row r="1372" spans="1:10" x14ac:dyDescent="0.25">
      <c r="A1372" s="36"/>
      <c r="B1372" t="s">
        <v>451</v>
      </c>
      <c r="C1372" s="64">
        <v>42325</v>
      </c>
      <c r="D1372">
        <v>214</v>
      </c>
      <c r="E1372">
        <v>100.90210280373832</v>
      </c>
      <c r="F1372" t="s">
        <v>427</v>
      </c>
      <c r="G1372" s="64">
        <v>42325</v>
      </c>
      <c r="H1372">
        <v>643.29999999999995</v>
      </c>
      <c r="I1372">
        <v>100.81594901290222</v>
      </c>
      <c r="J1372">
        <v>100.81594901290222</v>
      </c>
    </row>
    <row r="1373" spans="1:10" x14ac:dyDescent="0.25">
      <c r="A1373" s="36"/>
      <c r="B1373" t="s">
        <v>451</v>
      </c>
      <c r="C1373" s="64">
        <v>42326</v>
      </c>
      <c r="D1373">
        <v>221.07</v>
      </c>
      <c r="E1373">
        <v>100.90523363640476</v>
      </c>
      <c r="F1373" t="s">
        <v>427</v>
      </c>
      <c r="G1373" s="64">
        <v>42326</v>
      </c>
      <c r="H1373">
        <v>663.54</v>
      </c>
      <c r="I1373">
        <v>100.82156313108479</v>
      </c>
      <c r="J1373">
        <v>100.82156313108479</v>
      </c>
    </row>
    <row r="1374" spans="1:10" x14ac:dyDescent="0.25">
      <c r="A1374" s="36"/>
      <c r="B1374" t="s">
        <v>451</v>
      </c>
      <c r="C1374" s="64">
        <v>42327</v>
      </c>
      <c r="D1374">
        <v>221.8</v>
      </c>
      <c r="E1374">
        <v>100.90554553651938</v>
      </c>
      <c r="F1374" t="s">
        <v>427</v>
      </c>
      <c r="G1374" s="64">
        <v>42327</v>
      </c>
      <c r="H1374">
        <v>661.27</v>
      </c>
      <c r="I1374">
        <v>100.82095059506707</v>
      </c>
      <c r="J1374">
        <v>100.82095059506707</v>
      </c>
    </row>
    <row r="1375" spans="1:10" x14ac:dyDescent="0.25">
      <c r="A1375" s="36"/>
      <c r="B1375" t="s">
        <v>451</v>
      </c>
      <c r="C1375" s="64">
        <v>42328</v>
      </c>
      <c r="D1375">
        <v>220.01</v>
      </c>
      <c r="E1375">
        <v>100.90477705558838</v>
      </c>
      <c r="F1375" t="s">
        <v>427</v>
      </c>
      <c r="G1375" s="64">
        <v>42328</v>
      </c>
      <c r="H1375">
        <v>668.45</v>
      </c>
      <c r="I1375">
        <v>100.82287381255142</v>
      </c>
      <c r="J1375">
        <v>100.82287381255142</v>
      </c>
    </row>
    <row r="1376" spans="1:10" x14ac:dyDescent="0.25">
      <c r="A1376" s="36"/>
      <c r="B1376" t="s">
        <v>451</v>
      </c>
      <c r="C1376" s="64">
        <v>42331</v>
      </c>
      <c r="D1376">
        <v>217.75</v>
      </c>
      <c r="E1376">
        <v>100.90378874856486</v>
      </c>
      <c r="F1376" t="s">
        <v>427</v>
      </c>
      <c r="G1376" s="64">
        <v>42331</v>
      </c>
      <c r="H1376">
        <v>678.99</v>
      </c>
      <c r="I1376">
        <v>100.82562335233214</v>
      </c>
      <c r="J1376">
        <v>100.82562335233214</v>
      </c>
    </row>
    <row r="1377" spans="1:10" x14ac:dyDescent="0.25">
      <c r="A1377" s="36"/>
      <c r="B1377" t="s">
        <v>451</v>
      </c>
      <c r="C1377" s="64">
        <v>42332</v>
      </c>
      <c r="D1377">
        <v>218.25</v>
      </c>
      <c r="E1377">
        <v>100.90400916380298</v>
      </c>
      <c r="F1377" t="s">
        <v>427</v>
      </c>
      <c r="G1377" s="64">
        <v>42332</v>
      </c>
      <c r="H1377">
        <v>671.15</v>
      </c>
      <c r="I1377">
        <v>100.82358638158385</v>
      </c>
      <c r="J1377">
        <v>100.82358638158385</v>
      </c>
    </row>
    <row r="1378" spans="1:10" x14ac:dyDescent="0.25">
      <c r="A1378" s="36"/>
      <c r="B1378" t="s">
        <v>451</v>
      </c>
      <c r="C1378" s="64">
        <v>42333</v>
      </c>
      <c r="D1378">
        <v>229.64</v>
      </c>
      <c r="E1378">
        <v>100.90877024908552</v>
      </c>
      <c r="F1378" t="s">
        <v>427</v>
      </c>
      <c r="G1378" s="64">
        <v>42333</v>
      </c>
      <c r="H1378">
        <v>675.34</v>
      </c>
      <c r="I1378">
        <v>100.82468090147185</v>
      </c>
      <c r="J1378">
        <v>100.82468090147185</v>
      </c>
    </row>
    <row r="1379" spans="1:10" x14ac:dyDescent="0.25">
      <c r="A1379" s="36"/>
      <c r="B1379" t="s">
        <v>451</v>
      </c>
      <c r="C1379" s="64">
        <v>42335</v>
      </c>
      <c r="D1379">
        <v>231.61</v>
      </c>
      <c r="E1379">
        <v>100.90954621993869</v>
      </c>
      <c r="F1379" t="s">
        <v>427</v>
      </c>
      <c r="G1379" s="64">
        <v>42335</v>
      </c>
      <c r="H1379">
        <v>673.26</v>
      </c>
      <c r="I1379">
        <v>100.82413926269197</v>
      </c>
      <c r="J1379">
        <v>100.82413926269197</v>
      </c>
    </row>
    <row r="1380" spans="1:10" x14ac:dyDescent="0.25">
      <c r="A1380" s="36"/>
      <c r="B1380" t="s">
        <v>451</v>
      </c>
      <c r="C1380" s="64">
        <v>42338</v>
      </c>
      <c r="D1380">
        <v>230.26</v>
      </c>
      <c r="E1380">
        <v>100.90901589507513</v>
      </c>
      <c r="F1380" t="s">
        <v>427</v>
      </c>
      <c r="G1380" s="64">
        <v>42338</v>
      </c>
      <c r="H1380">
        <v>664.8</v>
      </c>
      <c r="I1380">
        <v>100.82190132370638</v>
      </c>
      <c r="J1380">
        <v>100.82190132370638</v>
      </c>
    </row>
    <row r="1381" spans="1:10" x14ac:dyDescent="0.25">
      <c r="A1381" s="36"/>
      <c r="B1381" t="s">
        <v>451</v>
      </c>
      <c r="C1381" s="64">
        <v>42339</v>
      </c>
      <c r="D1381">
        <v>237.19</v>
      </c>
      <c r="E1381">
        <v>100.91167418525232</v>
      </c>
      <c r="F1381" t="s">
        <v>427</v>
      </c>
      <c r="G1381" s="64">
        <v>42339</v>
      </c>
      <c r="H1381">
        <v>679.06</v>
      </c>
      <c r="I1381">
        <v>100.82564132771773</v>
      </c>
      <c r="J1381">
        <v>100.82564132771773</v>
      </c>
    </row>
    <row r="1382" spans="1:10" x14ac:dyDescent="0.25">
      <c r="A1382" s="36"/>
      <c r="B1382" t="s">
        <v>451</v>
      </c>
      <c r="C1382" s="64">
        <v>42340</v>
      </c>
      <c r="D1382">
        <v>231.99</v>
      </c>
      <c r="E1382">
        <v>100.90969438337859</v>
      </c>
      <c r="F1382" t="s">
        <v>427</v>
      </c>
      <c r="G1382" s="64">
        <v>42340</v>
      </c>
      <c r="H1382">
        <v>676.01</v>
      </c>
      <c r="I1382">
        <v>100.82485466191329</v>
      </c>
      <c r="J1382">
        <v>100.82485466191329</v>
      </c>
    </row>
    <row r="1383" spans="1:10" x14ac:dyDescent="0.25">
      <c r="A1383" s="36"/>
      <c r="B1383" t="s">
        <v>451</v>
      </c>
      <c r="C1383" s="64">
        <v>42341</v>
      </c>
      <c r="D1383">
        <v>232.71</v>
      </c>
      <c r="E1383">
        <v>100.90997378711701</v>
      </c>
      <c r="F1383" t="s">
        <v>427</v>
      </c>
      <c r="G1383" s="64">
        <v>42341</v>
      </c>
      <c r="H1383">
        <v>666.25</v>
      </c>
      <c r="I1383">
        <v>100.82228893058161</v>
      </c>
      <c r="J1383">
        <v>100.82228893058161</v>
      </c>
    </row>
    <row r="1384" spans="1:10" x14ac:dyDescent="0.25">
      <c r="A1384" s="36"/>
      <c r="B1384" t="s">
        <v>451</v>
      </c>
      <c r="C1384" s="64">
        <v>42342</v>
      </c>
      <c r="D1384">
        <v>230.38</v>
      </c>
      <c r="E1384">
        <v>100.90906328674365</v>
      </c>
      <c r="F1384" t="s">
        <v>427</v>
      </c>
      <c r="G1384" s="64">
        <v>42342</v>
      </c>
      <c r="H1384">
        <v>672.64</v>
      </c>
      <c r="I1384">
        <v>100.82397716460514</v>
      </c>
      <c r="J1384">
        <v>100.82397716460514</v>
      </c>
    </row>
    <row r="1385" spans="1:10" x14ac:dyDescent="0.25">
      <c r="A1385" s="36"/>
      <c r="B1385" t="s">
        <v>451</v>
      </c>
      <c r="C1385" s="64">
        <v>42345</v>
      </c>
      <c r="D1385">
        <v>231.13</v>
      </c>
      <c r="E1385">
        <v>100.90935836974863</v>
      </c>
      <c r="F1385" t="s">
        <v>427</v>
      </c>
      <c r="G1385" s="64">
        <v>42345</v>
      </c>
      <c r="H1385">
        <v>669.83</v>
      </c>
      <c r="I1385">
        <v>100.82323873221564</v>
      </c>
      <c r="J1385">
        <v>100.82323873221564</v>
      </c>
    </row>
    <row r="1386" spans="1:10" x14ac:dyDescent="0.25">
      <c r="A1386" s="36"/>
      <c r="B1386" t="s">
        <v>451</v>
      </c>
      <c r="C1386" s="64">
        <v>42346</v>
      </c>
      <c r="D1386">
        <v>226.72</v>
      </c>
      <c r="E1386">
        <v>100.90759527170077</v>
      </c>
      <c r="F1386" t="s">
        <v>427</v>
      </c>
      <c r="G1386" s="64">
        <v>42346</v>
      </c>
      <c r="H1386">
        <v>677.33</v>
      </c>
      <c r="I1386">
        <v>100.82519599013774</v>
      </c>
      <c r="J1386">
        <v>100.82519599013774</v>
      </c>
    </row>
    <row r="1387" spans="1:10" x14ac:dyDescent="0.25">
      <c r="A1387" s="36"/>
      <c r="B1387" t="s">
        <v>451</v>
      </c>
      <c r="C1387" s="64">
        <v>42347</v>
      </c>
      <c r="D1387">
        <v>224.52</v>
      </c>
      <c r="E1387">
        <v>100.90668982718688</v>
      </c>
      <c r="F1387" t="s">
        <v>427</v>
      </c>
      <c r="G1387" s="64">
        <v>42347</v>
      </c>
      <c r="H1387">
        <v>664.79</v>
      </c>
      <c r="I1387">
        <v>100.82189864468479</v>
      </c>
      <c r="J1387">
        <v>100.82189864468479</v>
      </c>
    </row>
    <row r="1388" spans="1:10" x14ac:dyDescent="0.25">
      <c r="A1388" s="36"/>
      <c r="B1388" t="s">
        <v>451</v>
      </c>
      <c r="C1388" s="64">
        <v>42348</v>
      </c>
      <c r="D1388">
        <v>227.07</v>
      </c>
      <c r="E1388">
        <v>100.90773770203022</v>
      </c>
      <c r="F1388" t="s">
        <v>427</v>
      </c>
      <c r="G1388" s="64">
        <v>42348</v>
      </c>
      <c r="H1388">
        <v>662.32</v>
      </c>
      <c r="I1388">
        <v>100.8212344486049</v>
      </c>
      <c r="J1388">
        <v>100.8212344486049</v>
      </c>
    </row>
    <row r="1389" spans="1:10" x14ac:dyDescent="0.25">
      <c r="A1389" s="36"/>
      <c r="B1389" t="s">
        <v>451</v>
      </c>
      <c r="C1389" s="64">
        <v>42349</v>
      </c>
      <c r="D1389">
        <v>217.02</v>
      </c>
      <c r="E1389">
        <v>100.90346511842226</v>
      </c>
      <c r="F1389" t="s">
        <v>427</v>
      </c>
      <c r="G1389" s="64">
        <v>42349</v>
      </c>
      <c r="H1389">
        <v>640.15</v>
      </c>
      <c r="I1389">
        <v>100.81504334921503</v>
      </c>
      <c r="J1389">
        <v>100.81504334921503</v>
      </c>
    </row>
    <row r="1390" spans="1:10" x14ac:dyDescent="0.25">
      <c r="A1390" s="36"/>
      <c r="B1390" t="s">
        <v>451</v>
      </c>
      <c r="C1390" s="64">
        <v>42352</v>
      </c>
      <c r="D1390">
        <v>218.58</v>
      </c>
      <c r="E1390">
        <v>100.9041540854607</v>
      </c>
      <c r="F1390" t="s">
        <v>427</v>
      </c>
      <c r="G1390" s="64">
        <v>42352</v>
      </c>
      <c r="H1390">
        <v>657.91</v>
      </c>
      <c r="I1390">
        <v>100.82003617516074</v>
      </c>
      <c r="J1390">
        <v>100.82003617516074</v>
      </c>
    </row>
    <row r="1391" spans="1:10" x14ac:dyDescent="0.25">
      <c r="A1391" s="36"/>
      <c r="B1391" t="s">
        <v>451</v>
      </c>
      <c r="C1391" s="64">
        <v>42353</v>
      </c>
      <c r="D1391">
        <v>221.09</v>
      </c>
      <c r="E1391">
        <v>100.90524220905513</v>
      </c>
      <c r="F1391" t="s">
        <v>427</v>
      </c>
      <c r="G1391" s="64">
        <v>42353</v>
      </c>
      <c r="H1391">
        <v>658.64</v>
      </c>
      <c r="I1391">
        <v>100.82023563707033</v>
      </c>
      <c r="J1391">
        <v>100.82023563707033</v>
      </c>
    </row>
    <row r="1392" spans="1:10" x14ac:dyDescent="0.25">
      <c r="A1392" s="36"/>
      <c r="B1392" t="s">
        <v>451</v>
      </c>
      <c r="C1392" s="64">
        <v>42354</v>
      </c>
      <c r="D1392">
        <v>234.51</v>
      </c>
      <c r="E1392">
        <v>100.91066479041406</v>
      </c>
      <c r="F1392" t="s">
        <v>427</v>
      </c>
      <c r="G1392" s="64">
        <v>42354</v>
      </c>
      <c r="H1392">
        <v>675.77</v>
      </c>
      <c r="I1392">
        <v>100.82479245897272</v>
      </c>
      <c r="J1392">
        <v>100.82479245897272</v>
      </c>
    </row>
    <row r="1393" spans="1:10" x14ac:dyDescent="0.25">
      <c r="A1393" s="36"/>
      <c r="B1393" t="s">
        <v>451</v>
      </c>
      <c r="C1393" s="64">
        <v>42355</v>
      </c>
      <c r="D1393">
        <v>233.39</v>
      </c>
      <c r="E1393">
        <v>100.91023608552209</v>
      </c>
      <c r="F1393" t="s">
        <v>427</v>
      </c>
      <c r="G1393" s="64">
        <v>42355</v>
      </c>
      <c r="H1393">
        <v>670.65</v>
      </c>
      <c r="I1393">
        <v>100.82345485722806</v>
      </c>
      <c r="J1393">
        <v>100.82345485722806</v>
      </c>
    </row>
    <row r="1394" spans="1:10" x14ac:dyDescent="0.25">
      <c r="A1394" s="36"/>
      <c r="B1394" t="s">
        <v>451</v>
      </c>
      <c r="C1394" s="64">
        <v>42356</v>
      </c>
      <c r="D1394">
        <v>230.46</v>
      </c>
      <c r="E1394">
        <v>100.90909485377072</v>
      </c>
      <c r="F1394" t="s">
        <v>427</v>
      </c>
      <c r="G1394" s="64">
        <v>42356</v>
      </c>
      <c r="H1394">
        <v>664.14</v>
      </c>
      <c r="I1394">
        <v>100.82172433523053</v>
      </c>
      <c r="J1394">
        <v>100.82172433523053</v>
      </c>
    </row>
    <row r="1395" spans="1:10" x14ac:dyDescent="0.25">
      <c r="A1395" s="36"/>
      <c r="B1395" t="s">
        <v>451</v>
      </c>
      <c r="C1395" s="64">
        <v>42359</v>
      </c>
      <c r="D1395">
        <v>232.56</v>
      </c>
      <c r="E1395">
        <v>100.90991572067423</v>
      </c>
      <c r="F1395" t="s">
        <v>427</v>
      </c>
      <c r="G1395" s="64">
        <v>42359</v>
      </c>
      <c r="H1395">
        <v>664.51</v>
      </c>
      <c r="I1395">
        <v>100.82182359934387</v>
      </c>
      <c r="J1395">
        <v>100.82182359934387</v>
      </c>
    </row>
    <row r="1396" spans="1:10" x14ac:dyDescent="0.25">
      <c r="A1396" s="36"/>
      <c r="B1396" t="s">
        <v>451</v>
      </c>
      <c r="C1396" s="64">
        <v>42360</v>
      </c>
      <c r="D1396">
        <v>229.95</v>
      </c>
      <c r="E1396">
        <v>100.90889323766037</v>
      </c>
      <c r="F1396" t="s">
        <v>427</v>
      </c>
      <c r="G1396" s="64">
        <v>42360</v>
      </c>
      <c r="H1396">
        <v>663.15</v>
      </c>
      <c r="I1396">
        <v>100.82145819196261</v>
      </c>
      <c r="J1396">
        <v>100.82145819196261</v>
      </c>
    </row>
    <row r="1397" spans="1:10" x14ac:dyDescent="0.25">
      <c r="A1397" s="36"/>
      <c r="B1397" t="s">
        <v>451</v>
      </c>
      <c r="C1397" s="64">
        <v>42361</v>
      </c>
      <c r="D1397">
        <v>229.7</v>
      </c>
      <c r="E1397">
        <v>100.90879407923379</v>
      </c>
      <c r="F1397" t="s">
        <v>427</v>
      </c>
      <c r="G1397" s="64">
        <v>42361</v>
      </c>
      <c r="H1397">
        <v>663.7</v>
      </c>
      <c r="I1397">
        <v>100.82160614735574</v>
      </c>
      <c r="J1397">
        <v>100.82160614735574</v>
      </c>
    </row>
    <row r="1398" spans="1:10" x14ac:dyDescent="0.25">
      <c r="A1398" s="36"/>
      <c r="B1398" t="s">
        <v>451</v>
      </c>
      <c r="C1398" s="64">
        <v>42362</v>
      </c>
      <c r="D1398">
        <v>230.57</v>
      </c>
      <c r="E1398">
        <v>100.90913822266556</v>
      </c>
      <c r="F1398" t="s">
        <v>427</v>
      </c>
      <c r="G1398" s="64">
        <v>42362</v>
      </c>
      <c r="H1398">
        <v>662.79</v>
      </c>
      <c r="I1398">
        <v>100.82136121546795</v>
      </c>
      <c r="J1398">
        <v>100.82136121546795</v>
      </c>
    </row>
    <row r="1399" spans="1:10" x14ac:dyDescent="0.25">
      <c r="A1399" s="36"/>
      <c r="B1399" t="s">
        <v>451</v>
      </c>
      <c r="C1399" s="64">
        <v>42366</v>
      </c>
      <c r="D1399">
        <v>228.95</v>
      </c>
      <c r="E1399">
        <v>100.90849530465167</v>
      </c>
      <c r="F1399" t="s">
        <v>427</v>
      </c>
      <c r="G1399" s="64">
        <v>42366</v>
      </c>
      <c r="H1399">
        <v>675.2</v>
      </c>
      <c r="I1399">
        <v>100.82464454976304</v>
      </c>
      <c r="J1399">
        <v>100.82464454976304</v>
      </c>
    </row>
    <row r="1400" spans="1:10" x14ac:dyDescent="0.25">
      <c r="A1400" s="36"/>
      <c r="B1400" t="s">
        <v>451</v>
      </c>
      <c r="C1400" s="64">
        <v>42367</v>
      </c>
      <c r="D1400">
        <v>237.19</v>
      </c>
      <c r="E1400">
        <v>100.91167418525232</v>
      </c>
      <c r="F1400" t="s">
        <v>427</v>
      </c>
      <c r="G1400" s="64">
        <v>42367</v>
      </c>
      <c r="H1400">
        <v>693.97</v>
      </c>
      <c r="I1400">
        <v>100.8293874374973</v>
      </c>
      <c r="J1400">
        <v>100.8293874374973</v>
      </c>
    </row>
    <row r="1401" spans="1:10" x14ac:dyDescent="0.25">
      <c r="A1401" s="36"/>
      <c r="B1401" t="s">
        <v>451</v>
      </c>
      <c r="C1401" s="64">
        <v>42368</v>
      </c>
      <c r="D1401">
        <v>238.09</v>
      </c>
      <c r="E1401">
        <v>100.91200806417741</v>
      </c>
      <c r="F1401" t="s">
        <v>427</v>
      </c>
      <c r="G1401" s="64">
        <v>42368</v>
      </c>
      <c r="H1401">
        <v>689.07</v>
      </c>
      <c r="I1401">
        <v>100.82817420581364</v>
      </c>
      <c r="J1401">
        <v>100.82817420581364</v>
      </c>
    </row>
    <row r="1402" spans="1:10" x14ac:dyDescent="0.25">
      <c r="A1402" s="36"/>
      <c r="B1402" t="s">
        <v>451</v>
      </c>
      <c r="C1402" s="64">
        <v>42369</v>
      </c>
      <c r="D1402">
        <v>240.01</v>
      </c>
      <c r="E1402">
        <v>100.91271197033457</v>
      </c>
      <c r="F1402" t="s">
        <v>427</v>
      </c>
      <c r="G1402" s="64">
        <v>42369</v>
      </c>
      <c r="H1402">
        <v>675.89</v>
      </c>
      <c r="I1402">
        <v>100.82482356596488</v>
      </c>
      <c r="J1402">
        <v>100.82482356596488</v>
      </c>
    </row>
    <row r="1403" spans="1:10" x14ac:dyDescent="0.25">
      <c r="A1403" s="36"/>
      <c r="B1403" t="s">
        <v>451</v>
      </c>
      <c r="C1403" s="64">
        <v>42373</v>
      </c>
      <c r="D1403">
        <v>223.41</v>
      </c>
      <c r="E1403">
        <v>100.90622622084956</v>
      </c>
      <c r="F1403" t="s">
        <v>427</v>
      </c>
      <c r="G1403" s="64">
        <v>42373</v>
      </c>
      <c r="H1403">
        <v>636.99</v>
      </c>
      <c r="I1403">
        <v>100.81412581045228</v>
      </c>
      <c r="J1403">
        <v>100.81412581045228</v>
      </c>
    </row>
    <row r="1404" spans="1:10" x14ac:dyDescent="0.25">
      <c r="A1404" s="36"/>
      <c r="B1404" t="s">
        <v>451</v>
      </c>
      <c r="C1404" s="64">
        <v>42374</v>
      </c>
      <c r="D1404">
        <v>223.43</v>
      </c>
      <c r="E1404">
        <v>100.9062346148682</v>
      </c>
      <c r="F1404" t="s">
        <v>427</v>
      </c>
      <c r="G1404" s="64">
        <v>42374</v>
      </c>
      <c r="H1404">
        <v>633.79</v>
      </c>
      <c r="I1404">
        <v>100.81318733334385</v>
      </c>
      <c r="J1404">
        <v>100.81318733334385</v>
      </c>
    </row>
    <row r="1405" spans="1:10" x14ac:dyDescent="0.25">
      <c r="A1405" s="36"/>
      <c r="B1405" t="s">
        <v>451</v>
      </c>
      <c r="C1405" s="64">
        <v>42375</v>
      </c>
      <c r="D1405">
        <v>219.04</v>
      </c>
      <c r="E1405">
        <v>100.90435536888239</v>
      </c>
      <c r="F1405" t="s">
        <v>427</v>
      </c>
      <c r="G1405" s="64">
        <v>42375</v>
      </c>
      <c r="H1405">
        <v>632.65</v>
      </c>
      <c r="I1405">
        <v>100.81285070734214</v>
      </c>
      <c r="J1405">
        <v>100.81285070734214</v>
      </c>
    </row>
    <row r="1406" spans="1:10" x14ac:dyDescent="0.25">
      <c r="A1406" s="36"/>
      <c r="B1406" t="s">
        <v>451</v>
      </c>
      <c r="C1406" s="64">
        <v>42376</v>
      </c>
      <c r="D1406">
        <v>215.65</v>
      </c>
      <c r="E1406">
        <v>100.90285184326454</v>
      </c>
      <c r="F1406" t="s">
        <v>427</v>
      </c>
      <c r="G1406" s="64">
        <v>42376</v>
      </c>
      <c r="H1406">
        <v>607.94000000000005</v>
      </c>
      <c r="I1406">
        <v>100.80524393854657</v>
      </c>
      <c r="J1406">
        <v>100.80524393854657</v>
      </c>
    </row>
    <row r="1407" spans="1:10" x14ac:dyDescent="0.25">
      <c r="A1407" s="36"/>
      <c r="B1407" t="s">
        <v>451</v>
      </c>
      <c r="C1407" s="64">
        <v>42377</v>
      </c>
      <c r="D1407">
        <v>211</v>
      </c>
      <c r="E1407">
        <v>100.90071090047394</v>
      </c>
      <c r="F1407" t="s">
        <v>427</v>
      </c>
      <c r="G1407" s="64">
        <v>42377</v>
      </c>
      <c r="H1407">
        <v>607.04999999999995</v>
      </c>
      <c r="I1407">
        <v>100.80495840540318</v>
      </c>
      <c r="J1407">
        <v>100.80495840540318</v>
      </c>
    </row>
    <row r="1408" spans="1:10" x14ac:dyDescent="0.25">
      <c r="A1408" s="36"/>
      <c r="B1408" t="s">
        <v>451</v>
      </c>
      <c r="C1408" s="64">
        <v>42380</v>
      </c>
      <c r="D1408">
        <v>207.85</v>
      </c>
      <c r="E1408">
        <v>100.89920615828723</v>
      </c>
      <c r="F1408" t="s">
        <v>427</v>
      </c>
      <c r="G1408" s="64">
        <v>42380</v>
      </c>
      <c r="H1408">
        <v>617.74</v>
      </c>
      <c r="I1408">
        <v>100.808333603134</v>
      </c>
      <c r="J1408">
        <v>100.808333603134</v>
      </c>
    </row>
    <row r="1409" spans="1:10" x14ac:dyDescent="0.25">
      <c r="A1409" s="36"/>
      <c r="B1409" t="s">
        <v>451</v>
      </c>
      <c r="C1409" s="64">
        <v>42381</v>
      </c>
      <c r="D1409">
        <v>209.97</v>
      </c>
      <c r="E1409">
        <v>100.90022384150117</v>
      </c>
      <c r="F1409" t="s">
        <v>427</v>
      </c>
      <c r="G1409" s="64">
        <v>42381</v>
      </c>
      <c r="H1409">
        <v>617.89</v>
      </c>
      <c r="I1409">
        <v>100.80838013238602</v>
      </c>
      <c r="J1409">
        <v>100.80838013238602</v>
      </c>
    </row>
    <row r="1410" spans="1:10" x14ac:dyDescent="0.25">
      <c r="A1410" s="36"/>
      <c r="B1410" t="s">
        <v>451</v>
      </c>
      <c r="C1410" s="64">
        <v>42382</v>
      </c>
      <c r="D1410">
        <v>200.31</v>
      </c>
      <c r="E1410">
        <v>100.8954121112276</v>
      </c>
      <c r="F1410" t="s">
        <v>427</v>
      </c>
      <c r="G1410" s="64">
        <v>42382</v>
      </c>
      <c r="H1410">
        <v>581.80999999999995</v>
      </c>
      <c r="I1410">
        <v>100.79649713824101</v>
      </c>
      <c r="J1410">
        <v>100.79649713824101</v>
      </c>
    </row>
    <row r="1411" spans="1:10" x14ac:dyDescent="0.25">
      <c r="A1411" s="36"/>
      <c r="B1411" t="s">
        <v>451</v>
      </c>
      <c r="C1411" s="64">
        <v>42383</v>
      </c>
      <c r="D1411">
        <v>206.18</v>
      </c>
      <c r="E1411">
        <v>100.89838975652343</v>
      </c>
      <c r="F1411" t="s">
        <v>427</v>
      </c>
      <c r="G1411" s="64">
        <v>42383</v>
      </c>
      <c r="H1411">
        <v>593</v>
      </c>
      <c r="I1411">
        <v>100.80033726812816</v>
      </c>
      <c r="J1411">
        <v>100.80033726812816</v>
      </c>
    </row>
    <row r="1412" spans="1:10" x14ac:dyDescent="0.25">
      <c r="A1412" s="36"/>
      <c r="B1412" t="s">
        <v>451</v>
      </c>
      <c r="C1412" s="64">
        <v>42384</v>
      </c>
      <c r="D1412">
        <v>204.99</v>
      </c>
      <c r="E1412">
        <v>100.8977998926777</v>
      </c>
      <c r="F1412" t="s">
        <v>427</v>
      </c>
      <c r="G1412" s="64">
        <v>42384</v>
      </c>
      <c r="H1412">
        <v>570.17999999999995</v>
      </c>
      <c r="I1412">
        <v>100.7923462766144</v>
      </c>
      <c r="J1412">
        <v>100.7923462766144</v>
      </c>
    </row>
    <row r="1413" spans="1:10" x14ac:dyDescent="0.25">
      <c r="A1413" s="36"/>
      <c r="B1413" t="s">
        <v>451</v>
      </c>
      <c r="C1413" s="64">
        <v>42388</v>
      </c>
      <c r="D1413">
        <v>204.72</v>
      </c>
      <c r="E1413">
        <v>100.89766510355608</v>
      </c>
      <c r="F1413" t="s">
        <v>427</v>
      </c>
      <c r="G1413" s="64">
        <v>42388</v>
      </c>
      <c r="H1413">
        <v>574.48</v>
      </c>
      <c r="I1413">
        <v>100.79390057095112</v>
      </c>
      <c r="J1413">
        <v>100.79390057095112</v>
      </c>
    </row>
    <row r="1414" spans="1:10" x14ac:dyDescent="0.25">
      <c r="A1414" s="36"/>
      <c r="B1414" t="s">
        <v>451</v>
      </c>
      <c r="C1414" s="64">
        <v>42389</v>
      </c>
      <c r="D1414">
        <v>198.7</v>
      </c>
      <c r="E1414">
        <v>100.89456467035733</v>
      </c>
      <c r="F1414" t="s">
        <v>427</v>
      </c>
      <c r="G1414" s="64">
        <v>42389</v>
      </c>
      <c r="H1414">
        <v>571.77</v>
      </c>
      <c r="I1414">
        <v>100.79292372807248</v>
      </c>
      <c r="J1414">
        <v>100.79292372807248</v>
      </c>
    </row>
    <row r="1415" spans="1:10" x14ac:dyDescent="0.25">
      <c r="A1415" s="36"/>
      <c r="B1415" t="s">
        <v>451</v>
      </c>
      <c r="C1415" s="64">
        <v>42390</v>
      </c>
      <c r="D1415">
        <v>199.97</v>
      </c>
      <c r="E1415">
        <v>100.89523428514278</v>
      </c>
      <c r="F1415" t="s">
        <v>427</v>
      </c>
      <c r="G1415" s="64">
        <v>42390</v>
      </c>
      <c r="H1415">
        <v>575.02</v>
      </c>
      <c r="I1415">
        <v>100.79409411846544</v>
      </c>
      <c r="J1415">
        <v>100.79409411846544</v>
      </c>
    </row>
    <row r="1416" spans="1:10" x14ac:dyDescent="0.25">
      <c r="A1416" s="36"/>
      <c r="B1416" t="s">
        <v>451</v>
      </c>
      <c r="C1416" s="64">
        <v>42391</v>
      </c>
      <c r="D1416">
        <v>202.55</v>
      </c>
      <c r="E1416">
        <v>100.89656874845717</v>
      </c>
      <c r="F1416" t="s">
        <v>427</v>
      </c>
      <c r="G1416" s="64">
        <v>42391</v>
      </c>
      <c r="H1416">
        <v>596.38</v>
      </c>
      <c r="I1416">
        <v>100.80146886213488</v>
      </c>
      <c r="J1416">
        <v>100.80146886213488</v>
      </c>
    </row>
    <row r="1417" spans="1:10" x14ac:dyDescent="0.25">
      <c r="A1417" s="36"/>
      <c r="B1417" t="s">
        <v>451</v>
      </c>
      <c r="C1417" s="64">
        <v>42394</v>
      </c>
      <c r="D1417">
        <v>196.38</v>
      </c>
      <c r="E1417">
        <v>100.89331907526224</v>
      </c>
      <c r="F1417" t="s">
        <v>427</v>
      </c>
      <c r="G1417" s="64">
        <v>42394</v>
      </c>
      <c r="H1417">
        <v>596.53</v>
      </c>
      <c r="I1417">
        <v>100.80151878363201</v>
      </c>
      <c r="J1417">
        <v>100.80151878363201</v>
      </c>
    </row>
    <row r="1418" spans="1:10" x14ac:dyDescent="0.25">
      <c r="A1418" s="36"/>
      <c r="B1418" t="s">
        <v>451</v>
      </c>
      <c r="C1418" s="64">
        <v>42395</v>
      </c>
      <c r="D1418">
        <v>193.56</v>
      </c>
      <c r="E1418">
        <v>100.89176482744368</v>
      </c>
      <c r="F1418" t="s">
        <v>427</v>
      </c>
      <c r="G1418" s="64">
        <v>42395</v>
      </c>
      <c r="H1418">
        <v>601.25</v>
      </c>
      <c r="I1418">
        <v>100.80307692307693</v>
      </c>
      <c r="J1418">
        <v>100.80307692307693</v>
      </c>
    </row>
    <row r="1419" spans="1:10" x14ac:dyDescent="0.25">
      <c r="A1419" s="36"/>
      <c r="B1419" t="s">
        <v>451</v>
      </c>
      <c r="C1419" s="64">
        <v>42396</v>
      </c>
      <c r="D1419">
        <v>188.07</v>
      </c>
      <c r="E1419">
        <v>100.8886053065348</v>
      </c>
      <c r="F1419" t="s">
        <v>427</v>
      </c>
      <c r="G1419" s="64">
        <v>42396</v>
      </c>
      <c r="H1419">
        <v>583.35</v>
      </c>
      <c r="I1419">
        <v>100.79703437044655</v>
      </c>
      <c r="J1419">
        <v>100.79703437044655</v>
      </c>
    </row>
    <row r="1420" spans="1:10" x14ac:dyDescent="0.25">
      <c r="A1420" s="36"/>
      <c r="B1420" t="s">
        <v>451</v>
      </c>
      <c r="C1420" s="64">
        <v>42397</v>
      </c>
      <c r="D1420">
        <v>189.7</v>
      </c>
      <c r="E1420">
        <v>100.88956246705324</v>
      </c>
      <c r="F1420" t="s">
        <v>427</v>
      </c>
      <c r="G1420" s="64">
        <v>42397</v>
      </c>
      <c r="H1420">
        <v>635.35</v>
      </c>
      <c r="I1420">
        <v>100.8136460218777</v>
      </c>
      <c r="J1420">
        <v>100.8136460218777</v>
      </c>
    </row>
    <row r="1421" spans="1:10" x14ac:dyDescent="0.25">
      <c r="A1421" s="36"/>
      <c r="B1421" t="s">
        <v>451</v>
      </c>
      <c r="C1421" s="64">
        <v>42398</v>
      </c>
      <c r="D1421">
        <v>191.2</v>
      </c>
      <c r="E1421">
        <v>100.89042887029289</v>
      </c>
      <c r="F1421" t="s">
        <v>427</v>
      </c>
      <c r="G1421" s="64">
        <v>42398</v>
      </c>
      <c r="H1421">
        <v>587</v>
      </c>
      <c r="I1421">
        <v>100.79829642248723</v>
      </c>
      <c r="J1421">
        <v>100.79829642248723</v>
      </c>
    </row>
    <row r="1422" spans="1:10" x14ac:dyDescent="0.25">
      <c r="A1422" s="36"/>
      <c r="B1422" t="s">
        <v>451</v>
      </c>
      <c r="C1422" s="64">
        <v>42401</v>
      </c>
      <c r="D1422">
        <v>196.94</v>
      </c>
      <c r="E1422">
        <v>100.89362242307301</v>
      </c>
      <c r="F1422" t="s">
        <v>427</v>
      </c>
      <c r="G1422" s="64">
        <v>42401</v>
      </c>
      <c r="H1422">
        <v>574.80999999999995</v>
      </c>
      <c r="I1422">
        <v>100.79401889319949</v>
      </c>
      <c r="J1422">
        <v>100.79401889319949</v>
      </c>
    </row>
    <row r="1423" spans="1:10" x14ac:dyDescent="0.25">
      <c r="A1423" s="36"/>
      <c r="B1423" t="s">
        <v>451</v>
      </c>
      <c r="C1423" s="64">
        <v>42402</v>
      </c>
      <c r="D1423">
        <v>182.78</v>
      </c>
      <c r="E1423">
        <v>100.88538133274976</v>
      </c>
      <c r="F1423" t="s">
        <v>427</v>
      </c>
      <c r="G1423" s="64">
        <v>42402</v>
      </c>
      <c r="H1423">
        <v>552.1</v>
      </c>
      <c r="I1423">
        <v>100.7855460967216</v>
      </c>
      <c r="J1423">
        <v>100.7855460967216</v>
      </c>
    </row>
    <row r="1424" spans="1:10" x14ac:dyDescent="0.25">
      <c r="A1424" s="36"/>
      <c r="B1424" t="s">
        <v>451</v>
      </c>
      <c r="C1424" s="64">
        <v>42403</v>
      </c>
      <c r="D1424">
        <v>173.48</v>
      </c>
      <c r="E1424">
        <v>100.87923679963109</v>
      </c>
      <c r="F1424" t="s">
        <v>427</v>
      </c>
      <c r="G1424" s="64">
        <v>42403</v>
      </c>
      <c r="H1424">
        <v>531.07000000000005</v>
      </c>
      <c r="I1424">
        <v>100.77705387237087</v>
      </c>
      <c r="J1424">
        <v>100.77705387237087</v>
      </c>
    </row>
    <row r="1425" spans="1:10" x14ac:dyDescent="0.25">
      <c r="A1425" s="36"/>
      <c r="B1425" t="s">
        <v>451</v>
      </c>
      <c r="C1425" s="64">
        <v>42404</v>
      </c>
      <c r="D1425">
        <v>175.33</v>
      </c>
      <c r="E1425">
        <v>100.88051103633148</v>
      </c>
      <c r="F1425" t="s">
        <v>427</v>
      </c>
      <c r="G1425" s="64">
        <v>42404</v>
      </c>
      <c r="H1425">
        <v>536.26</v>
      </c>
      <c r="I1425">
        <v>100.7792115764741</v>
      </c>
      <c r="J1425">
        <v>100.7792115764741</v>
      </c>
    </row>
    <row r="1426" spans="1:10" x14ac:dyDescent="0.25">
      <c r="A1426" s="36"/>
      <c r="B1426" t="s">
        <v>451</v>
      </c>
      <c r="C1426" s="64">
        <v>42405</v>
      </c>
      <c r="D1426">
        <v>162.6</v>
      </c>
      <c r="E1426">
        <v>100.87115621156211</v>
      </c>
      <c r="F1426" t="s">
        <v>427</v>
      </c>
      <c r="G1426" s="64">
        <v>42405</v>
      </c>
      <c r="H1426">
        <v>502.13</v>
      </c>
      <c r="I1426">
        <v>100.76420448887738</v>
      </c>
      <c r="J1426">
        <v>100.76420448887738</v>
      </c>
    </row>
    <row r="1427" spans="1:10" x14ac:dyDescent="0.25">
      <c r="A1427" s="36"/>
      <c r="B1427" t="s">
        <v>451</v>
      </c>
      <c r="C1427" s="64">
        <v>42408</v>
      </c>
      <c r="D1427">
        <v>147.99</v>
      </c>
      <c r="E1427">
        <v>100.85843638083654</v>
      </c>
      <c r="F1427" t="s">
        <v>427</v>
      </c>
      <c r="G1427" s="64">
        <v>42408</v>
      </c>
      <c r="H1427">
        <v>488.1</v>
      </c>
      <c r="I1427">
        <v>100.75742675681212</v>
      </c>
      <c r="J1427">
        <v>100.75742675681212</v>
      </c>
    </row>
    <row r="1428" spans="1:10" x14ac:dyDescent="0.25">
      <c r="A1428" s="36"/>
      <c r="B1428" t="s">
        <v>451</v>
      </c>
      <c r="C1428" s="64">
        <v>42409</v>
      </c>
      <c r="D1428">
        <v>148.25</v>
      </c>
      <c r="E1428">
        <v>100.85868465430016</v>
      </c>
      <c r="F1428" t="s">
        <v>427</v>
      </c>
      <c r="G1428" s="64">
        <v>42409</v>
      </c>
      <c r="H1428">
        <v>482.07</v>
      </c>
      <c r="I1428">
        <v>100.75439251560977</v>
      </c>
      <c r="J1428">
        <v>100.75439251560977</v>
      </c>
    </row>
    <row r="1429" spans="1:10" x14ac:dyDescent="0.25">
      <c r="A1429" s="36"/>
      <c r="B1429" t="s">
        <v>451</v>
      </c>
      <c r="C1429" s="64">
        <v>42410</v>
      </c>
      <c r="D1429">
        <v>143.66999999999999</v>
      </c>
      <c r="E1429">
        <v>100.85417971740794</v>
      </c>
      <c r="F1429" t="s">
        <v>427</v>
      </c>
      <c r="G1429" s="64">
        <v>42410</v>
      </c>
      <c r="H1429">
        <v>490.48</v>
      </c>
      <c r="I1429">
        <v>100.75860381666938</v>
      </c>
      <c r="J1429">
        <v>100.75860381666938</v>
      </c>
    </row>
    <row r="1430" spans="1:10" x14ac:dyDescent="0.25">
      <c r="A1430" s="36"/>
      <c r="B1430" t="s">
        <v>451</v>
      </c>
      <c r="C1430" s="64">
        <v>42411</v>
      </c>
      <c r="D1430">
        <v>150.47</v>
      </c>
      <c r="E1430">
        <v>100.86076958862232</v>
      </c>
      <c r="F1430" t="s">
        <v>427</v>
      </c>
      <c r="G1430" s="64">
        <v>42411</v>
      </c>
      <c r="H1430">
        <v>503.82</v>
      </c>
      <c r="I1430">
        <v>100.76499543487753</v>
      </c>
      <c r="J1430">
        <v>100.76499543487753</v>
      </c>
    </row>
    <row r="1431" spans="1:10" x14ac:dyDescent="0.25">
      <c r="A1431" s="36"/>
      <c r="B1431" t="s">
        <v>451</v>
      </c>
      <c r="C1431" s="64">
        <v>42412</v>
      </c>
      <c r="D1431">
        <v>151.04</v>
      </c>
      <c r="E1431">
        <v>100.86129502118644</v>
      </c>
      <c r="F1431" t="s">
        <v>427</v>
      </c>
      <c r="G1431" s="64">
        <v>42412</v>
      </c>
      <c r="H1431">
        <v>507.08</v>
      </c>
      <c r="I1431">
        <v>100.76650627119982</v>
      </c>
      <c r="J1431">
        <v>100.76650627119982</v>
      </c>
    </row>
    <row r="1432" spans="1:10" x14ac:dyDescent="0.25">
      <c r="A1432" s="36"/>
      <c r="B1432" t="s">
        <v>451</v>
      </c>
      <c r="C1432" s="64">
        <v>42416</v>
      </c>
      <c r="D1432">
        <v>155.16999999999999</v>
      </c>
      <c r="E1432">
        <v>100.86498678868338</v>
      </c>
      <c r="F1432" t="s">
        <v>427</v>
      </c>
      <c r="G1432" s="64">
        <v>42416</v>
      </c>
      <c r="H1432">
        <v>521.1</v>
      </c>
      <c r="I1432">
        <v>100.77278833237382</v>
      </c>
      <c r="J1432">
        <v>100.77278833237382</v>
      </c>
    </row>
    <row r="1433" spans="1:10" x14ac:dyDescent="0.25">
      <c r="A1433" s="36"/>
      <c r="B1433" t="s">
        <v>451</v>
      </c>
      <c r="C1433" s="64">
        <v>42417</v>
      </c>
      <c r="D1433">
        <v>168.68</v>
      </c>
      <c r="E1433">
        <v>100.87580033198957</v>
      </c>
      <c r="F1433" t="s">
        <v>427</v>
      </c>
      <c r="G1433" s="64">
        <v>42417</v>
      </c>
      <c r="H1433">
        <v>534.1</v>
      </c>
      <c r="I1433">
        <v>100.77831866691631</v>
      </c>
      <c r="J1433">
        <v>100.77831866691631</v>
      </c>
    </row>
    <row r="1434" spans="1:10" x14ac:dyDescent="0.25">
      <c r="A1434" s="36"/>
      <c r="B1434" t="s">
        <v>451</v>
      </c>
      <c r="C1434" s="64">
        <v>42418</v>
      </c>
      <c r="D1434">
        <v>166.77</v>
      </c>
      <c r="E1434">
        <v>100.87437788571086</v>
      </c>
      <c r="F1434" t="s">
        <v>427</v>
      </c>
      <c r="G1434" s="64">
        <v>42418</v>
      </c>
      <c r="H1434">
        <v>525</v>
      </c>
      <c r="I1434">
        <v>100.77447619047619</v>
      </c>
      <c r="J1434">
        <v>100.77447619047619</v>
      </c>
    </row>
    <row r="1435" spans="1:10" x14ac:dyDescent="0.25">
      <c r="A1435" s="36"/>
      <c r="B1435" t="s">
        <v>451</v>
      </c>
      <c r="C1435" s="64">
        <v>42419</v>
      </c>
      <c r="D1435">
        <v>166.58</v>
      </c>
      <c r="E1435">
        <v>100.87423460199304</v>
      </c>
      <c r="F1435" t="s">
        <v>427</v>
      </c>
      <c r="G1435" s="64">
        <v>42419</v>
      </c>
      <c r="H1435">
        <v>534.9</v>
      </c>
      <c r="I1435">
        <v>100.77865021499346</v>
      </c>
      <c r="J1435">
        <v>100.77865021499346</v>
      </c>
    </row>
    <row r="1436" spans="1:10" x14ac:dyDescent="0.25">
      <c r="A1436" s="36"/>
      <c r="B1436" t="s">
        <v>451</v>
      </c>
      <c r="C1436" s="64">
        <v>42422</v>
      </c>
      <c r="D1436">
        <v>177.74</v>
      </c>
      <c r="E1436">
        <v>100.88213120288061</v>
      </c>
      <c r="F1436" t="s">
        <v>427</v>
      </c>
      <c r="G1436" s="64">
        <v>42422</v>
      </c>
      <c r="H1436">
        <v>559.5</v>
      </c>
      <c r="I1436">
        <v>100.78838248436104</v>
      </c>
      <c r="J1436">
        <v>100.78838248436104</v>
      </c>
    </row>
    <row r="1437" spans="1:10" x14ac:dyDescent="0.25">
      <c r="A1437" s="36"/>
      <c r="B1437" t="s">
        <v>451</v>
      </c>
      <c r="C1437" s="64">
        <v>42423</v>
      </c>
      <c r="D1437">
        <v>177.21</v>
      </c>
      <c r="E1437">
        <v>100.88177868066136</v>
      </c>
      <c r="F1437" t="s">
        <v>427</v>
      </c>
      <c r="G1437" s="64">
        <v>42423</v>
      </c>
      <c r="H1437">
        <v>552.94000000000005</v>
      </c>
      <c r="I1437">
        <v>100.7858718848338</v>
      </c>
      <c r="J1437">
        <v>100.7858718848338</v>
      </c>
    </row>
    <row r="1438" spans="1:10" x14ac:dyDescent="0.25">
      <c r="A1438" s="36"/>
      <c r="B1438" t="s">
        <v>451</v>
      </c>
      <c r="C1438" s="64">
        <v>42424</v>
      </c>
      <c r="D1438">
        <v>179</v>
      </c>
      <c r="E1438">
        <v>100.88296089385474</v>
      </c>
      <c r="F1438" t="s">
        <v>427</v>
      </c>
      <c r="G1438" s="64">
        <v>42424</v>
      </c>
      <c r="H1438">
        <v>554.04</v>
      </c>
      <c r="I1438">
        <v>100.78629701826583</v>
      </c>
      <c r="J1438">
        <v>100.78629701826583</v>
      </c>
    </row>
    <row r="1439" spans="1:10" x14ac:dyDescent="0.25">
      <c r="A1439" s="36"/>
      <c r="B1439" t="s">
        <v>451</v>
      </c>
      <c r="C1439" s="64">
        <v>42425</v>
      </c>
      <c r="D1439">
        <v>187.43</v>
      </c>
      <c r="E1439">
        <v>100.88822493730993</v>
      </c>
      <c r="F1439" t="s">
        <v>427</v>
      </c>
      <c r="G1439" s="64">
        <v>42425</v>
      </c>
      <c r="H1439">
        <v>555.15</v>
      </c>
      <c r="I1439">
        <v>100.78672430874538</v>
      </c>
      <c r="J1439">
        <v>100.78672430874538</v>
      </c>
    </row>
    <row r="1440" spans="1:10" x14ac:dyDescent="0.25">
      <c r="A1440" s="36"/>
      <c r="B1440" t="s">
        <v>451</v>
      </c>
      <c r="C1440" s="64">
        <v>42426</v>
      </c>
      <c r="D1440">
        <v>190.34</v>
      </c>
      <c r="E1440">
        <v>100.88993380266891</v>
      </c>
      <c r="F1440" t="s">
        <v>427</v>
      </c>
      <c r="G1440" s="64">
        <v>42426</v>
      </c>
      <c r="H1440">
        <v>555.23</v>
      </c>
      <c r="I1440">
        <v>100.78675503845254</v>
      </c>
      <c r="J1440">
        <v>100.78675503845254</v>
      </c>
    </row>
    <row r="1441" spans="1:10" x14ac:dyDescent="0.25">
      <c r="A1441" s="36"/>
      <c r="B1441" t="s">
        <v>451</v>
      </c>
      <c r="C1441" s="64">
        <v>42429</v>
      </c>
      <c r="D1441">
        <v>191.93</v>
      </c>
      <c r="E1441">
        <v>100.89084562079925</v>
      </c>
      <c r="F1441" t="s">
        <v>427</v>
      </c>
      <c r="G1441" s="64">
        <v>42429</v>
      </c>
      <c r="H1441">
        <v>552.52</v>
      </c>
      <c r="I1441">
        <v>100.78570911460218</v>
      </c>
      <c r="J1441">
        <v>100.78570911460218</v>
      </c>
    </row>
    <row r="1442" spans="1:10" x14ac:dyDescent="0.25">
      <c r="A1442" s="36"/>
      <c r="B1442" t="s">
        <v>451</v>
      </c>
      <c r="C1442" s="64">
        <v>42430</v>
      </c>
      <c r="D1442">
        <v>186.35</v>
      </c>
      <c r="E1442">
        <v>100.88757713979072</v>
      </c>
      <c r="F1442" t="s">
        <v>427</v>
      </c>
      <c r="G1442" s="64">
        <v>42430</v>
      </c>
      <c r="H1442">
        <v>579.04</v>
      </c>
      <c r="I1442">
        <v>100.79552362531086</v>
      </c>
      <c r="J1442">
        <v>100.79552362531086</v>
      </c>
    </row>
    <row r="1443" spans="1:10" x14ac:dyDescent="0.25">
      <c r="A1443" s="36"/>
      <c r="B1443" t="s">
        <v>451</v>
      </c>
      <c r="C1443" s="64">
        <v>42431</v>
      </c>
      <c r="D1443">
        <v>188.34</v>
      </c>
      <c r="E1443">
        <v>100.88876499946905</v>
      </c>
      <c r="F1443" t="s">
        <v>427</v>
      </c>
      <c r="G1443" s="64">
        <v>42431</v>
      </c>
      <c r="H1443">
        <v>580.21</v>
      </c>
      <c r="I1443">
        <v>100.79593595422347</v>
      </c>
      <c r="J1443">
        <v>100.79593595422347</v>
      </c>
    </row>
    <row r="1444" spans="1:10" x14ac:dyDescent="0.25">
      <c r="A1444" s="36"/>
      <c r="B1444" t="s">
        <v>451</v>
      </c>
      <c r="C1444" s="64">
        <v>42432</v>
      </c>
      <c r="D1444">
        <v>195.74</v>
      </c>
      <c r="E1444">
        <v>100.89297026668029</v>
      </c>
      <c r="F1444" t="s">
        <v>427</v>
      </c>
      <c r="G1444" s="64">
        <v>42432</v>
      </c>
      <c r="H1444">
        <v>577.49</v>
      </c>
      <c r="I1444">
        <v>100.79497480475852</v>
      </c>
      <c r="J1444">
        <v>100.79497480475852</v>
      </c>
    </row>
    <row r="1445" spans="1:10" x14ac:dyDescent="0.25">
      <c r="A1445" s="36"/>
      <c r="B1445" t="s">
        <v>451</v>
      </c>
      <c r="C1445" s="64">
        <v>42433</v>
      </c>
      <c r="D1445">
        <v>201.04</v>
      </c>
      <c r="E1445">
        <v>100.89579188221249</v>
      </c>
      <c r="F1445" t="s">
        <v>427</v>
      </c>
      <c r="G1445" s="64">
        <v>42433</v>
      </c>
      <c r="H1445">
        <v>575.14</v>
      </c>
      <c r="I1445">
        <v>100.79413707966756</v>
      </c>
      <c r="J1445">
        <v>100.79413707966756</v>
      </c>
    </row>
    <row r="1446" spans="1:10" x14ac:dyDescent="0.25">
      <c r="A1446" s="36"/>
      <c r="B1446" t="s">
        <v>451</v>
      </c>
      <c r="C1446" s="64">
        <v>42436</v>
      </c>
      <c r="D1446">
        <v>205.29</v>
      </c>
      <c r="E1446">
        <v>100.89794924253495</v>
      </c>
      <c r="F1446" t="s">
        <v>427</v>
      </c>
      <c r="G1446" s="64">
        <v>42436</v>
      </c>
      <c r="H1446">
        <v>562.79999999999995</v>
      </c>
      <c r="I1446">
        <v>100.78962331201137</v>
      </c>
      <c r="J1446">
        <v>100.78962331201137</v>
      </c>
    </row>
    <row r="1447" spans="1:10" x14ac:dyDescent="0.25">
      <c r="A1447" s="36"/>
      <c r="B1447" t="s">
        <v>451</v>
      </c>
      <c r="C1447" s="64">
        <v>42437</v>
      </c>
      <c r="D1447">
        <v>202.6</v>
      </c>
      <c r="E1447">
        <v>100.89659427443237</v>
      </c>
      <c r="F1447" t="s">
        <v>427</v>
      </c>
      <c r="G1447" s="64">
        <v>42437</v>
      </c>
      <c r="H1447">
        <v>560.26</v>
      </c>
      <c r="I1447">
        <v>100.78866954628208</v>
      </c>
      <c r="J1447">
        <v>100.78866954628208</v>
      </c>
    </row>
    <row r="1448" spans="1:10" x14ac:dyDescent="0.25">
      <c r="A1448" s="36"/>
      <c r="B1448" t="s">
        <v>451</v>
      </c>
      <c r="C1448" s="64">
        <v>42438</v>
      </c>
      <c r="D1448">
        <v>208.72</v>
      </c>
      <c r="E1448">
        <v>100.89962629359908</v>
      </c>
      <c r="F1448" t="s">
        <v>427</v>
      </c>
      <c r="G1448" s="64">
        <v>42438</v>
      </c>
      <c r="H1448">
        <v>559.47</v>
      </c>
      <c r="I1448">
        <v>100.78837113696892</v>
      </c>
      <c r="J1448">
        <v>100.78837113696892</v>
      </c>
    </row>
    <row r="1449" spans="1:10" x14ac:dyDescent="0.25">
      <c r="A1449" s="36"/>
      <c r="B1449" t="s">
        <v>451</v>
      </c>
      <c r="C1449" s="64">
        <v>42439</v>
      </c>
      <c r="D1449">
        <v>205.18</v>
      </c>
      <c r="E1449">
        <v>100.89789453163077</v>
      </c>
      <c r="F1449" t="s">
        <v>427</v>
      </c>
      <c r="G1449" s="64">
        <v>42439</v>
      </c>
      <c r="H1449">
        <v>558.92999999999995</v>
      </c>
      <c r="I1449">
        <v>100.78816667561233</v>
      </c>
      <c r="J1449">
        <v>100.78816667561233</v>
      </c>
    </row>
    <row r="1450" spans="1:10" x14ac:dyDescent="0.25">
      <c r="A1450" s="36"/>
      <c r="B1450" t="s">
        <v>451</v>
      </c>
      <c r="C1450" s="64">
        <v>42440</v>
      </c>
      <c r="D1450">
        <v>207.5</v>
      </c>
      <c r="E1450">
        <v>100.89903614457832</v>
      </c>
      <c r="F1450" t="s">
        <v>427</v>
      </c>
      <c r="G1450" s="64">
        <v>42440</v>
      </c>
      <c r="H1450">
        <v>569.61</v>
      </c>
      <c r="I1450">
        <v>100.79213848071487</v>
      </c>
      <c r="J1450">
        <v>100.79213848071487</v>
      </c>
    </row>
    <row r="1451" spans="1:10" x14ac:dyDescent="0.25">
      <c r="A1451" s="36"/>
      <c r="B1451" t="s">
        <v>451</v>
      </c>
      <c r="C1451" s="64">
        <v>42443</v>
      </c>
      <c r="D1451">
        <v>215.15</v>
      </c>
      <c r="E1451">
        <v>100.90262607483152</v>
      </c>
      <c r="F1451" t="s">
        <v>427</v>
      </c>
      <c r="G1451" s="64">
        <v>42443</v>
      </c>
      <c r="H1451">
        <v>573.37</v>
      </c>
      <c r="I1451">
        <v>100.79350157838743</v>
      </c>
      <c r="J1451">
        <v>100.79350157838743</v>
      </c>
    </row>
    <row r="1452" spans="1:10" x14ac:dyDescent="0.25">
      <c r="A1452" s="36"/>
      <c r="B1452" t="s">
        <v>451</v>
      </c>
      <c r="C1452" s="64">
        <v>42444</v>
      </c>
      <c r="D1452">
        <v>218.34</v>
      </c>
      <c r="E1452">
        <v>100.90404873133645</v>
      </c>
      <c r="F1452" t="s">
        <v>427</v>
      </c>
      <c r="G1452" s="64">
        <v>42444</v>
      </c>
      <c r="H1452">
        <v>577.02</v>
      </c>
      <c r="I1452">
        <v>100.79480780562199</v>
      </c>
      <c r="J1452">
        <v>100.79480780562199</v>
      </c>
    </row>
    <row r="1453" spans="1:10" x14ac:dyDescent="0.25">
      <c r="A1453" s="36"/>
      <c r="B1453" t="s">
        <v>451</v>
      </c>
      <c r="C1453" s="64">
        <v>42445</v>
      </c>
      <c r="D1453">
        <v>221.93</v>
      </c>
      <c r="E1453">
        <v>100.90560086513766</v>
      </c>
      <c r="F1453" t="s">
        <v>427</v>
      </c>
      <c r="G1453" s="64">
        <v>42445</v>
      </c>
      <c r="H1453">
        <v>574.27</v>
      </c>
      <c r="I1453">
        <v>100.79382520417225</v>
      </c>
      <c r="J1453">
        <v>100.79382520417225</v>
      </c>
    </row>
    <row r="1454" spans="1:10" x14ac:dyDescent="0.25">
      <c r="A1454" s="36"/>
      <c r="B1454" t="s">
        <v>451</v>
      </c>
      <c r="C1454" s="64">
        <v>42446</v>
      </c>
      <c r="D1454">
        <v>226.38</v>
      </c>
      <c r="E1454">
        <v>100.90745648908914</v>
      </c>
      <c r="F1454" t="s">
        <v>427</v>
      </c>
      <c r="G1454" s="64">
        <v>42446</v>
      </c>
      <c r="H1454">
        <v>559.44000000000005</v>
      </c>
      <c r="I1454">
        <v>100.78835978835978</v>
      </c>
      <c r="J1454">
        <v>100.78835978835978</v>
      </c>
    </row>
    <row r="1455" spans="1:10" x14ac:dyDescent="0.25">
      <c r="A1455" s="36"/>
      <c r="B1455" t="s">
        <v>451</v>
      </c>
      <c r="C1455" s="64">
        <v>42447</v>
      </c>
      <c r="D1455">
        <v>232.74</v>
      </c>
      <c r="E1455">
        <v>100.9099853914239</v>
      </c>
      <c r="F1455" t="s">
        <v>427</v>
      </c>
      <c r="G1455" s="64">
        <v>42447</v>
      </c>
      <c r="H1455">
        <v>552.08000000000004</v>
      </c>
      <c r="I1455">
        <v>100.78553832777858</v>
      </c>
      <c r="J1455">
        <v>100.78553832777858</v>
      </c>
    </row>
    <row r="1456" spans="1:10" x14ac:dyDescent="0.25">
      <c r="A1456" s="36"/>
      <c r="B1456" t="s">
        <v>451</v>
      </c>
      <c r="C1456" s="64">
        <v>42450</v>
      </c>
      <c r="D1456">
        <v>238.32</v>
      </c>
      <c r="E1456">
        <v>100.91209298422289</v>
      </c>
      <c r="F1456" t="s">
        <v>427</v>
      </c>
      <c r="G1456" s="64">
        <v>42450</v>
      </c>
      <c r="H1456">
        <v>553.98</v>
      </c>
      <c r="I1456">
        <v>100.78627387270299</v>
      </c>
      <c r="J1456">
        <v>100.78627387270299</v>
      </c>
    </row>
    <row r="1457" spans="1:10" x14ac:dyDescent="0.25">
      <c r="A1457" s="36"/>
      <c r="B1457" t="s">
        <v>451</v>
      </c>
      <c r="C1457" s="64">
        <v>42451</v>
      </c>
      <c r="D1457">
        <v>234.24</v>
      </c>
      <c r="E1457">
        <v>100.91056181693989</v>
      </c>
      <c r="F1457" t="s">
        <v>427</v>
      </c>
      <c r="G1457" s="64">
        <v>42451</v>
      </c>
      <c r="H1457">
        <v>560.48</v>
      </c>
      <c r="I1457">
        <v>100.78875249785898</v>
      </c>
      <c r="J1457">
        <v>100.78875249785898</v>
      </c>
    </row>
    <row r="1458" spans="1:10" x14ac:dyDescent="0.25">
      <c r="A1458" s="36"/>
      <c r="B1458" t="s">
        <v>451</v>
      </c>
      <c r="C1458" s="64">
        <v>42452</v>
      </c>
      <c r="D1458">
        <v>222.58</v>
      </c>
      <c r="E1458">
        <v>100.90587653877257</v>
      </c>
      <c r="F1458" t="s">
        <v>427</v>
      </c>
      <c r="G1458" s="64">
        <v>42452</v>
      </c>
      <c r="H1458">
        <v>569.63</v>
      </c>
      <c r="I1458">
        <v>100.7921457788389</v>
      </c>
      <c r="J1458">
        <v>100.7921457788389</v>
      </c>
    </row>
    <row r="1459" spans="1:10" x14ac:dyDescent="0.25">
      <c r="A1459" s="36"/>
      <c r="B1459" t="s">
        <v>451</v>
      </c>
      <c r="C1459" s="64">
        <v>42453</v>
      </c>
      <c r="D1459">
        <v>227.75</v>
      </c>
      <c r="E1459">
        <v>100.90801317233809</v>
      </c>
      <c r="F1459" t="s">
        <v>427</v>
      </c>
      <c r="G1459" s="64">
        <v>42453</v>
      </c>
      <c r="H1459">
        <v>582.95000000000005</v>
      </c>
      <c r="I1459">
        <v>100.79689510249592</v>
      </c>
      <c r="J1459">
        <v>100.79689510249592</v>
      </c>
    </row>
    <row r="1460" spans="1:10" x14ac:dyDescent="0.25">
      <c r="A1460" s="36"/>
      <c r="B1460" t="s">
        <v>451</v>
      </c>
      <c r="C1460" s="64">
        <v>42457</v>
      </c>
      <c r="D1460">
        <v>230.26</v>
      </c>
      <c r="E1460">
        <v>100.90901589507513</v>
      </c>
      <c r="F1460" t="s">
        <v>427</v>
      </c>
      <c r="G1460" s="64">
        <v>42457</v>
      </c>
      <c r="H1460">
        <v>579.87</v>
      </c>
      <c r="I1460">
        <v>100.79581630365426</v>
      </c>
      <c r="J1460">
        <v>100.79581630365426</v>
      </c>
    </row>
    <row r="1461" spans="1:10" x14ac:dyDescent="0.25">
      <c r="A1461" s="36"/>
      <c r="B1461" t="s">
        <v>451</v>
      </c>
      <c r="C1461" s="64">
        <v>42458</v>
      </c>
      <c r="D1461">
        <v>230.13</v>
      </c>
      <c r="E1461">
        <v>100.90896449832704</v>
      </c>
      <c r="F1461" t="s">
        <v>427</v>
      </c>
      <c r="G1461" s="64">
        <v>42458</v>
      </c>
      <c r="H1461">
        <v>593.86</v>
      </c>
      <c r="I1461">
        <v>100.80062641026504</v>
      </c>
      <c r="J1461">
        <v>100.80062641026504</v>
      </c>
    </row>
    <row r="1462" spans="1:10" x14ac:dyDescent="0.25">
      <c r="A1462" s="36"/>
      <c r="B1462" t="s">
        <v>451</v>
      </c>
      <c r="C1462" s="64">
        <v>42459</v>
      </c>
      <c r="D1462">
        <v>226.89</v>
      </c>
      <c r="E1462">
        <v>100.90766450702984</v>
      </c>
      <c r="F1462" t="s">
        <v>427</v>
      </c>
      <c r="G1462" s="64">
        <v>42459</v>
      </c>
      <c r="H1462">
        <v>598.69000000000005</v>
      </c>
      <c r="I1462">
        <v>100.80223487948687</v>
      </c>
      <c r="J1462">
        <v>100.80223487948687</v>
      </c>
    </row>
    <row r="1463" spans="1:10" x14ac:dyDescent="0.25">
      <c r="A1463" s="36"/>
      <c r="B1463" t="s">
        <v>451</v>
      </c>
      <c r="C1463" s="64">
        <v>42460</v>
      </c>
      <c r="D1463">
        <v>229.77</v>
      </c>
      <c r="E1463">
        <v>100.90882186534361</v>
      </c>
      <c r="F1463" t="s">
        <v>427</v>
      </c>
      <c r="G1463" s="64">
        <v>42460</v>
      </c>
      <c r="H1463">
        <v>593.64</v>
      </c>
      <c r="I1463">
        <v>100.80055252341486</v>
      </c>
      <c r="J1463">
        <v>100.80055252341486</v>
      </c>
    </row>
    <row r="1464" spans="1:10" x14ac:dyDescent="0.25">
      <c r="A1464" s="36"/>
      <c r="B1464" t="s">
        <v>451</v>
      </c>
      <c r="C1464" s="64">
        <v>42461</v>
      </c>
      <c r="D1464">
        <v>237.59</v>
      </c>
      <c r="E1464">
        <v>100.9118228881687</v>
      </c>
      <c r="F1464" t="s">
        <v>427</v>
      </c>
      <c r="G1464" s="64">
        <v>42461</v>
      </c>
      <c r="H1464">
        <v>598.5</v>
      </c>
      <c r="I1464">
        <v>100.80217209690893</v>
      </c>
      <c r="J1464">
        <v>100.80217209690893</v>
      </c>
    </row>
    <row r="1465" spans="1:10" x14ac:dyDescent="0.25">
      <c r="A1465" s="36"/>
      <c r="B1465" t="s">
        <v>451</v>
      </c>
      <c r="C1465" s="64">
        <v>42464</v>
      </c>
      <c r="D1465">
        <v>246.99</v>
      </c>
      <c r="E1465">
        <v>100.9151787521762</v>
      </c>
      <c r="F1465" t="s">
        <v>427</v>
      </c>
      <c r="G1465" s="64">
        <v>42464</v>
      </c>
      <c r="H1465">
        <v>593.19000000000005</v>
      </c>
      <c r="I1465">
        <v>100.80040122051956</v>
      </c>
      <c r="J1465">
        <v>100.80040122051956</v>
      </c>
    </row>
    <row r="1466" spans="1:10" x14ac:dyDescent="0.25">
      <c r="A1466" s="36"/>
      <c r="B1466" t="s">
        <v>451</v>
      </c>
      <c r="C1466" s="64">
        <v>42465</v>
      </c>
      <c r="D1466">
        <v>255.47</v>
      </c>
      <c r="E1466">
        <v>100.91799428504325</v>
      </c>
      <c r="F1466" t="s">
        <v>427</v>
      </c>
      <c r="G1466" s="64">
        <v>42465</v>
      </c>
      <c r="H1466">
        <v>586.14</v>
      </c>
      <c r="I1466">
        <v>100.79800047770158</v>
      </c>
      <c r="J1466">
        <v>100.79800047770158</v>
      </c>
    </row>
    <row r="1467" spans="1:10" x14ac:dyDescent="0.25">
      <c r="A1467" s="36"/>
      <c r="B1467" t="s">
        <v>451</v>
      </c>
      <c r="C1467" s="64">
        <v>42466</v>
      </c>
      <c r="D1467">
        <v>265.42</v>
      </c>
      <c r="E1467">
        <v>100.92106849521512</v>
      </c>
      <c r="F1467" t="s">
        <v>427</v>
      </c>
      <c r="G1467" s="64">
        <v>42466</v>
      </c>
      <c r="H1467">
        <v>602.08000000000004</v>
      </c>
      <c r="I1467">
        <v>100.80334839224024</v>
      </c>
      <c r="J1467">
        <v>100.80334839224024</v>
      </c>
    </row>
    <row r="1468" spans="1:10" x14ac:dyDescent="0.25">
      <c r="A1468" s="36"/>
      <c r="B1468" t="s">
        <v>451</v>
      </c>
      <c r="C1468" s="64">
        <v>42467</v>
      </c>
      <c r="D1468">
        <v>257.2</v>
      </c>
      <c r="E1468">
        <v>100.91854587869362</v>
      </c>
      <c r="F1468" t="s">
        <v>427</v>
      </c>
      <c r="G1468" s="64">
        <v>42467</v>
      </c>
      <c r="H1468">
        <v>591.42999999999995</v>
      </c>
      <c r="I1468">
        <v>100.79980724684241</v>
      </c>
      <c r="J1468">
        <v>100.79980724684241</v>
      </c>
    </row>
    <row r="1469" spans="1:10" x14ac:dyDescent="0.25">
      <c r="A1469" s="36"/>
      <c r="B1469" t="s">
        <v>451</v>
      </c>
      <c r="C1469" s="64">
        <v>42468</v>
      </c>
      <c r="D1469">
        <v>250.07</v>
      </c>
      <c r="E1469">
        <v>100.91622345743193</v>
      </c>
      <c r="F1469" t="s">
        <v>427</v>
      </c>
      <c r="G1469" s="64">
        <v>42468</v>
      </c>
      <c r="H1469">
        <v>594.6</v>
      </c>
      <c r="I1469">
        <v>100.8008745375042</v>
      </c>
      <c r="J1469">
        <v>100.8008745375042</v>
      </c>
    </row>
    <row r="1470" spans="1:10" x14ac:dyDescent="0.25">
      <c r="A1470" s="36"/>
      <c r="B1470" t="s">
        <v>451</v>
      </c>
      <c r="C1470" s="64">
        <v>42471</v>
      </c>
      <c r="D1470">
        <v>249.92</v>
      </c>
      <c r="E1470">
        <v>100.91617317541613</v>
      </c>
      <c r="F1470" t="s">
        <v>427</v>
      </c>
      <c r="G1470" s="64">
        <v>42471</v>
      </c>
      <c r="H1470">
        <v>595.92999999999995</v>
      </c>
      <c r="I1470">
        <v>100.80131894685617</v>
      </c>
      <c r="J1470">
        <v>100.80131894685617</v>
      </c>
    </row>
    <row r="1471" spans="1:10" x14ac:dyDescent="0.25">
      <c r="A1471" s="36"/>
      <c r="B1471" t="s">
        <v>451</v>
      </c>
      <c r="C1471" s="64">
        <v>42472</v>
      </c>
      <c r="D1471">
        <v>247.82</v>
      </c>
      <c r="E1471">
        <v>100.9154628359293</v>
      </c>
      <c r="F1471" t="s">
        <v>427</v>
      </c>
      <c r="G1471" s="64">
        <v>42472</v>
      </c>
      <c r="H1471">
        <v>603.16999999999996</v>
      </c>
      <c r="I1471">
        <v>100.80370376510768</v>
      </c>
      <c r="J1471">
        <v>100.80370376510768</v>
      </c>
    </row>
    <row r="1472" spans="1:10" x14ac:dyDescent="0.25">
      <c r="A1472" s="36"/>
      <c r="B1472" t="s">
        <v>451</v>
      </c>
      <c r="C1472" s="64">
        <v>42473</v>
      </c>
      <c r="D1472">
        <v>254.53</v>
      </c>
      <c r="E1472">
        <v>100.91769143126547</v>
      </c>
      <c r="F1472" t="s">
        <v>427</v>
      </c>
      <c r="G1472" s="64">
        <v>42473</v>
      </c>
      <c r="H1472">
        <v>614.82000000000005</v>
      </c>
      <c r="I1472">
        <v>100.80742331088774</v>
      </c>
      <c r="J1472">
        <v>100.80742331088774</v>
      </c>
    </row>
    <row r="1473" spans="1:10" x14ac:dyDescent="0.25">
      <c r="A1473" s="36"/>
      <c r="B1473" t="s">
        <v>451</v>
      </c>
      <c r="C1473" s="64">
        <v>42474</v>
      </c>
      <c r="D1473">
        <v>251.86</v>
      </c>
      <c r="E1473">
        <v>100.91681886762487</v>
      </c>
      <c r="F1473" t="s">
        <v>427</v>
      </c>
      <c r="G1473" s="64">
        <v>42474</v>
      </c>
      <c r="H1473">
        <v>620.75</v>
      </c>
      <c r="I1473">
        <v>100.80926298832058</v>
      </c>
      <c r="J1473">
        <v>100.80926298832058</v>
      </c>
    </row>
    <row r="1474" spans="1:10" x14ac:dyDescent="0.25">
      <c r="A1474" s="36"/>
      <c r="B1474" t="s">
        <v>451</v>
      </c>
      <c r="C1474" s="64">
        <v>42475</v>
      </c>
      <c r="D1474">
        <v>254.51</v>
      </c>
      <c r="E1474">
        <v>100.91768496326274</v>
      </c>
      <c r="F1474" t="s">
        <v>427</v>
      </c>
      <c r="G1474" s="64">
        <v>42475</v>
      </c>
      <c r="H1474">
        <v>625.89</v>
      </c>
      <c r="I1474">
        <v>100.81082937896436</v>
      </c>
      <c r="J1474">
        <v>100.81082937896436</v>
      </c>
    </row>
    <row r="1475" spans="1:10" x14ac:dyDescent="0.25">
      <c r="A1475" s="36"/>
      <c r="B1475" t="s">
        <v>451</v>
      </c>
      <c r="C1475" s="64">
        <v>42478</v>
      </c>
      <c r="D1475">
        <v>253.88</v>
      </c>
      <c r="E1475">
        <v>100.91748069954309</v>
      </c>
      <c r="F1475" t="s">
        <v>427</v>
      </c>
      <c r="G1475" s="64">
        <v>42478</v>
      </c>
      <c r="H1475">
        <v>635.35</v>
      </c>
      <c r="I1475">
        <v>100.8136460218777</v>
      </c>
      <c r="J1475">
        <v>100.8136460218777</v>
      </c>
    </row>
    <row r="1476" spans="1:10" x14ac:dyDescent="0.25">
      <c r="A1476" s="36"/>
      <c r="B1476" t="s">
        <v>451</v>
      </c>
      <c r="C1476" s="64">
        <v>42479</v>
      </c>
      <c r="D1476">
        <v>247.37</v>
      </c>
      <c r="E1476">
        <v>100.91530905121883</v>
      </c>
      <c r="F1476" t="s">
        <v>427</v>
      </c>
      <c r="G1476" s="64">
        <v>42479</v>
      </c>
      <c r="H1476">
        <v>627.9</v>
      </c>
      <c r="I1476">
        <v>100.81143494186972</v>
      </c>
      <c r="J1476">
        <v>100.81143494186972</v>
      </c>
    </row>
    <row r="1477" spans="1:10" x14ac:dyDescent="0.25">
      <c r="A1477" s="36"/>
      <c r="B1477" t="s">
        <v>451</v>
      </c>
      <c r="C1477" s="64">
        <v>42480</v>
      </c>
      <c r="D1477">
        <v>249.97</v>
      </c>
      <c r="E1477">
        <v>100.91618994279314</v>
      </c>
      <c r="F1477" t="s">
        <v>427</v>
      </c>
      <c r="G1477" s="64">
        <v>42480</v>
      </c>
      <c r="H1477">
        <v>632.99</v>
      </c>
      <c r="I1477">
        <v>100.81295123145705</v>
      </c>
      <c r="J1477">
        <v>100.81295123145705</v>
      </c>
    </row>
    <row r="1478" spans="1:10" x14ac:dyDescent="0.25">
      <c r="A1478" s="36"/>
      <c r="B1478" t="s">
        <v>451</v>
      </c>
      <c r="C1478" s="64">
        <v>42481</v>
      </c>
      <c r="D1478">
        <v>248.29</v>
      </c>
      <c r="E1478">
        <v>100.91562286036489</v>
      </c>
      <c r="F1478" t="s">
        <v>427</v>
      </c>
      <c r="G1478" s="64">
        <v>42481</v>
      </c>
      <c r="H1478">
        <v>631</v>
      </c>
      <c r="I1478">
        <v>100.81236133122029</v>
      </c>
      <c r="J1478">
        <v>100.81236133122029</v>
      </c>
    </row>
    <row r="1479" spans="1:10" x14ac:dyDescent="0.25">
      <c r="A1479" s="36"/>
      <c r="B1479" t="s">
        <v>451</v>
      </c>
      <c r="C1479" s="64">
        <v>42482</v>
      </c>
      <c r="D1479">
        <v>253.75</v>
      </c>
      <c r="E1479">
        <v>100.91743842364532</v>
      </c>
      <c r="F1479" t="s">
        <v>427</v>
      </c>
      <c r="G1479" s="64">
        <v>42482</v>
      </c>
      <c r="H1479">
        <v>620.5</v>
      </c>
      <c r="I1479">
        <v>100.8091861402095</v>
      </c>
      <c r="J1479">
        <v>100.8091861402095</v>
      </c>
    </row>
    <row r="1480" spans="1:10" x14ac:dyDescent="0.25">
      <c r="A1480" s="36"/>
      <c r="B1480" t="s">
        <v>451</v>
      </c>
      <c r="C1480" s="64">
        <v>42485</v>
      </c>
      <c r="D1480">
        <v>251.82</v>
      </c>
      <c r="E1480">
        <v>100.91680565483281</v>
      </c>
      <c r="F1480" t="s">
        <v>427</v>
      </c>
      <c r="G1480" s="64">
        <v>42485</v>
      </c>
      <c r="H1480">
        <v>626.20000000000005</v>
      </c>
      <c r="I1480">
        <v>100.81092302778664</v>
      </c>
      <c r="J1480">
        <v>100.81092302778664</v>
      </c>
    </row>
    <row r="1481" spans="1:10" x14ac:dyDescent="0.25">
      <c r="A1481" s="36"/>
      <c r="B1481" t="s">
        <v>451</v>
      </c>
      <c r="C1481" s="64">
        <v>42486</v>
      </c>
      <c r="D1481">
        <v>253.74</v>
      </c>
      <c r="E1481">
        <v>100.9174351698589</v>
      </c>
      <c r="F1481" t="s">
        <v>427</v>
      </c>
      <c r="G1481" s="64">
        <v>42486</v>
      </c>
      <c r="H1481">
        <v>616.88</v>
      </c>
      <c r="I1481">
        <v>100.80806639865128</v>
      </c>
      <c r="J1481">
        <v>100.80806639865128</v>
      </c>
    </row>
    <row r="1482" spans="1:10" x14ac:dyDescent="0.25">
      <c r="A1482" s="36"/>
      <c r="B1482" t="s">
        <v>451</v>
      </c>
      <c r="C1482" s="64">
        <v>42487</v>
      </c>
      <c r="D1482">
        <v>251.47</v>
      </c>
      <c r="E1482">
        <v>100.91668986360202</v>
      </c>
      <c r="F1482" t="s">
        <v>427</v>
      </c>
      <c r="G1482" s="64">
        <v>42487</v>
      </c>
      <c r="H1482">
        <v>606.57000000000005</v>
      </c>
      <c r="I1482">
        <v>100.80480406218574</v>
      </c>
      <c r="J1482">
        <v>100.80480406218574</v>
      </c>
    </row>
    <row r="1483" spans="1:10" x14ac:dyDescent="0.25">
      <c r="A1483" s="36"/>
      <c r="B1483" t="s">
        <v>451</v>
      </c>
      <c r="C1483" s="64">
        <v>42488</v>
      </c>
      <c r="D1483">
        <v>247.71</v>
      </c>
      <c r="E1483">
        <v>100.91542529570869</v>
      </c>
      <c r="F1483" t="s">
        <v>427</v>
      </c>
      <c r="G1483" s="64">
        <v>42488</v>
      </c>
      <c r="H1483">
        <v>602</v>
      </c>
      <c r="I1483">
        <v>100.80332225913621</v>
      </c>
      <c r="J1483">
        <v>100.80332225913621</v>
      </c>
    </row>
    <row r="1484" spans="1:10" x14ac:dyDescent="0.25">
      <c r="A1484" s="36"/>
      <c r="B1484" t="s">
        <v>451</v>
      </c>
      <c r="C1484" s="64">
        <v>42489</v>
      </c>
      <c r="D1484">
        <v>240.76</v>
      </c>
      <c r="E1484">
        <v>100.91298388436617</v>
      </c>
      <c r="F1484" t="s">
        <v>427</v>
      </c>
      <c r="G1484" s="64">
        <v>42489</v>
      </c>
      <c r="H1484">
        <v>659.59</v>
      </c>
      <c r="I1484">
        <v>100.82049454964448</v>
      </c>
      <c r="J1484">
        <v>100.82049454964448</v>
      </c>
    </row>
    <row r="1485" spans="1:10" x14ac:dyDescent="0.25">
      <c r="A1485" s="36"/>
      <c r="B1485" t="s">
        <v>451</v>
      </c>
      <c r="C1485" s="64">
        <v>42492</v>
      </c>
      <c r="D1485">
        <v>241.8</v>
      </c>
      <c r="E1485">
        <v>100.91335814722912</v>
      </c>
      <c r="F1485" t="s">
        <v>427</v>
      </c>
      <c r="G1485" s="64">
        <v>42492</v>
      </c>
      <c r="H1485">
        <v>683.85</v>
      </c>
      <c r="I1485">
        <v>100.82686261607077</v>
      </c>
      <c r="J1485">
        <v>100.82686261607077</v>
      </c>
    </row>
    <row r="1486" spans="1:10" x14ac:dyDescent="0.25">
      <c r="A1486" s="36"/>
      <c r="B1486" t="s">
        <v>451</v>
      </c>
      <c r="C1486" s="64">
        <v>42493</v>
      </c>
      <c r="D1486">
        <v>232.32</v>
      </c>
      <c r="E1486">
        <v>100.90982265840221</v>
      </c>
      <c r="F1486" t="s">
        <v>427</v>
      </c>
      <c r="G1486" s="64">
        <v>42493</v>
      </c>
      <c r="H1486">
        <v>671.32</v>
      </c>
      <c r="I1486">
        <v>100.82363105523446</v>
      </c>
      <c r="J1486">
        <v>100.82363105523446</v>
      </c>
    </row>
    <row r="1487" spans="1:10" x14ac:dyDescent="0.25">
      <c r="A1487" s="36"/>
      <c r="B1487" t="s">
        <v>451</v>
      </c>
      <c r="C1487" s="64">
        <v>42494</v>
      </c>
      <c r="D1487">
        <v>222.56</v>
      </c>
      <c r="E1487">
        <v>100.90586808051761</v>
      </c>
      <c r="F1487" t="s">
        <v>427</v>
      </c>
      <c r="G1487" s="64">
        <v>42494</v>
      </c>
      <c r="H1487">
        <v>670.9</v>
      </c>
      <c r="I1487">
        <v>100.82352064391117</v>
      </c>
      <c r="J1487">
        <v>100.82352064391117</v>
      </c>
    </row>
    <row r="1488" spans="1:10" x14ac:dyDescent="0.25">
      <c r="A1488" s="36"/>
      <c r="B1488" t="s">
        <v>451</v>
      </c>
      <c r="C1488" s="64">
        <v>42495</v>
      </c>
      <c r="D1488">
        <v>211.53</v>
      </c>
      <c r="E1488">
        <v>100.90095967475062</v>
      </c>
      <c r="F1488" t="s">
        <v>427</v>
      </c>
      <c r="G1488" s="64">
        <v>42495</v>
      </c>
      <c r="H1488">
        <v>659.09</v>
      </c>
      <c r="I1488">
        <v>100.8203583729081</v>
      </c>
      <c r="J1488">
        <v>100.8203583729081</v>
      </c>
    </row>
    <row r="1489" spans="1:10" x14ac:dyDescent="0.25">
      <c r="A1489" s="36"/>
      <c r="B1489" t="s">
        <v>451</v>
      </c>
      <c r="C1489" s="64">
        <v>42496</v>
      </c>
      <c r="D1489">
        <v>214.93</v>
      </c>
      <c r="E1489">
        <v>100.90252640394547</v>
      </c>
      <c r="F1489" t="s">
        <v>427</v>
      </c>
      <c r="G1489" s="64">
        <v>42496</v>
      </c>
      <c r="H1489">
        <v>673.95</v>
      </c>
      <c r="I1489">
        <v>100.82431931152162</v>
      </c>
      <c r="J1489">
        <v>100.82431931152162</v>
      </c>
    </row>
    <row r="1490" spans="1:10" x14ac:dyDescent="0.25">
      <c r="A1490" s="36"/>
      <c r="B1490" t="s">
        <v>451</v>
      </c>
      <c r="C1490" s="64">
        <v>42499</v>
      </c>
      <c r="D1490">
        <v>208.92</v>
      </c>
      <c r="E1490">
        <v>100.89972238177293</v>
      </c>
      <c r="F1490" t="s">
        <v>427</v>
      </c>
      <c r="G1490" s="64">
        <v>42499</v>
      </c>
      <c r="H1490">
        <v>679.75</v>
      </c>
      <c r="I1490">
        <v>100.82581831555719</v>
      </c>
      <c r="J1490">
        <v>100.82581831555719</v>
      </c>
    </row>
    <row r="1491" spans="1:10" x14ac:dyDescent="0.25">
      <c r="A1491" s="36"/>
      <c r="B1491" t="s">
        <v>451</v>
      </c>
      <c r="C1491" s="64">
        <v>42500</v>
      </c>
      <c r="D1491">
        <v>208.69</v>
      </c>
      <c r="E1491">
        <v>100.89961186448799</v>
      </c>
      <c r="F1491" t="s">
        <v>427</v>
      </c>
      <c r="G1491" s="64">
        <v>42500</v>
      </c>
      <c r="H1491">
        <v>703.07</v>
      </c>
      <c r="I1491">
        <v>100.83159571593156</v>
      </c>
      <c r="J1491">
        <v>100.83159571593156</v>
      </c>
    </row>
    <row r="1492" spans="1:10" x14ac:dyDescent="0.25">
      <c r="A1492" s="36"/>
      <c r="B1492" t="s">
        <v>451</v>
      </c>
      <c r="C1492" s="64">
        <v>42501</v>
      </c>
      <c r="D1492">
        <v>208.96</v>
      </c>
      <c r="E1492">
        <v>100.89974157733538</v>
      </c>
      <c r="F1492" t="s">
        <v>427</v>
      </c>
      <c r="G1492" s="64">
        <v>42501</v>
      </c>
      <c r="H1492">
        <v>713.23</v>
      </c>
      <c r="I1492">
        <v>100.83399464408396</v>
      </c>
      <c r="J1492">
        <v>100.83399464408396</v>
      </c>
    </row>
    <row r="1493" spans="1:10" x14ac:dyDescent="0.25">
      <c r="A1493" s="36"/>
      <c r="B1493" t="s">
        <v>451</v>
      </c>
      <c r="C1493" s="64">
        <v>42502</v>
      </c>
      <c r="D1493">
        <v>207.28</v>
      </c>
      <c r="E1493">
        <v>100.8989289849479</v>
      </c>
      <c r="F1493" t="s">
        <v>427</v>
      </c>
      <c r="G1493" s="64">
        <v>42502</v>
      </c>
      <c r="H1493">
        <v>717.93</v>
      </c>
      <c r="I1493">
        <v>100.83508141462259</v>
      </c>
      <c r="J1493">
        <v>100.83508141462259</v>
      </c>
    </row>
    <row r="1494" spans="1:10" x14ac:dyDescent="0.25">
      <c r="A1494" s="36"/>
      <c r="B1494" t="s">
        <v>451</v>
      </c>
      <c r="C1494" s="64">
        <v>42503</v>
      </c>
      <c r="D1494">
        <v>207.61</v>
      </c>
      <c r="E1494">
        <v>100.8990896392274</v>
      </c>
      <c r="F1494" t="s">
        <v>427</v>
      </c>
      <c r="G1494" s="64">
        <v>42503</v>
      </c>
      <c r="H1494">
        <v>709.92</v>
      </c>
      <c r="I1494">
        <v>100.83322064457967</v>
      </c>
      <c r="J1494">
        <v>100.83322064457967</v>
      </c>
    </row>
    <row r="1495" spans="1:10" x14ac:dyDescent="0.25">
      <c r="A1495" s="36"/>
      <c r="B1495" t="s">
        <v>451</v>
      </c>
      <c r="C1495" s="64">
        <v>42506</v>
      </c>
      <c r="D1495">
        <v>208.29</v>
      </c>
      <c r="E1495">
        <v>100.89941907916847</v>
      </c>
      <c r="F1495" t="s">
        <v>427</v>
      </c>
      <c r="G1495" s="64">
        <v>42506</v>
      </c>
      <c r="H1495">
        <v>710.66</v>
      </c>
      <c r="I1495">
        <v>100.8333943095151</v>
      </c>
      <c r="J1495">
        <v>100.8333943095151</v>
      </c>
    </row>
    <row r="1496" spans="1:10" x14ac:dyDescent="0.25">
      <c r="A1496" s="36"/>
      <c r="B1496" t="s">
        <v>451</v>
      </c>
      <c r="C1496" s="64">
        <v>42507</v>
      </c>
      <c r="D1496">
        <v>204.66</v>
      </c>
      <c r="E1496">
        <v>100.89763510212059</v>
      </c>
      <c r="F1496" t="s">
        <v>427</v>
      </c>
      <c r="G1496" s="64">
        <v>42507</v>
      </c>
      <c r="H1496">
        <v>695.27</v>
      </c>
      <c r="I1496">
        <v>100.82970644497821</v>
      </c>
      <c r="J1496">
        <v>100.82970644497821</v>
      </c>
    </row>
    <row r="1497" spans="1:10" x14ac:dyDescent="0.25">
      <c r="A1497" s="36"/>
      <c r="B1497" t="s">
        <v>451</v>
      </c>
      <c r="C1497" s="64">
        <v>42508</v>
      </c>
      <c r="D1497">
        <v>211.17</v>
      </c>
      <c r="E1497">
        <v>100.90079083203106</v>
      </c>
      <c r="F1497" t="s">
        <v>427</v>
      </c>
      <c r="G1497" s="64">
        <v>42508</v>
      </c>
      <c r="H1497">
        <v>697.45</v>
      </c>
      <c r="I1497">
        <v>100.83023872679045</v>
      </c>
      <c r="J1497">
        <v>100.83023872679045</v>
      </c>
    </row>
    <row r="1498" spans="1:10" x14ac:dyDescent="0.25">
      <c r="A1498" s="36"/>
      <c r="B1498" t="s">
        <v>451</v>
      </c>
      <c r="C1498" s="64">
        <v>42509</v>
      </c>
      <c r="D1498">
        <v>215.21</v>
      </c>
      <c r="E1498">
        <v>100.9026532224339</v>
      </c>
      <c r="F1498" t="s">
        <v>427</v>
      </c>
      <c r="G1498" s="64">
        <v>42509</v>
      </c>
      <c r="H1498">
        <v>698.52</v>
      </c>
      <c r="I1498">
        <v>100.83049876882552</v>
      </c>
      <c r="J1498">
        <v>100.83049876882552</v>
      </c>
    </row>
    <row r="1499" spans="1:10" x14ac:dyDescent="0.25">
      <c r="A1499" s="36"/>
      <c r="B1499" t="s">
        <v>451</v>
      </c>
      <c r="C1499" s="64">
        <v>42510</v>
      </c>
      <c r="D1499">
        <v>220.28</v>
      </c>
      <c r="E1499">
        <v>100.90489377156347</v>
      </c>
      <c r="F1499" t="s">
        <v>427</v>
      </c>
      <c r="G1499" s="64">
        <v>42510</v>
      </c>
      <c r="H1499">
        <v>702.8</v>
      </c>
      <c r="I1499">
        <v>100.83153101878202</v>
      </c>
      <c r="J1499">
        <v>100.83153101878202</v>
      </c>
    </row>
    <row r="1500" spans="1:10" x14ac:dyDescent="0.25">
      <c r="A1500" s="36"/>
      <c r="B1500" t="s">
        <v>451</v>
      </c>
      <c r="C1500" s="64">
        <v>42513</v>
      </c>
      <c r="D1500">
        <v>216.22</v>
      </c>
      <c r="E1500">
        <v>100.90310794561096</v>
      </c>
      <c r="F1500" t="s">
        <v>427</v>
      </c>
      <c r="G1500" s="64">
        <v>42513</v>
      </c>
      <c r="H1500">
        <v>696.75</v>
      </c>
      <c r="I1500">
        <v>100.83006817366343</v>
      </c>
      <c r="J1500">
        <v>100.83006817366343</v>
      </c>
    </row>
    <row r="1501" spans="1:10" x14ac:dyDescent="0.25">
      <c r="A1501" s="36"/>
      <c r="B1501" t="s">
        <v>451</v>
      </c>
      <c r="C1501" s="64">
        <v>42514</v>
      </c>
      <c r="D1501">
        <v>217.91</v>
      </c>
      <c r="E1501">
        <v>100.90385939149191</v>
      </c>
      <c r="F1501" t="s">
        <v>427</v>
      </c>
      <c r="G1501" s="64">
        <v>42514</v>
      </c>
      <c r="H1501">
        <v>704.2</v>
      </c>
      <c r="I1501">
        <v>100.83186594717409</v>
      </c>
      <c r="J1501">
        <v>100.83186594717409</v>
      </c>
    </row>
    <row r="1502" spans="1:10" x14ac:dyDescent="0.25">
      <c r="A1502" s="36"/>
      <c r="B1502" t="s">
        <v>451</v>
      </c>
      <c r="C1502" s="64">
        <v>42515</v>
      </c>
      <c r="D1502">
        <v>219.58</v>
      </c>
      <c r="E1502">
        <v>100.90459058202022</v>
      </c>
      <c r="F1502" t="s">
        <v>427</v>
      </c>
      <c r="G1502" s="64">
        <v>42515</v>
      </c>
      <c r="H1502">
        <v>708.35</v>
      </c>
      <c r="I1502">
        <v>100.83285099174137</v>
      </c>
      <c r="J1502">
        <v>100.83285099174137</v>
      </c>
    </row>
    <row r="1503" spans="1:10" x14ac:dyDescent="0.25">
      <c r="A1503" s="36"/>
      <c r="B1503" t="s">
        <v>451</v>
      </c>
      <c r="C1503" s="64">
        <v>42516</v>
      </c>
      <c r="D1503">
        <v>225.12</v>
      </c>
      <c r="E1503">
        <v>100.90693852167733</v>
      </c>
      <c r="F1503" t="s">
        <v>427</v>
      </c>
      <c r="G1503" s="64">
        <v>42516</v>
      </c>
      <c r="H1503">
        <v>714.91</v>
      </c>
      <c r="I1503">
        <v>100.83438474773048</v>
      </c>
      <c r="J1503">
        <v>100.83438474773048</v>
      </c>
    </row>
    <row r="1504" spans="1:10" x14ac:dyDescent="0.25">
      <c r="A1504" s="36"/>
      <c r="B1504" t="s">
        <v>451</v>
      </c>
      <c r="C1504" s="64">
        <v>42517</v>
      </c>
      <c r="D1504">
        <v>223.04</v>
      </c>
      <c r="E1504">
        <v>100.90607065997131</v>
      </c>
      <c r="F1504" t="s">
        <v>427</v>
      </c>
      <c r="G1504" s="64">
        <v>42517</v>
      </c>
      <c r="H1504">
        <v>712.24</v>
      </c>
      <c r="I1504">
        <v>100.83376389980906</v>
      </c>
      <c r="J1504">
        <v>100.83376389980906</v>
      </c>
    </row>
    <row r="1505" spans="1:10" x14ac:dyDescent="0.25">
      <c r="A1505" s="36"/>
      <c r="B1505" t="s">
        <v>451</v>
      </c>
      <c r="C1505" s="64">
        <v>42521</v>
      </c>
      <c r="D1505">
        <v>223.23</v>
      </c>
      <c r="E1505">
        <v>100.90615060699727</v>
      </c>
      <c r="F1505" t="s">
        <v>427</v>
      </c>
      <c r="G1505" s="64">
        <v>42521</v>
      </c>
      <c r="H1505">
        <v>722.79</v>
      </c>
      <c r="I1505">
        <v>100.83619031807302</v>
      </c>
      <c r="J1505">
        <v>100.83619031807302</v>
      </c>
    </row>
    <row r="1506" spans="1:10" x14ac:dyDescent="0.25">
      <c r="A1506" s="36"/>
      <c r="B1506" t="s">
        <v>451</v>
      </c>
      <c r="C1506" s="64">
        <v>42522</v>
      </c>
      <c r="D1506">
        <v>219.56</v>
      </c>
      <c r="E1506">
        <v>100.90458189105483</v>
      </c>
      <c r="F1506" t="s">
        <v>427</v>
      </c>
      <c r="G1506" s="64">
        <v>42522</v>
      </c>
      <c r="H1506">
        <v>719.44</v>
      </c>
      <c r="I1506">
        <v>100.83542755476482</v>
      </c>
      <c r="J1506">
        <v>100.83542755476482</v>
      </c>
    </row>
    <row r="1507" spans="1:10" x14ac:dyDescent="0.25">
      <c r="A1507" s="36"/>
      <c r="B1507" t="s">
        <v>451</v>
      </c>
      <c r="C1507" s="64">
        <v>42523</v>
      </c>
      <c r="D1507">
        <v>218.96</v>
      </c>
      <c r="E1507">
        <v>100.9043204238217</v>
      </c>
      <c r="F1507" t="s">
        <v>427</v>
      </c>
      <c r="G1507" s="64">
        <v>42523</v>
      </c>
      <c r="H1507">
        <v>728.24</v>
      </c>
      <c r="I1507">
        <v>100.83741623640557</v>
      </c>
      <c r="J1507">
        <v>100.83741623640557</v>
      </c>
    </row>
    <row r="1508" spans="1:10" x14ac:dyDescent="0.25">
      <c r="A1508" s="36"/>
      <c r="B1508" t="s">
        <v>451</v>
      </c>
      <c r="C1508" s="64">
        <v>42524</v>
      </c>
      <c r="D1508">
        <v>218.99</v>
      </c>
      <c r="E1508">
        <v>100.90433353121148</v>
      </c>
      <c r="F1508" t="s">
        <v>427</v>
      </c>
      <c r="G1508" s="64">
        <v>42524</v>
      </c>
      <c r="H1508">
        <v>725.54</v>
      </c>
      <c r="I1508">
        <v>100.83681120269041</v>
      </c>
      <c r="J1508">
        <v>100.83681120269041</v>
      </c>
    </row>
    <row r="1509" spans="1:10" x14ac:dyDescent="0.25">
      <c r="A1509" s="36"/>
      <c r="B1509" t="s">
        <v>451</v>
      </c>
      <c r="C1509" s="64">
        <v>42527</v>
      </c>
      <c r="D1509">
        <v>220.68</v>
      </c>
      <c r="E1509">
        <v>100.90506615914447</v>
      </c>
      <c r="F1509" t="s">
        <v>427</v>
      </c>
      <c r="G1509" s="64">
        <v>42527</v>
      </c>
      <c r="H1509">
        <v>726.73</v>
      </c>
      <c r="I1509">
        <v>100.83707841977075</v>
      </c>
      <c r="J1509">
        <v>100.83707841977075</v>
      </c>
    </row>
    <row r="1510" spans="1:10" x14ac:dyDescent="0.25">
      <c r="A1510" s="36"/>
      <c r="B1510" t="s">
        <v>451</v>
      </c>
      <c r="C1510" s="64">
        <v>42528</v>
      </c>
      <c r="D1510">
        <v>232.34</v>
      </c>
      <c r="E1510">
        <v>100.90983042093484</v>
      </c>
      <c r="F1510" t="s">
        <v>427</v>
      </c>
      <c r="G1510" s="64">
        <v>42528</v>
      </c>
      <c r="H1510">
        <v>723.74</v>
      </c>
      <c r="I1510">
        <v>100.83640533893387</v>
      </c>
      <c r="J1510">
        <v>100.83640533893387</v>
      </c>
    </row>
    <row r="1511" spans="1:10" x14ac:dyDescent="0.25">
      <c r="A1511" s="36"/>
      <c r="B1511" t="s">
        <v>451</v>
      </c>
      <c r="C1511" s="64">
        <v>42529</v>
      </c>
      <c r="D1511">
        <v>235.52</v>
      </c>
      <c r="E1511">
        <v>100.91104789402173</v>
      </c>
      <c r="F1511" t="s">
        <v>427</v>
      </c>
      <c r="G1511" s="64">
        <v>42529</v>
      </c>
      <c r="H1511">
        <v>726.64</v>
      </c>
      <c r="I1511">
        <v>100.83705824066938</v>
      </c>
      <c r="J1511">
        <v>100.83705824066938</v>
      </c>
    </row>
    <row r="1512" spans="1:10" x14ac:dyDescent="0.25">
      <c r="A1512" s="36"/>
      <c r="B1512" t="s">
        <v>451</v>
      </c>
      <c r="C1512" s="64">
        <v>42530</v>
      </c>
      <c r="D1512">
        <v>229.36</v>
      </c>
      <c r="E1512">
        <v>100.90865887687478</v>
      </c>
      <c r="F1512" t="s">
        <v>427</v>
      </c>
      <c r="G1512" s="64">
        <v>42530</v>
      </c>
      <c r="H1512">
        <v>727.65</v>
      </c>
      <c r="I1512">
        <v>100.83728440871297</v>
      </c>
      <c r="J1512">
        <v>100.83728440871297</v>
      </c>
    </row>
    <row r="1513" spans="1:10" x14ac:dyDescent="0.25">
      <c r="A1513" s="36"/>
      <c r="B1513" t="s">
        <v>451</v>
      </c>
      <c r="C1513" s="64">
        <v>42531</v>
      </c>
      <c r="D1513">
        <v>218.79</v>
      </c>
      <c r="E1513">
        <v>100.90424608071667</v>
      </c>
      <c r="F1513" t="s">
        <v>427</v>
      </c>
      <c r="G1513" s="64">
        <v>42531</v>
      </c>
      <c r="H1513">
        <v>717.91</v>
      </c>
      <c r="I1513">
        <v>100.83507682021423</v>
      </c>
      <c r="J1513">
        <v>100.83507682021423</v>
      </c>
    </row>
    <row r="1514" spans="1:10" x14ac:dyDescent="0.25">
      <c r="A1514" s="36"/>
      <c r="B1514" t="s">
        <v>451</v>
      </c>
      <c r="C1514" s="64">
        <v>42534</v>
      </c>
      <c r="D1514">
        <v>217.87</v>
      </c>
      <c r="E1514">
        <v>100.90384174048745</v>
      </c>
      <c r="F1514" t="s">
        <v>427</v>
      </c>
      <c r="G1514" s="64">
        <v>42534</v>
      </c>
      <c r="H1514">
        <v>715.24</v>
      </c>
      <c r="I1514">
        <v>100.83446115989038</v>
      </c>
      <c r="J1514">
        <v>100.83446115989038</v>
      </c>
    </row>
    <row r="1515" spans="1:10" x14ac:dyDescent="0.25">
      <c r="A1515" s="36"/>
      <c r="B1515" t="s">
        <v>451</v>
      </c>
      <c r="C1515" s="64">
        <v>42535</v>
      </c>
      <c r="D1515">
        <v>214.96</v>
      </c>
      <c r="E1515">
        <v>100.90254000744325</v>
      </c>
      <c r="F1515" t="s">
        <v>427</v>
      </c>
      <c r="G1515" s="64">
        <v>42535</v>
      </c>
      <c r="H1515">
        <v>719.3</v>
      </c>
      <c r="I1515">
        <v>100.83539552342555</v>
      </c>
      <c r="J1515">
        <v>100.83539552342555</v>
      </c>
    </row>
    <row r="1516" spans="1:10" x14ac:dyDescent="0.25">
      <c r="A1516" s="36"/>
      <c r="B1516" t="s">
        <v>451</v>
      </c>
      <c r="C1516" s="64">
        <v>42536</v>
      </c>
      <c r="D1516">
        <v>217.7</v>
      </c>
      <c r="E1516">
        <v>100.90376665135507</v>
      </c>
      <c r="F1516" t="s">
        <v>427</v>
      </c>
      <c r="G1516" s="64">
        <v>42536</v>
      </c>
      <c r="H1516">
        <v>714.26</v>
      </c>
      <c r="I1516">
        <v>100.83423403242517</v>
      </c>
      <c r="J1516">
        <v>100.83423403242517</v>
      </c>
    </row>
    <row r="1517" spans="1:10" x14ac:dyDescent="0.25">
      <c r="A1517" s="36"/>
      <c r="B1517" t="s">
        <v>451</v>
      </c>
      <c r="C1517" s="64">
        <v>42537</v>
      </c>
      <c r="D1517">
        <v>217.93</v>
      </c>
      <c r="E1517">
        <v>100.90386821456431</v>
      </c>
      <c r="F1517" t="s">
        <v>427</v>
      </c>
      <c r="G1517" s="64">
        <v>42537</v>
      </c>
      <c r="H1517">
        <v>717.51</v>
      </c>
      <c r="I1517">
        <v>100.83498487825953</v>
      </c>
      <c r="J1517">
        <v>100.83498487825953</v>
      </c>
    </row>
    <row r="1518" spans="1:10" x14ac:dyDescent="0.25">
      <c r="A1518" s="36"/>
      <c r="B1518" t="s">
        <v>451</v>
      </c>
      <c r="C1518" s="64">
        <v>42538</v>
      </c>
      <c r="D1518">
        <v>215.47</v>
      </c>
      <c r="E1518">
        <v>100.90277068733467</v>
      </c>
      <c r="F1518" t="s">
        <v>427</v>
      </c>
      <c r="G1518" s="64">
        <v>42538</v>
      </c>
      <c r="H1518">
        <v>706.39</v>
      </c>
      <c r="I1518">
        <v>100.83238720819944</v>
      </c>
      <c r="J1518">
        <v>100.83238720819944</v>
      </c>
    </row>
    <row r="1519" spans="1:10" x14ac:dyDescent="0.25">
      <c r="A1519" s="36"/>
      <c r="B1519" t="s">
        <v>451</v>
      </c>
      <c r="C1519" s="64">
        <v>42541</v>
      </c>
      <c r="D1519">
        <v>219.7</v>
      </c>
      <c r="E1519">
        <v>100.90464269458353</v>
      </c>
      <c r="F1519" t="s">
        <v>427</v>
      </c>
      <c r="G1519" s="64">
        <v>42541</v>
      </c>
      <c r="H1519">
        <v>714.01</v>
      </c>
      <c r="I1519">
        <v>100.83417599193288</v>
      </c>
      <c r="J1519">
        <v>100.83417599193288</v>
      </c>
    </row>
    <row r="1520" spans="1:10" x14ac:dyDescent="0.25">
      <c r="A1520" s="36"/>
      <c r="B1520" t="s">
        <v>451</v>
      </c>
      <c r="C1520" s="64">
        <v>42542</v>
      </c>
      <c r="D1520">
        <v>219.61</v>
      </c>
      <c r="E1520">
        <v>100.90460361550021</v>
      </c>
      <c r="F1520" t="s">
        <v>427</v>
      </c>
      <c r="G1520" s="64">
        <v>42542</v>
      </c>
      <c r="H1520">
        <v>715.82</v>
      </c>
      <c r="I1520">
        <v>100.83459528931854</v>
      </c>
      <c r="J1520">
        <v>100.83459528931854</v>
      </c>
    </row>
    <row r="1521" spans="1:10" x14ac:dyDescent="0.25">
      <c r="A1521" s="36"/>
      <c r="B1521" t="s">
        <v>451</v>
      </c>
      <c r="C1521" s="64">
        <v>42543</v>
      </c>
      <c r="D1521">
        <v>196.66</v>
      </c>
      <c r="E1521">
        <v>100.89347096511746</v>
      </c>
      <c r="F1521" t="s">
        <v>427</v>
      </c>
      <c r="G1521" s="64">
        <v>42543</v>
      </c>
      <c r="H1521">
        <v>710.6</v>
      </c>
      <c r="I1521">
        <v>100.83338024204897</v>
      </c>
      <c r="J1521">
        <v>100.83338024204897</v>
      </c>
    </row>
    <row r="1522" spans="1:10" x14ac:dyDescent="0.25">
      <c r="A1522" s="36"/>
      <c r="B1522" t="s">
        <v>451</v>
      </c>
      <c r="C1522" s="64">
        <v>42544</v>
      </c>
      <c r="D1522">
        <v>196.4</v>
      </c>
      <c r="E1522">
        <v>100.89332993890021</v>
      </c>
      <c r="F1522" t="s">
        <v>427</v>
      </c>
      <c r="G1522" s="64">
        <v>42544</v>
      </c>
      <c r="H1522">
        <v>722.08</v>
      </c>
      <c r="I1522">
        <v>100.8360292488367</v>
      </c>
      <c r="J1522">
        <v>100.8360292488367</v>
      </c>
    </row>
    <row r="1523" spans="1:10" x14ac:dyDescent="0.25">
      <c r="A1523" s="36"/>
      <c r="B1523" t="s">
        <v>451</v>
      </c>
      <c r="C1523" s="64">
        <v>42545</v>
      </c>
      <c r="D1523">
        <v>193.15</v>
      </c>
      <c r="E1523">
        <v>100.89153507636551</v>
      </c>
      <c r="F1523" t="s">
        <v>427</v>
      </c>
      <c r="G1523" s="64">
        <v>42545</v>
      </c>
      <c r="H1523">
        <v>698.96</v>
      </c>
      <c r="I1523">
        <v>100.83060547098546</v>
      </c>
      <c r="J1523">
        <v>100.83060547098546</v>
      </c>
    </row>
    <row r="1524" spans="1:10" x14ac:dyDescent="0.25">
      <c r="A1524" s="36"/>
      <c r="B1524" t="s">
        <v>451</v>
      </c>
      <c r="C1524" s="64">
        <v>42548</v>
      </c>
      <c r="D1524">
        <v>198.55</v>
      </c>
      <c r="E1524">
        <v>100.89448501636868</v>
      </c>
      <c r="F1524" t="s">
        <v>427</v>
      </c>
      <c r="G1524" s="64">
        <v>42548</v>
      </c>
      <c r="H1524">
        <v>691.36</v>
      </c>
      <c r="I1524">
        <v>100.82874334644758</v>
      </c>
      <c r="J1524">
        <v>100.82874334644758</v>
      </c>
    </row>
    <row r="1525" spans="1:10" x14ac:dyDescent="0.25">
      <c r="A1525" s="36"/>
      <c r="B1525" t="s">
        <v>451</v>
      </c>
      <c r="C1525" s="64">
        <v>42549</v>
      </c>
      <c r="D1525">
        <v>201.79</v>
      </c>
      <c r="E1525">
        <v>100.89617919619407</v>
      </c>
      <c r="F1525" t="s">
        <v>427</v>
      </c>
      <c r="G1525" s="64">
        <v>42549</v>
      </c>
      <c r="H1525">
        <v>707.95</v>
      </c>
      <c r="I1525">
        <v>100.83275655060386</v>
      </c>
      <c r="J1525">
        <v>100.83275655060386</v>
      </c>
    </row>
    <row r="1526" spans="1:10" x14ac:dyDescent="0.25">
      <c r="A1526" s="36"/>
      <c r="B1526" t="s">
        <v>451</v>
      </c>
      <c r="C1526" s="64">
        <v>42550</v>
      </c>
      <c r="D1526">
        <v>210.19</v>
      </c>
      <c r="E1526">
        <v>100.90032827441838</v>
      </c>
      <c r="F1526" t="s">
        <v>427</v>
      </c>
      <c r="G1526" s="64">
        <v>42550</v>
      </c>
      <c r="H1526">
        <v>715.6</v>
      </c>
      <c r="I1526">
        <v>100.83454443823365</v>
      </c>
      <c r="J1526">
        <v>100.83454443823365</v>
      </c>
    </row>
    <row r="1527" spans="1:10" x14ac:dyDescent="0.25">
      <c r="A1527" s="36"/>
      <c r="B1527" t="s">
        <v>451</v>
      </c>
      <c r="C1527" s="64">
        <v>42551</v>
      </c>
      <c r="D1527">
        <v>212.28</v>
      </c>
      <c r="E1527">
        <v>100.90130959110608</v>
      </c>
      <c r="F1527" t="s">
        <v>427</v>
      </c>
      <c r="G1527" s="64">
        <v>42551</v>
      </c>
      <c r="H1527">
        <v>715.62</v>
      </c>
      <c r="I1527">
        <v>100.83454906235153</v>
      </c>
      <c r="J1527">
        <v>100.83454906235153</v>
      </c>
    </row>
    <row r="1528" spans="1:10" x14ac:dyDescent="0.25">
      <c r="A1528" s="36"/>
      <c r="B1528" t="s">
        <v>451</v>
      </c>
      <c r="C1528" s="64">
        <v>42552</v>
      </c>
      <c r="D1528">
        <v>216.5</v>
      </c>
      <c r="E1528">
        <v>100.90323325635104</v>
      </c>
      <c r="F1528" t="s">
        <v>427</v>
      </c>
      <c r="G1528" s="64">
        <v>42552</v>
      </c>
      <c r="H1528">
        <v>725.68</v>
      </c>
      <c r="I1528">
        <v>100.8368426854812</v>
      </c>
      <c r="J1528">
        <v>100.8368426854812</v>
      </c>
    </row>
    <row r="1529" spans="1:10" x14ac:dyDescent="0.25">
      <c r="A1529" s="36"/>
      <c r="B1529" t="s">
        <v>451</v>
      </c>
      <c r="C1529" s="64">
        <v>42556</v>
      </c>
      <c r="D1529">
        <v>213.98</v>
      </c>
      <c r="E1529">
        <v>100.90209365361248</v>
      </c>
      <c r="F1529" t="s">
        <v>427</v>
      </c>
      <c r="G1529" s="64">
        <v>42556</v>
      </c>
      <c r="H1529">
        <v>728.1</v>
      </c>
      <c r="I1529">
        <v>100.8373849745914</v>
      </c>
      <c r="J1529">
        <v>100.8373849745914</v>
      </c>
    </row>
    <row r="1530" spans="1:10" x14ac:dyDescent="0.25">
      <c r="A1530" s="36"/>
      <c r="B1530" t="s">
        <v>451</v>
      </c>
      <c r="C1530" s="64">
        <v>42557</v>
      </c>
      <c r="D1530">
        <v>214.44</v>
      </c>
      <c r="E1530">
        <v>100.90230367468756</v>
      </c>
      <c r="F1530" t="s">
        <v>427</v>
      </c>
      <c r="G1530" s="64">
        <v>42557</v>
      </c>
      <c r="H1530">
        <v>737.61</v>
      </c>
      <c r="I1530">
        <v>100.83948156885074</v>
      </c>
      <c r="J1530">
        <v>100.83948156885074</v>
      </c>
    </row>
    <row r="1531" spans="1:10" x14ac:dyDescent="0.25">
      <c r="A1531" s="36"/>
      <c r="B1531" t="s">
        <v>451</v>
      </c>
      <c r="C1531" s="64">
        <v>42558</v>
      </c>
      <c r="D1531">
        <v>215.94</v>
      </c>
      <c r="E1531">
        <v>100.90298230990089</v>
      </c>
      <c r="F1531" t="s">
        <v>427</v>
      </c>
      <c r="G1531" s="64">
        <v>42558</v>
      </c>
      <c r="H1531">
        <v>736.57</v>
      </c>
      <c r="I1531">
        <v>100.83925492485439</v>
      </c>
      <c r="J1531">
        <v>100.83925492485439</v>
      </c>
    </row>
    <row r="1532" spans="1:10" x14ac:dyDescent="0.25">
      <c r="A1532" s="36"/>
      <c r="B1532" t="s">
        <v>451</v>
      </c>
      <c r="C1532" s="64">
        <v>42559</v>
      </c>
      <c r="D1532">
        <v>216.78</v>
      </c>
      <c r="E1532">
        <v>100.90335824338038</v>
      </c>
      <c r="F1532" t="s">
        <v>427</v>
      </c>
      <c r="G1532" s="64">
        <v>42559</v>
      </c>
      <c r="H1532">
        <v>745.81</v>
      </c>
      <c r="I1532">
        <v>100.84124643005592</v>
      </c>
      <c r="J1532">
        <v>100.84124643005592</v>
      </c>
    </row>
    <row r="1533" spans="1:10" x14ac:dyDescent="0.25">
      <c r="A1533" s="36"/>
      <c r="B1533" t="s">
        <v>451</v>
      </c>
      <c r="C1533" s="64">
        <v>42562</v>
      </c>
      <c r="D1533">
        <v>224.78</v>
      </c>
      <c r="E1533">
        <v>100.90679775780764</v>
      </c>
      <c r="F1533" t="s">
        <v>427</v>
      </c>
      <c r="G1533" s="64">
        <v>42562</v>
      </c>
      <c r="H1533">
        <v>753.78</v>
      </c>
      <c r="I1533">
        <v>100.84292499137679</v>
      </c>
      <c r="J1533">
        <v>100.84292499137679</v>
      </c>
    </row>
    <row r="1534" spans="1:10" x14ac:dyDescent="0.25">
      <c r="A1534" s="36"/>
      <c r="B1534" t="s">
        <v>451</v>
      </c>
      <c r="C1534" s="64">
        <v>42563</v>
      </c>
      <c r="D1534">
        <v>224.65</v>
      </c>
      <c r="E1534">
        <v>100.90674382372579</v>
      </c>
      <c r="F1534" t="s">
        <v>427</v>
      </c>
      <c r="G1534" s="64">
        <v>42563</v>
      </c>
      <c r="H1534">
        <v>748.21</v>
      </c>
      <c r="I1534">
        <v>100.84175565683431</v>
      </c>
      <c r="J1534">
        <v>100.84175565683431</v>
      </c>
    </row>
    <row r="1535" spans="1:10" x14ac:dyDescent="0.25">
      <c r="A1535" s="36"/>
      <c r="B1535" t="s">
        <v>451</v>
      </c>
      <c r="C1535" s="64">
        <v>42564</v>
      </c>
      <c r="D1535">
        <v>222.53</v>
      </c>
      <c r="E1535">
        <v>100.90585539028446</v>
      </c>
      <c r="F1535" t="s">
        <v>427</v>
      </c>
      <c r="G1535" s="64">
        <v>42564</v>
      </c>
      <c r="H1535">
        <v>742.63</v>
      </c>
      <c r="I1535">
        <v>100.84056663479795</v>
      </c>
      <c r="J1535">
        <v>100.84056663479795</v>
      </c>
    </row>
    <row r="1536" spans="1:10" x14ac:dyDescent="0.25">
      <c r="A1536" s="36"/>
      <c r="B1536" t="s">
        <v>451</v>
      </c>
      <c r="C1536" s="64">
        <v>42565</v>
      </c>
      <c r="D1536">
        <v>221.53</v>
      </c>
      <c r="E1536">
        <v>100.90543041574504</v>
      </c>
      <c r="F1536" t="s">
        <v>427</v>
      </c>
      <c r="G1536" s="64">
        <v>42565</v>
      </c>
      <c r="H1536">
        <v>741.2</v>
      </c>
      <c r="I1536">
        <v>100.84025903939558</v>
      </c>
      <c r="J1536">
        <v>100.84025903939558</v>
      </c>
    </row>
    <row r="1537" spans="1:10" x14ac:dyDescent="0.25">
      <c r="A1537" s="36"/>
      <c r="B1537" t="s">
        <v>451</v>
      </c>
      <c r="C1537" s="64">
        <v>42566</v>
      </c>
      <c r="D1537">
        <v>220.4</v>
      </c>
      <c r="E1537">
        <v>100.90494555353902</v>
      </c>
      <c r="F1537" t="s">
        <v>427</v>
      </c>
      <c r="G1537" s="64">
        <v>42566</v>
      </c>
      <c r="H1537">
        <v>735.44</v>
      </c>
      <c r="I1537">
        <v>100.83900794082454</v>
      </c>
      <c r="J1537">
        <v>100.83900794082454</v>
      </c>
    </row>
    <row r="1538" spans="1:10" x14ac:dyDescent="0.25">
      <c r="A1538" s="36"/>
      <c r="B1538" t="s">
        <v>451</v>
      </c>
      <c r="C1538" s="64">
        <v>42569</v>
      </c>
      <c r="D1538">
        <v>226.25</v>
      </c>
      <c r="E1538">
        <v>100.90740331491713</v>
      </c>
      <c r="F1538" t="s">
        <v>427</v>
      </c>
      <c r="G1538" s="64">
        <v>42569</v>
      </c>
      <c r="H1538">
        <v>736.07</v>
      </c>
      <c r="I1538">
        <v>100.83914573342209</v>
      </c>
      <c r="J1538">
        <v>100.83914573342209</v>
      </c>
    </row>
    <row r="1539" spans="1:10" x14ac:dyDescent="0.25">
      <c r="A1539" s="36"/>
      <c r="B1539" t="s">
        <v>451</v>
      </c>
      <c r="C1539" s="64">
        <v>42570</v>
      </c>
      <c r="D1539">
        <v>225.26</v>
      </c>
      <c r="E1539">
        <v>100.90699635976205</v>
      </c>
      <c r="F1539" t="s">
        <v>427</v>
      </c>
      <c r="G1539" s="64">
        <v>42570</v>
      </c>
      <c r="H1539">
        <v>739.95</v>
      </c>
      <c r="I1539">
        <v>100.83998918845867</v>
      </c>
      <c r="J1539">
        <v>100.83998918845867</v>
      </c>
    </row>
    <row r="1540" spans="1:10" x14ac:dyDescent="0.25">
      <c r="A1540" s="36"/>
      <c r="B1540" t="s">
        <v>451</v>
      </c>
      <c r="C1540" s="64">
        <v>42571</v>
      </c>
      <c r="D1540">
        <v>228.36</v>
      </c>
      <c r="E1540">
        <v>100.90825888947276</v>
      </c>
      <c r="F1540" t="s">
        <v>427</v>
      </c>
      <c r="G1540" s="64">
        <v>42571</v>
      </c>
      <c r="H1540">
        <v>745.72</v>
      </c>
      <c r="I1540">
        <v>100.84122727028911</v>
      </c>
      <c r="J1540">
        <v>100.84122727028911</v>
      </c>
    </row>
    <row r="1541" spans="1:10" x14ac:dyDescent="0.25">
      <c r="A1541" s="36"/>
      <c r="B1541" t="s">
        <v>451</v>
      </c>
      <c r="C1541" s="64">
        <v>42572</v>
      </c>
      <c r="D1541">
        <v>220.5</v>
      </c>
      <c r="E1541">
        <v>100.90498866213152</v>
      </c>
      <c r="F1541" t="s">
        <v>427</v>
      </c>
      <c r="G1541" s="64">
        <v>42572</v>
      </c>
      <c r="H1541">
        <v>744.43</v>
      </c>
      <c r="I1541">
        <v>100.8409521378773</v>
      </c>
      <c r="J1541">
        <v>100.8409521378773</v>
      </c>
    </row>
    <row r="1542" spans="1:10" x14ac:dyDescent="0.25">
      <c r="A1542" s="36"/>
      <c r="B1542" t="s">
        <v>451</v>
      </c>
      <c r="C1542" s="64">
        <v>42573</v>
      </c>
      <c r="D1542">
        <v>222.27</v>
      </c>
      <c r="E1542">
        <v>100.90574526476807</v>
      </c>
      <c r="F1542" t="s">
        <v>427</v>
      </c>
      <c r="G1542" s="64">
        <v>42573</v>
      </c>
      <c r="H1542">
        <v>744.86</v>
      </c>
      <c r="I1542">
        <v>100.84104395456865</v>
      </c>
      <c r="J1542">
        <v>100.84104395456865</v>
      </c>
    </row>
    <row r="1543" spans="1:10" x14ac:dyDescent="0.25">
      <c r="A1543" s="36"/>
      <c r="B1543" t="s">
        <v>451</v>
      </c>
      <c r="C1543" s="64">
        <v>42576</v>
      </c>
      <c r="D1543">
        <v>230.01</v>
      </c>
      <c r="E1543">
        <v>100.90891700360854</v>
      </c>
      <c r="F1543" t="s">
        <v>427</v>
      </c>
      <c r="G1543" s="64">
        <v>42576</v>
      </c>
      <c r="H1543">
        <v>739.61</v>
      </c>
      <c r="I1543">
        <v>100.83991563121104</v>
      </c>
      <c r="J1543">
        <v>100.83991563121104</v>
      </c>
    </row>
    <row r="1544" spans="1:10" x14ac:dyDescent="0.25">
      <c r="A1544" s="36"/>
      <c r="B1544" t="s">
        <v>451</v>
      </c>
      <c r="C1544" s="64">
        <v>42577</v>
      </c>
      <c r="D1544">
        <v>229.51</v>
      </c>
      <c r="E1544">
        <v>100.90871857435405</v>
      </c>
      <c r="F1544" t="s">
        <v>427</v>
      </c>
      <c r="G1544" s="64">
        <v>42577</v>
      </c>
      <c r="H1544">
        <v>735.59</v>
      </c>
      <c r="I1544">
        <v>100.83904076999416</v>
      </c>
      <c r="J1544">
        <v>100.83904076999416</v>
      </c>
    </row>
    <row r="1545" spans="1:10" x14ac:dyDescent="0.25">
      <c r="A1545" s="36"/>
      <c r="B1545" t="s">
        <v>451</v>
      </c>
      <c r="C1545" s="64">
        <v>42578</v>
      </c>
      <c r="D1545">
        <v>228.49</v>
      </c>
      <c r="E1545">
        <v>100.90831108582432</v>
      </c>
      <c r="F1545" t="s">
        <v>427</v>
      </c>
      <c r="G1545" s="64">
        <v>42578</v>
      </c>
      <c r="H1545">
        <v>736.67</v>
      </c>
      <c r="I1545">
        <v>100.8392767453541</v>
      </c>
      <c r="J1545">
        <v>100.8392767453541</v>
      </c>
    </row>
    <row r="1546" spans="1:10" x14ac:dyDescent="0.25">
      <c r="A1546" s="36"/>
      <c r="B1546" t="s">
        <v>451</v>
      </c>
      <c r="C1546" s="64">
        <v>42579</v>
      </c>
      <c r="D1546">
        <v>230.61</v>
      </c>
      <c r="E1546">
        <v>100.90915398291487</v>
      </c>
      <c r="F1546" t="s">
        <v>427</v>
      </c>
      <c r="G1546" s="64">
        <v>42579</v>
      </c>
      <c r="H1546">
        <v>752.61</v>
      </c>
      <c r="I1546">
        <v>100.84268080413494</v>
      </c>
      <c r="J1546">
        <v>100.84268080413494</v>
      </c>
    </row>
    <row r="1547" spans="1:10" x14ac:dyDescent="0.25">
      <c r="A1547" s="36"/>
      <c r="B1547" t="s">
        <v>451</v>
      </c>
      <c r="C1547" s="64">
        <v>42580</v>
      </c>
      <c r="D1547">
        <v>234.79</v>
      </c>
      <c r="E1547">
        <v>100.91077132756932</v>
      </c>
      <c r="F1547" t="s">
        <v>427</v>
      </c>
      <c r="G1547" s="64">
        <v>42580</v>
      </c>
      <c r="H1547">
        <v>758.81</v>
      </c>
      <c r="I1547">
        <v>100.84396621025026</v>
      </c>
      <c r="J1547">
        <v>100.84396621025026</v>
      </c>
    </row>
    <row r="1548" spans="1:10" x14ac:dyDescent="0.25">
      <c r="A1548" s="36"/>
      <c r="B1548" t="s">
        <v>451</v>
      </c>
      <c r="C1548" s="64">
        <v>42583</v>
      </c>
      <c r="D1548">
        <v>230.01</v>
      </c>
      <c r="E1548">
        <v>100.90891700360854</v>
      </c>
      <c r="F1548" t="s">
        <v>427</v>
      </c>
      <c r="G1548" s="64">
        <v>42583</v>
      </c>
      <c r="H1548">
        <v>767.74</v>
      </c>
      <c r="I1548">
        <v>100.84578112381796</v>
      </c>
      <c r="J1548">
        <v>100.84578112381796</v>
      </c>
    </row>
    <row r="1549" spans="1:10" x14ac:dyDescent="0.25">
      <c r="A1549" s="36"/>
      <c r="B1549" t="s">
        <v>451</v>
      </c>
      <c r="C1549" s="64">
        <v>42584</v>
      </c>
      <c r="D1549">
        <v>227.2</v>
      </c>
      <c r="E1549">
        <v>100.90779049295774</v>
      </c>
      <c r="F1549" t="s">
        <v>427</v>
      </c>
      <c r="G1549" s="64">
        <v>42584</v>
      </c>
      <c r="H1549">
        <v>760.58</v>
      </c>
      <c r="I1549">
        <v>100.8443293276184</v>
      </c>
      <c r="J1549">
        <v>100.8443293276184</v>
      </c>
    </row>
    <row r="1550" spans="1:10" x14ac:dyDescent="0.25">
      <c r="A1550" s="36"/>
      <c r="B1550" t="s">
        <v>451</v>
      </c>
      <c r="C1550" s="64">
        <v>42585</v>
      </c>
      <c r="D1550">
        <v>225.79</v>
      </c>
      <c r="E1550">
        <v>100.90721466849728</v>
      </c>
      <c r="F1550" t="s">
        <v>427</v>
      </c>
      <c r="G1550" s="64">
        <v>42585</v>
      </c>
      <c r="H1550">
        <v>754.64</v>
      </c>
      <c r="I1550">
        <v>100.84310399660765</v>
      </c>
      <c r="J1550">
        <v>100.84310399660765</v>
      </c>
    </row>
    <row r="1551" spans="1:10" x14ac:dyDescent="0.25">
      <c r="A1551" s="36"/>
      <c r="B1551" t="s">
        <v>451</v>
      </c>
      <c r="C1551" s="64">
        <v>42586</v>
      </c>
      <c r="D1551">
        <v>230.61</v>
      </c>
      <c r="E1551">
        <v>100.90915398291487</v>
      </c>
      <c r="F1551" t="s">
        <v>427</v>
      </c>
      <c r="G1551" s="64">
        <v>42586</v>
      </c>
      <c r="H1551">
        <v>760.77</v>
      </c>
      <c r="I1551">
        <v>100.84436820589666</v>
      </c>
      <c r="J1551">
        <v>100.84436820589666</v>
      </c>
    </row>
    <row r="1552" spans="1:10" x14ac:dyDescent="0.25">
      <c r="A1552" s="36"/>
      <c r="B1552" t="s">
        <v>451</v>
      </c>
      <c r="C1552" s="64">
        <v>42587</v>
      </c>
      <c r="D1552">
        <v>230.03</v>
      </c>
      <c r="E1552">
        <v>100.90892492283615</v>
      </c>
      <c r="F1552" t="s">
        <v>427</v>
      </c>
      <c r="G1552" s="64">
        <v>42587</v>
      </c>
      <c r="H1552">
        <v>765.98</v>
      </c>
      <c r="I1552">
        <v>100.845426773545</v>
      </c>
      <c r="J1552">
        <v>100.845426773545</v>
      </c>
    </row>
    <row r="1553" spans="1:10" x14ac:dyDescent="0.25">
      <c r="A1553" s="36"/>
      <c r="B1553" t="s">
        <v>451</v>
      </c>
      <c r="C1553" s="64">
        <v>42590</v>
      </c>
      <c r="D1553">
        <v>226.16</v>
      </c>
      <c r="E1553">
        <v>100.9073664662186</v>
      </c>
      <c r="F1553" t="s">
        <v>427</v>
      </c>
      <c r="G1553" s="64">
        <v>42590</v>
      </c>
      <c r="H1553">
        <v>766.56</v>
      </c>
      <c r="I1553">
        <v>100.845543727823</v>
      </c>
      <c r="J1553">
        <v>100.845543727823</v>
      </c>
    </row>
    <row r="1554" spans="1:10" x14ac:dyDescent="0.25">
      <c r="A1554" s="36"/>
      <c r="B1554" t="s">
        <v>451</v>
      </c>
      <c r="C1554" s="64">
        <v>42591</v>
      </c>
      <c r="D1554">
        <v>229.08</v>
      </c>
      <c r="E1554">
        <v>100.9085472324079</v>
      </c>
      <c r="F1554" t="s">
        <v>427</v>
      </c>
      <c r="G1554" s="64">
        <v>42591</v>
      </c>
      <c r="H1554">
        <v>768.31</v>
      </c>
      <c r="I1554">
        <v>100.84589553695774</v>
      </c>
      <c r="J1554">
        <v>100.84589553695774</v>
      </c>
    </row>
    <row r="1555" spans="1:10" x14ac:dyDescent="0.25">
      <c r="A1555" s="36"/>
      <c r="B1555" t="s">
        <v>451</v>
      </c>
      <c r="C1555" s="64">
        <v>42592</v>
      </c>
      <c r="D1555">
        <v>225.65</v>
      </c>
      <c r="E1555">
        <v>100.90715710170618</v>
      </c>
      <c r="F1555" t="s">
        <v>427</v>
      </c>
      <c r="G1555" s="64">
        <v>42592</v>
      </c>
      <c r="H1555">
        <v>768.56</v>
      </c>
      <c r="I1555">
        <v>100.84594566461955</v>
      </c>
      <c r="J1555">
        <v>100.84594566461955</v>
      </c>
    </row>
    <row r="1556" spans="1:10" x14ac:dyDescent="0.25">
      <c r="A1556" s="36"/>
      <c r="B1556" t="s">
        <v>451</v>
      </c>
      <c r="C1556" s="64">
        <v>42593</v>
      </c>
      <c r="D1556">
        <v>224.91</v>
      </c>
      <c r="E1556">
        <v>100.90685162954071</v>
      </c>
      <c r="F1556" t="s">
        <v>427</v>
      </c>
      <c r="G1556" s="64">
        <v>42593</v>
      </c>
      <c r="H1556">
        <v>771.24</v>
      </c>
      <c r="I1556">
        <v>100.84648099164981</v>
      </c>
      <c r="J1556">
        <v>100.84648099164981</v>
      </c>
    </row>
    <row r="1557" spans="1:10" x14ac:dyDescent="0.25">
      <c r="A1557" s="36"/>
      <c r="B1557" t="s">
        <v>451</v>
      </c>
      <c r="C1557" s="64">
        <v>42594</v>
      </c>
      <c r="D1557">
        <v>225.61</v>
      </c>
      <c r="E1557">
        <v>100.90714064092904</v>
      </c>
      <c r="F1557" t="s">
        <v>427</v>
      </c>
      <c r="G1557" s="64">
        <v>42594</v>
      </c>
      <c r="H1557">
        <v>772.56</v>
      </c>
      <c r="I1557">
        <v>100.84674329501915</v>
      </c>
      <c r="J1557">
        <v>100.84674329501915</v>
      </c>
    </row>
    <row r="1558" spans="1:10" x14ac:dyDescent="0.25">
      <c r="A1558" s="36"/>
      <c r="B1558" t="s">
        <v>451</v>
      </c>
      <c r="C1558" s="64">
        <v>42597</v>
      </c>
      <c r="D1558">
        <v>225.59</v>
      </c>
      <c r="E1558">
        <v>100.90713240835143</v>
      </c>
      <c r="F1558" t="s">
        <v>427</v>
      </c>
      <c r="G1558" s="64">
        <v>42597</v>
      </c>
      <c r="H1558">
        <v>768.49</v>
      </c>
      <c r="I1558">
        <v>100.84593163216176</v>
      </c>
      <c r="J1558">
        <v>100.84593163216176</v>
      </c>
    </row>
    <row r="1559" spans="1:10" x14ac:dyDescent="0.25">
      <c r="A1559" s="36"/>
      <c r="B1559" t="s">
        <v>451</v>
      </c>
      <c r="C1559" s="64">
        <v>42598</v>
      </c>
      <c r="D1559">
        <v>223.61</v>
      </c>
      <c r="E1559">
        <v>100.9063100934663</v>
      </c>
      <c r="F1559" t="s">
        <v>427</v>
      </c>
      <c r="G1559" s="64">
        <v>42598</v>
      </c>
      <c r="H1559">
        <v>764.04</v>
      </c>
      <c r="I1559">
        <v>100.84503429139835</v>
      </c>
      <c r="J1559">
        <v>100.84503429139835</v>
      </c>
    </row>
    <row r="1560" spans="1:10" x14ac:dyDescent="0.25">
      <c r="A1560" s="36"/>
      <c r="B1560" t="s">
        <v>451</v>
      </c>
      <c r="C1560" s="64">
        <v>42599</v>
      </c>
      <c r="D1560">
        <v>223.24</v>
      </c>
      <c r="E1560">
        <v>100.90615481096577</v>
      </c>
      <c r="F1560" t="s">
        <v>427</v>
      </c>
      <c r="G1560" s="64">
        <v>42599</v>
      </c>
      <c r="H1560">
        <v>764.63</v>
      </c>
      <c r="I1560">
        <v>100.84515386526817</v>
      </c>
      <c r="J1560">
        <v>100.84515386526817</v>
      </c>
    </row>
    <row r="1561" spans="1:10" x14ac:dyDescent="0.25">
      <c r="A1561" s="36"/>
      <c r="B1561" t="s">
        <v>451</v>
      </c>
      <c r="C1561" s="64">
        <v>42600</v>
      </c>
      <c r="D1561">
        <v>223.51</v>
      </c>
      <c r="E1561">
        <v>100.90626817592054</v>
      </c>
      <c r="F1561" t="s">
        <v>427</v>
      </c>
      <c r="G1561" s="64">
        <v>42600</v>
      </c>
      <c r="H1561">
        <v>764.46</v>
      </c>
      <c r="I1561">
        <v>100.84511943070926</v>
      </c>
      <c r="J1561">
        <v>100.84511943070926</v>
      </c>
    </row>
    <row r="1562" spans="1:10" x14ac:dyDescent="0.25">
      <c r="A1562" s="36"/>
      <c r="B1562" t="s">
        <v>451</v>
      </c>
      <c r="C1562" s="64">
        <v>42601</v>
      </c>
      <c r="D1562">
        <v>225</v>
      </c>
      <c r="E1562">
        <v>100.90688888888889</v>
      </c>
      <c r="F1562" t="s">
        <v>427</v>
      </c>
      <c r="G1562" s="64">
        <v>42601</v>
      </c>
      <c r="H1562">
        <v>757.31</v>
      </c>
      <c r="I1562">
        <v>100.84365715492994</v>
      </c>
      <c r="J1562">
        <v>100.84365715492994</v>
      </c>
    </row>
    <row r="1563" spans="1:10" x14ac:dyDescent="0.25">
      <c r="A1563" s="36"/>
      <c r="B1563" t="s">
        <v>451</v>
      </c>
      <c r="C1563" s="64">
        <v>42604</v>
      </c>
      <c r="D1563">
        <v>222.93</v>
      </c>
      <c r="E1563">
        <v>100.90602431256448</v>
      </c>
      <c r="F1563" t="s">
        <v>427</v>
      </c>
      <c r="G1563" s="64">
        <v>42604</v>
      </c>
      <c r="H1563">
        <v>759.48</v>
      </c>
      <c r="I1563">
        <v>100.84410386053615</v>
      </c>
      <c r="J1563">
        <v>100.84410386053615</v>
      </c>
    </row>
    <row r="1564" spans="1:10" x14ac:dyDescent="0.25">
      <c r="A1564" s="36"/>
      <c r="B1564" t="s">
        <v>451</v>
      </c>
      <c r="C1564" s="64">
        <v>42605</v>
      </c>
      <c r="D1564">
        <v>224.84</v>
      </c>
      <c r="E1564">
        <v>100.90682262942536</v>
      </c>
      <c r="F1564" t="s">
        <v>427</v>
      </c>
      <c r="G1564" s="64">
        <v>42605</v>
      </c>
      <c r="H1564">
        <v>762.45</v>
      </c>
      <c r="I1564">
        <v>100.84471112859859</v>
      </c>
      <c r="J1564">
        <v>100.84471112859859</v>
      </c>
    </row>
    <row r="1565" spans="1:10" x14ac:dyDescent="0.25">
      <c r="A1565" s="36"/>
      <c r="B1565" t="s">
        <v>451</v>
      </c>
      <c r="C1565" s="64">
        <v>42606</v>
      </c>
      <c r="D1565">
        <v>222.62</v>
      </c>
      <c r="E1565">
        <v>100.90589345072321</v>
      </c>
      <c r="F1565" t="s">
        <v>427</v>
      </c>
      <c r="G1565" s="64">
        <v>42606</v>
      </c>
      <c r="H1565">
        <v>757.25</v>
      </c>
      <c r="I1565">
        <v>100.84364476724991</v>
      </c>
      <c r="J1565">
        <v>100.84364476724991</v>
      </c>
    </row>
    <row r="1566" spans="1:10" x14ac:dyDescent="0.25">
      <c r="A1566" s="36"/>
      <c r="B1566" t="s">
        <v>451</v>
      </c>
      <c r="C1566" s="64">
        <v>42607</v>
      </c>
      <c r="D1566">
        <v>220.96</v>
      </c>
      <c r="E1566">
        <v>100.90518645908762</v>
      </c>
      <c r="F1566" t="s">
        <v>427</v>
      </c>
      <c r="G1566" s="64">
        <v>42607</v>
      </c>
      <c r="H1566">
        <v>759.22</v>
      </c>
      <c r="I1566">
        <v>100.84405047285372</v>
      </c>
      <c r="J1566">
        <v>100.84405047285372</v>
      </c>
    </row>
    <row r="1567" spans="1:10" x14ac:dyDescent="0.25">
      <c r="A1567" s="36"/>
      <c r="B1567" t="s">
        <v>451</v>
      </c>
      <c r="C1567" s="64">
        <v>42608</v>
      </c>
      <c r="D1567">
        <v>219.99</v>
      </c>
      <c r="E1567">
        <v>100.90476839856358</v>
      </c>
      <c r="F1567" t="s">
        <v>427</v>
      </c>
      <c r="G1567" s="64">
        <v>42608</v>
      </c>
      <c r="H1567">
        <v>769</v>
      </c>
      <c r="I1567">
        <v>100.84603381014304</v>
      </c>
      <c r="J1567">
        <v>100.84603381014304</v>
      </c>
    </row>
    <row r="1568" spans="1:10" x14ac:dyDescent="0.25">
      <c r="A1568" s="36"/>
      <c r="B1568" t="s">
        <v>451</v>
      </c>
      <c r="C1568" s="64">
        <v>42611</v>
      </c>
      <c r="D1568">
        <v>215.2</v>
      </c>
      <c r="E1568">
        <v>100.90264869888476</v>
      </c>
      <c r="F1568" t="s">
        <v>427</v>
      </c>
      <c r="G1568" s="64">
        <v>42611</v>
      </c>
      <c r="H1568">
        <v>771.29</v>
      </c>
      <c r="I1568">
        <v>100.8464909437436</v>
      </c>
      <c r="J1568">
        <v>100.8464909437436</v>
      </c>
    </row>
    <row r="1569" spans="1:10" x14ac:dyDescent="0.25">
      <c r="A1569" s="36"/>
      <c r="B1569" t="s">
        <v>451</v>
      </c>
      <c r="C1569" s="64">
        <v>42612</v>
      </c>
      <c r="D1569">
        <v>211.34</v>
      </c>
      <c r="E1569">
        <v>100.90087063499574</v>
      </c>
      <c r="F1569" t="s">
        <v>427</v>
      </c>
      <c r="G1569" s="64">
        <v>42612</v>
      </c>
      <c r="H1569">
        <v>767.58</v>
      </c>
      <c r="I1569">
        <v>100.84574897730529</v>
      </c>
      <c r="J1569">
        <v>100.84574897730529</v>
      </c>
    </row>
    <row r="1570" spans="1:10" x14ac:dyDescent="0.25">
      <c r="A1570" s="36"/>
      <c r="B1570" t="s">
        <v>451</v>
      </c>
      <c r="C1570" s="64">
        <v>42613</v>
      </c>
      <c r="D1570">
        <v>212.01</v>
      </c>
      <c r="E1570">
        <v>100.9011839064195</v>
      </c>
      <c r="F1570" t="s">
        <v>427</v>
      </c>
      <c r="G1570" s="64">
        <v>42613</v>
      </c>
      <c r="H1570">
        <v>769.16</v>
      </c>
      <c r="I1570">
        <v>100.8460658380571</v>
      </c>
      <c r="J1570">
        <v>100.8460658380571</v>
      </c>
    </row>
    <row r="1571" spans="1:10" x14ac:dyDescent="0.25">
      <c r="A1571" s="36"/>
      <c r="B1571" t="s">
        <v>451</v>
      </c>
      <c r="C1571" s="64">
        <v>42614</v>
      </c>
      <c r="D1571">
        <v>200.77</v>
      </c>
      <c r="E1571">
        <v>100.89565174079793</v>
      </c>
      <c r="F1571" t="s">
        <v>427</v>
      </c>
      <c r="G1571" s="64">
        <v>42614</v>
      </c>
      <c r="H1571">
        <v>770.62</v>
      </c>
      <c r="I1571">
        <v>100.84635747839403</v>
      </c>
      <c r="J1571">
        <v>100.84635747839403</v>
      </c>
    </row>
    <row r="1572" spans="1:10" x14ac:dyDescent="0.25">
      <c r="A1572" s="36"/>
      <c r="B1572" t="s">
        <v>451</v>
      </c>
      <c r="C1572" s="64">
        <v>42615</v>
      </c>
      <c r="D1572">
        <v>197.78</v>
      </c>
      <c r="E1572">
        <v>100.89407422388513</v>
      </c>
      <c r="F1572" t="s">
        <v>427</v>
      </c>
      <c r="G1572" s="64">
        <v>42615</v>
      </c>
      <c r="H1572">
        <v>772.44</v>
      </c>
      <c r="I1572">
        <v>100.84671948630314</v>
      </c>
      <c r="J1572">
        <v>100.84671948630314</v>
      </c>
    </row>
    <row r="1573" spans="1:10" x14ac:dyDescent="0.25">
      <c r="A1573" s="36"/>
      <c r="B1573" t="s">
        <v>451</v>
      </c>
      <c r="C1573" s="64">
        <v>42619</v>
      </c>
      <c r="D1573">
        <v>202.83</v>
      </c>
      <c r="E1573">
        <v>100.89671153182468</v>
      </c>
      <c r="F1573" t="s">
        <v>427</v>
      </c>
      <c r="G1573" s="64">
        <v>42619</v>
      </c>
      <c r="H1573">
        <v>788.87</v>
      </c>
      <c r="I1573">
        <v>100.849911899299</v>
      </c>
      <c r="J1573">
        <v>100.849911899299</v>
      </c>
    </row>
    <row r="1574" spans="1:10" x14ac:dyDescent="0.25">
      <c r="A1574" s="36"/>
      <c r="B1574" t="s">
        <v>451</v>
      </c>
      <c r="C1574" s="64">
        <v>42620</v>
      </c>
      <c r="D1574">
        <v>201.71</v>
      </c>
      <c r="E1574">
        <v>100.89613801992961</v>
      </c>
      <c r="F1574" t="s">
        <v>427</v>
      </c>
      <c r="G1574" s="64">
        <v>42620</v>
      </c>
      <c r="H1574">
        <v>784.48</v>
      </c>
      <c r="I1574">
        <v>100.8490719967367</v>
      </c>
      <c r="J1574">
        <v>100.8490719967367</v>
      </c>
    </row>
    <row r="1575" spans="1:10" x14ac:dyDescent="0.25">
      <c r="A1575" s="36"/>
      <c r="B1575" t="s">
        <v>451</v>
      </c>
      <c r="C1575" s="64">
        <v>42621</v>
      </c>
      <c r="D1575">
        <v>197.36</v>
      </c>
      <c r="E1575">
        <v>100.89384880421565</v>
      </c>
      <c r="F1575" t="s">
        <v>427</v>
      </c>
      <c r="G1575" s="64">
        <v>42621</v>
      </c>
      <c r="H1575">
        <v>784.06</v>
      </c>
      <c r="I1575">
        <v>100.84899114863659</v>
      </c>
      <c r="J1575">
        <v>100.84899114863659</v>
      </c>
    </row>
    <row r="1576" spans="1:10" x14ac:dyDescent="0.25">
      <c r="A1576" s="36"/>
      <c r="B1576" t="s">
        <v>451</v>
      </c>
      <c r="C1576" s="64">
        <v>42622</v>
      </c>
      <c r="D1576">
        <v>194.47</v>
      </c>
      <c r="E1576">
        <v>100.89227130148609</v>
      </c>
      <c r="F1576" t="s">
        <v>427</v>
      </c>
      <c r="G1576" s="64">
        <v>42622</v>
      </c>
      <c r="H1576">
        <v>760.14</v>
      </c>
      <c r="I1576">
        <v>100.84423921909122</v>
      </c>
      <c r="J1576">
        <v>100.84423921909122</v>
      </c>
    </row>
    <row r="1577" spans="1:10" x14ac:dyDescent="0.25">
      <c r="A1577" s="36"/>
      <c r="B1577" t="s">
        <v>451</v>
      </c>
      <c r="C1577" s="64">
        <v>42625</v>
      </c>
      <c r="D1577">
        <v>198.3</v>
      </c>
      <c r="E1577">
        <v>100.89435199193142</v>
      </c>
      <c r="F1577" t="s">
        <v>427</v>
      </c>
      <c r="G1577" s="64">
        <v>42625</v>
      </c>
      <c r="H1577">
        <v>771.49</v>
      </c>
      <c r="I1577">
        <v>100.84653073921892</v>
      </c>
      <c r="J1577">
        <v>100.84653073921892</v>
      </c>
    </row>
    <row r="1578" spans="1:10" x14ac:dyDescent="0.25">
      <c r="A1578" s="36"/>
      <c r="B1578" t="s">
        <v>451</v>
      </c>
      <c r="C1578" s="64">
        <v>42626</v>
      </c>
      <c r="D1578">
        <v>196.05</v>
      </c>
      <c r="E1578">
        <v>100.89313950522826</v>
      </c>
      <c r="F1578" t="s">
        <v>427</v>
      </c>
      <c r="G1578" s="64">
        <v>42626</v>
      </c>
      <c r="H1578">
        <v>761.01</v>
      </c>
      <c r="I1578">
        <v>100.84441728755206</v>
      </c>
      <c r="J1578">
        <v>100.84441728755206</v>
      </c>
    </row>
    <row r="1579" spans="1:10" x14ac:dyDescent="0.25">
      <c r="A1579" s="36"/>
      <c r="B1579" t="s">
        <v>451</v>
      </c>
      <c r="C1579" s="64">
        <v>42627</v>
      </c>
      <c r="D1579">
        <v>196.41</v>
      </c>
      <c r="E1579">
        <v>100.89333536988951</v>
      </c>
      <c r="F1579" t="s">
        <v>427</v>
      </c>
      <c r="G1579" s="64">
        <v>42627</v>
      </c>
      <c r="H1579">
        <v>761.09</v>
      </c>
      <c r="I1579">
        <v>100.84443364122508</v>
      </c>
      <c r="J1579">
        <v>100.84443364122508</v>
      </c>
    </row>
    <row r="1580" spans="1:10" x14ac:dyDescent="0.25">
      <c r="A1580" s="36"/>
      <c r="B1580" t="s">
        <v>451</v>
      </c>
      <c r="C1580" s="64">
        <v>42628</v>
      </c>
      <c r="D1580">
        <v>200.42</v>
      </c>
      <c r="E1580">
        <v>100.89546951402056</v>
      </c>
      <c r="F1580" t="s">
        <v>427</v>
      </c>
      <c r="G1580" s="64">
        <v>42628</v>
      </c>
      <c r="H1580">
        <v>769.69</v>
      </c>
      <c r="I1580">
        <v>100.84617183541425</v>
      </c>
      <c r="J1580">
        <v>100.84617183541425</v>
      </c>
    </row>
    <row r="1581" spans="1:10" x14ac:dyDescent="0.25">
      <c r="A1581" s="36"/>
      <c r="B1581" t="s">
        <v>451</v>
      </c>
      <c r="C1581" s="64">
        <v>42629</v>
      </c>
      <c r="D1581">
        <v>205.4</v>
      </c>
      <c r="E1581">
        <v>100.89800389483933</v>
      </c>
      <c r="F1581" t="s">
        <v>427</v>
      </c>
      <c r="G1581" s="64">
        <v>42629</v>
      </c>
      <c r="H1581">
        <v>778.52</v>
      </c>
      <c r="I1581">
        <v>100.84791655962596</v>
      </c>
      <c r="J1581">
        <v>100.84791655962596</v>
      </c>
    </row>
    <row r="1582" spans="1:10" x14ac:dyDescent="0.25">
      <c r="A1582" s="36"/>
      <c r="B1582" t="s">
        <v>451</v>
      </c>
      <c r="C1582" s="64">
        <v>42632</v>
      </c>
      <c r="D1582">
        <v>206.34</v>
      </c>
      <c r="E1582">
        <v>100.89846854705826</v>
      </c>
      <c r="F1582" t="s">
        <v>427</v>
      </c>
      <c r="G1582" s="64">
        <v>42632</v>
      </c>
      <c r="H1582">
        <v>775.1</v>
      </c>
      <c r="I1582">
        <v>100.84724551670752</v>
      </c>
      <c r="J1582">
        <v>100.84724551670752</v>
      </c>
    </row>
    <row r="1583" spans="1:10" x14ac:dyDescent="0.25">
      <c r="A1583" s="36"/>
      <c r="B1583" t="s">
        <v>451</v>
      </c>
      <c r="C1583" s="64">
        <v>42633</v>
      </c>
      <c r="D1583">
        <v>204.64</v>
      </c>
      <c r="E1583">
        <v>100.8976250977326</v>
      </c>
      <c r="F1583" t="s">
        <v>427</v>
      </c>
      <c r="G1583" s="64">
        <v>42633</v>
      </c>
      <c r="H1583">
        <v>780.22</v>
      </c>
      <c r="I1583">
        <v>100.84824793007101</v>
      </c>
      <c r="J1583">
        <v>100.84824793007101</v>
      </c>
    </row>
    <row r="1584" spans="1:10" x14ac:dyDescent="0.25">
      <c r="A1584" s="36"/>
      <c r="B1584" t="s">
        <v>451</v>
      </c>
      <c r="C1584" s="64">
        <v>42634</v>
      </c>
      <c r="D1584">
        <v>205.22</v>
      </c>
      <c r="E1584">
        <v>100.89791443329111</v>
      </c>
      <c r="F1584" t="s">
        <v>427</v>
      </c>
      <c r="G1584" s="64">
        <v>42634</v>
      </c>
      <c r="H1584">
        <v>789.74</v>
      </c>
      <c r="I1584">
        <v>100.85007724061083</v>
      </c>
      <c r="J1584">
        <v>100.85007724061083</v>
      </c>
    </row>
    <row r="1585" spans="1:10" x14ac:dyDescent="0.25">
      <c r="A1585" s="36"/>
      <c r="B1585" t="s">
        <v>451</v>
      </c>
      <c r="C1585" s="64">
        <v>42635</v>
      </c>
      <c r="D1585">
        <v>206.43</v>
      </c>
      <c r="E1585">
        <v>100.89851281306012</v>
      </c>
      <c r="F1585" t="s">
        <v>427</v>
      </c>
      <c r="G1585" s="64">
        <v>42635</v>
      </c>
      <c r="H1585">
        <v>804.7</v>
      </c>
      <c r="I1585">
        <v>100.85286442152355</v>
      </c>
      <c r="J1585">
        <v>100.85286442152355</v>
      </c>
    </row>
    <row r="1586" spans="1:10" x14ac:dyDescent="0.25">
      <c r="A1586" s="36"/>
      <c r="B1586" t="s">
        <v>451</v>
      </c>
      <c r="C1586" s="64">
        <v>42636</v>
      </c>
      <c r="D1586">
        <v>207.45</v>
      </c>
      <c r="E1586">
        <v>100.89901181007471</v>
      </c>
      <c r="F1586" t="s">
        <v>427</v>
      </c>
      <c r="G1586" s="64">
        <v>42636</v>
      </c>
      <c r="H1586">
        <v>805.75</v>
      </c>
      <c r="I1586">
        <v>100.85305615885821</v>
      </c>
      <c r="J1586">
        <v>100.85305615885821</v>
      </c>
    </row>
    <row r="1587" spans="1:10" x14ac:dyDescent="0.25">
      <c r="A1587" s="36"/>
      <c r="B1587" t="s">
        <v>451</v>
      </c>
      <c r="C1587" s="64">
        <v>42639</v>
      </c>
      <c r="D1587">
        <v>208.99</v>
      </c>
      <c r="E1587">
        <v>100.89975596918512</v>
      </c>
      <c r="F1587" t="s">
        <v>427</v>
      </c>
      <c r="G1587" s="64">
        <v>42639</v>
      </c>
      <c r="H1587">
        <v>799.16</v>
      </c>
      <c r="I1587">
        <v>100.8518444366585</v>
      </c>
      <c r="J1587">
        <v>100.8518444366585</v>
      </c>
    </row>
    <row r="1588" spans="1:10" x14ac:dyDescent="0.25">
      <c r="A1588" s="36"/>
      <c r="B1588" t="s">
        <v>451</v>
      </c>
      <c r="C1588" s="64">
        <v>42640</v>
      </c>
      <c r="D1588">
        <v>205.81</v>
      </c>
      <c r="E1588">
        <v>100.89820708420388</v>
      </c>
      <c r="F1588" t="s">
        <v>427</v>
      </c>
      <c r="G1588" s="64">
        <v>42640</v>
      </c>
      <c r="H1588">
        <v>816.11</v>
      </c>
      <c r="I1588">
        <v>100.85492151793264</v>
      </c>
      <c r="J1588">
        <v>100.85492151793264</v>
      </c>
    </row>
    <row r="1589" spans="1:10" x14ac:dyDescent="0.25">
      <c r="A1589" s="36"/>
      <c r="B1589" t="s">
        <v>451</v>
      </c>
      <c r="C1589" s="64">
        <v>42641</v>
      </c>
      <c r="D1589">
        <v>206.27</v>
      </c>
      <c r="E1589">
        <v>100.89843409123964</v>
      </c>
      <c r="F1589" t="s">
        <v>427</v>
      </c>
      <c r="G1589" s="64">
        <v>42641</v>
      </c>
      <c r="H1589">
        <v>828.72</v>
      </c>
      <c r="I1589">
        <v>100.85712906651221</v>
      </c>
      <c r="J1589">
        <v>100.85712906651221</v>
      </c>
    </row>
    <row r="1590" spans="1:10" x14ac:dyDescent="0.25">
      <c r="A1590" s="36"/>
      <c r="B1590" t="s">
        <v>451</v>
      </c>
      <c r="C1590" s="64">
        <v>42642</v>
      </c>
      <c r="D1590">
        <v>200.7</v>
      </c>
      <c r="E1590">
        <v>100.895615346288</v>
      </c>
      <c r="F1590" t="s">
        <v>427</v>
      </c>
      <c r="G1590" s="64">
        <v>42642</v>
      </c>
      <c r="H1590">
        <v>829.05</v>
      </c>
      <c r="I1590">
        <v>100.85718593570955</v>
      </c>
      <c r="J1590">
        <v>100.85718593570955</v>
      </c>
    </row>
    <row r="1591" spans="1:10" x14ac:dyDescent="0.25">
      <c r="A1591" s="36"/>
      <c r="B1591" t="s">
        <v>451</v>
      </c>
      <c r="C1591" s="64">
        <v>42643</v>
      </c>
      <c r="D1591">
        <v>204.03</v>
      </c>
      <c r="E1591">
        <v>100.89731902171249</v>
      </c>
      <c r="F1591" t="s">
        <v>427</v>
      </c>
      <c r="G1591" s="64">
        <v>42643</v>
      </c>
      <c r="H1591">
        <v>837.31</v>
      </c>
      <c r="I1591">
        <v>100.85859478568273</v>
      </c>
      <c r="J1591">
        <v>100.85859478568273</v>
      </c>
    </row>
    <row r="1592" spans="1:10" x14ac:dyDescent="0.25">
      <c r="A1592" s="36"/>
      <c r="B1592" t="s">
        <v>451</v>
      </c>
      <c r="C1592" s="64">
        <v>42646</v>
      </c>
      <c r="D1592">
        <v>213.7</v>
      </c>
      <c r="E1592">
        <v>100.90196537201685</v>
      </c>
      <c r="F1592" t="s">
        <v>427</v>
      </c>
      <c r="G1592" s="64">
        <v>42646</v>
      </c>
      <c r="H1592">
        <v>836.74</v>
      </c>
      <c r="I1592">
        <v>100.85849845830246</v>
      </c>
      <c r="J1592">
        <v>100.85849845830246</v>
      </c>
    </row>
    <row r="1593" spans="1:10" x14ac:dyDescent="0.25">
      <c r="A1593" s="36"/>
      <c r="B1593" t="s">
        <v>451</v>
      </c>
      <c r="C1593" s="64">
        <v>42647</v>
      </c>
      <c r="D1593">
        <v>211.41</v>
      </c>
      <c r="E1593">
        <v>100.90090345773615</v>
      </c>
      <c r="F1593" t="s">
        <v>427</v>
      </c>
      <c r="G1593" s="64">
        <v>42647</v>
      </c>
      <c r="H1593">
        <v>834.03</v>
      </c>
      <c r="I1593">
        <v>100.85803867966381</v>
      </c>
      <c r="J1593">
        <v>100.85803867966381</v>
      </c>
    </row>
    <row r="1594" spans="1:10" x14ac:dyDescent="0.25">
      <c r="A1594" s="36"/>
      <c r="B1594" t="s">
        <v>451</v>
      </c>
      <c r="C1594" s="64">
        <v>42648</v>
      </c>
      <c r="D1594">
        <v>208.46</v>
      </c>
      <c r="E1594">
        <v>100.89950110332917</v>
      </c>
      <c r="F1594" t="s">
        <v>427</v>
      </c>
      <c r="G1594" s="64">
        <v>42648</v>
      </c>
      <c r="H1594">
        <v>844.36</v>
      </c>
      <c r="I1594">
        <v>100.85977545122934</v>
      </c>
      <c r="J1594">
        <v>100.85977545122934</v>
      </c>
    </row>
    <row r="1595" spans="1:10" x14ac:dyDescent="0.25">
      <c r="A1595" s="36"/>
      <c r="B1595" t="s">
        <v>451</v>
      </c>
      <c r="C1595" s="64">
        <v>42649</v>
      </c>
      <c r="D1595">
        <v>201</v>
      </c>
      <c r="E1595">
        <v>100.89577114427861</v>
      </c>
      <c r="F1595" t="s">
        <v>427</v>
      </c>
      <c r="G1595" s="64">
        <v>42649</v>
      </c>
      <c r="H1595">
        <v>841.66</v>
      </c>
      <c r="I1595">
        <v>100.85932561842074</v>
      </c>
      <c r="J1595">
        <v>100.85932561842074</v>
      </c>
    </row>
    <row r="1596" spans="1:10" x14ac:dyDescent="0.25">
      <c r="A1596" s="36"/>
      <c r="B1596" t="s">
        <v>451</v>
      </c>
      <c r="C1596" s="64">
        <v>42650</v>
      </c>
      <c r="D1596">
        <v>196.61</v>
      </c>
      <c r="E1596">
        <v>100.89344387365851</v>
      </c>
      <c r="F1596" t="s">
        <v>427</v>
      </c>
      <c r="G1596" s="64">
        <v>42650</v>
      </c>
      <c r="H1596">
        <v>839.43</v>
      </c>
      <c r="I1596">
        <v>100.85895190784223</v>
      </c>
      <c r="J1596">
        <v>100.85895190784223</v>
      </c>
    </row>
    <row r="1597" spans="1:10" x14ac:dyDescent="0.25">
      <c r="A1597" s="36"/>
      <c r="B1597" t="s">
        <v>451</v>
      </c>
      <c r="C1597" s="64">
        <v>42653</v>
      </c>
      <c r="D1597">
        <v>200.95</v>
      </c>
      <c r="E1597">
        <v>100.89574521025131</v>
      </c>
      <c r="F1597" t="s">
        <v>427</v>
      </c>
      <c r="G1597" s="64">
        <v>42653</v>
      </c>
      <c r="H1597">
        <v>841.71</v>
      </c>
      <c r="I1597">
        <v>100.85933397488446</v>
      </c>
      <c r="J1597">
        <v>100.85933397488446</v>
      </c>
    </row>
    <row r="1598" spans="1:10" x14ac:dyDescent="0.25">
      <c r="A1598" s="36"/>
      <c r="B1598" t="s">
        <v>451</v>
      </c>
      <c r="C1598" s="64">
        <v>42654</v>
      </c>
      <c r="D1598">
        <v>200.1</v>
      </c>
      <c r="E1598">
        <v>100.89530234882558</v>
      </c>
      <c r="F1598" t="s">
        <v>427</v>
      </c>
      <c r="G1598" s="64">
        <v>42654</v>
      </c>
      <c r="H1598">
        <v>831</v>
      </c>
      <c r="I1598">
        <v>100.8575210589651</v>
      </c>
      <c r="J1598">
        <v>100.8575210589651</v>
      </c>
    </row>
    <row r="1599" spans="1:10" x14ac:dyDescent="0.25">
      <c r="A1599" s="36"/>
      <c r="B1599" t="s">
        <v>451</v>
      </c>
      <c r="C1599" s="64">
        <v>42655</v>
      </c>
      <c r="D1599">
        <v>201.51</v>
      </c>
      <c r="E1599">
        <v>100.89603493623146</v>
      </c>
      <c r="F1599" t="s">
        <v>427</v>
      </c>
      <c r="G1599" s="64">
        <v>42655</v>
      </c>
      <c r="H1599">
        <v>834.09</v>
      </c>
      <c r="I1599">
        <v>100.85804889160642</v>
      </c>
      <c r="J1599">
        <v>100.85804889160642</v>
      </c>
    </row>
    <row r="1600" spans="1:10" x14ac:dyDescent="0.25">
      <c r="A1600" s="36"/>
      <c r="B1600" t="s">
        <v>451</v>
      </c>
      <c r="C1600" s="64">
        <v>42656</v>
      </c>
      <c r="D1600">
        <v>200.24</v>
      </c>
      <c r="E1600">
        <v>100.8953755493408</v>
      </c>
      <c r="F1600" t="s">
        <v>427</v>
      </c>
      <c r="G1600" s="64">
        <v>42656</v>
      </c>
      <c r="H1600">
        <v>829.28</v>
      </c>
      <c r="I1600">
        <v>100.85722554505112</v>
      </c>
      <c r="J1600">
        <v>100.85722554505112</v>
      </c>
    </row>
    <row r="1601" spans="1:10" x14ac:dyDescent="0.25">
      <c r="A1601" s="36"/>
      <c r="B1601" t="s">
        <v>451</v>
      </c>
      <c r="C1601" s="64">
        <v>42657</v>
      </c>
      <c r="D1601">
        <v>196.51</v>
      </c>
      <c r="E1601">
        <v>100.89338964938172</v>
      </c>
      <c r="F1601" t="s">
        <v>427</v>
      </c>
      <c r="G1601" s="64">
        <v>42657</v>
      </c>
      <c r="H1601">
        <v>822.96</v>
      </c>
      <c r="I1601">
        <v>100.85612909497424</v>
      </c>
      <c r="J1601">
        <v>100.85612909497424</v>
      </c>
    </row>
    <row r="1602" spans="1:10" x14ac:dyDescent="0.25">
      <c r="A1602" s="36"/>
      <c r="B1602" t="s">
        <v>451</v>
      </c>
      <c r="C1602" s="64">
        <v>42660</v>
      </c>
      <c r="D1602">
        <v>193.96</v>
      </c>
      <c r="E1602">
        <v>100.89198803877088</v>
      </c>
      <c r="F1602" t="s">
        <v>427</v>
      </c>
      <c r="G1602" s="64">
        <v>42660</v>
      </c>
      <c r="H1602">
        <v>812.95</v>
      </c>
      <c r="I1602">
        <v>100.85435758656745</v>
      </c>
      <c r="J1602">
        <v>100.85435758656745</v>
      </c>
    </row>
    <row r="1603" spans="1:10" x14ac:dyDescent="0.25">
      <c r="A1603" s="36"/>
      <c r="B1603" t="s">
        <v>451</v>
      </c>
      <c r="C1603" s="64">
        <v>42661</v>
      </c>
      <c r="D1603">
        <v>199.1</v>
      </c>
      <c r="E1603">
        <v>100.894776494224</v>
      </c>
      <c r="F1603" t="s">
        <v>427</v>
      </c>
      <c r="G1603" s="64">
        <v>42661</v>
      </c>
      <c r="H1603">
        <v>817.65</v>
      </c>
      <c r="I1603">
        <v>100.85519476548646</v>
      </c>
      <c r="J1603">
        <v>100.85519476548646</v>
      </c>
    </row>
    <row r="1604" spans="1:10" x14ac:dyDescent="0.25">
      <c r="A1604" s="36"/>
      <c r="B1604" t="s">
        <v>451</v>
      </c>
      <c r="C1604" s="64">
        <v>42662</v>
      </c>
      <c r="D1604">
        <v>203.56</v>
      </c>
      <c r="E1604">
        <v>100.89708194144232</v>
      </c>
      <c r="F1604" t="s">
        <v>427</v>
      </c>
      <c r="G1604" s="64">
        <v>42662</v>
      </c>
      <c r="H1604">
        <v>817.69</v>
      </c>
      <c r="I1604">
        <v>100.85520184911152</v>
      </c>
      <c r="J1604">
        <v>100.85520184911152</v>
      </c>
    </row>
    <row r="1605" spans="1:10" x14ac:dyDescent="0.25">
      <c r="A1605" s="36"/>
      <c r="B1605" t="s">
        <v>451</v>
      </c>
      <c r="C1605" s="64">
        <v>42663</v>
      </c>
      <c r="D1605">
        <v>199.1</v>
      </c>
      <c r="E1605">
        <v>100.894776494224</v>
      </c>
      <c r="F1605" t="s">
        <v>427</v>
      </c>
      <c r="G1605" s="64">
        <v>42663</v>
      </c>
      <c r="H1605">
        <v>810.32</v>
      </c>
      <c r="I1605">
        <v>100.85388488498371</v>
      </c>
      <c r="J1605">
        <v>100.85388488498371</v>
      </c>
    </row>
    <row r="1606" spans="1:10" x14ac:dyDescent="0.25">
      <c r="A1606" s="36"/>
      <c r="B1606" t="s">
        <v>451</v>
      </c>
      <c r="C1606" s="64">
        <v>42664</v>
      </c>
      <c r="D1606">
        <v>200.09</v>
      </c>
      <c r="E1606">
        <v>100.89529711629767</v>
      </c>
      <c r="F1606" t="s">
        <v>427</v>
      </c>
      <c r="G1606" s="64">
        <v>42664</v>
      </c>
      <c r="H1606">
        <v>818.99</v>
      </c>
      <c r="I1606">
        <v>100.85543169025263</v>
      </c>
      <c r="J1606">
        <v>100.85543169025263</v>
      </c>
    </row>
    <row r="1607" spans="1:10" x14ac:dyDescent="0.25">
      <c r="A1607" s="36"/>
      <c r="B1607" t="s">
        <v>451</v>
      </c>
      <c r="C1607" s="64">
        <v>42667</v>
      </c>
      <c r="D1607">
        <v>202.76</v>
      </c>
      <c r="E1607">
        <v>100.89667587295324</v>
      </c>
      <c r="F1607" t="s">
        <v>427</v>
      </c>
      <c r="G1607" s="64">
        <v>42667</v>
      </c>
      <c r="H1607">
        <v>838.09</v>
      </c>
      <c r="I1607">
        <v>100.85872638976721</v>
      </c>
      <c r="J1607">
        <v>100.85872638976721</v>
      </c>
    </row>
    <row r="1608" spans="1:10" x14ac:dyDescent="0.25">
      <c r="A1608" s="36"/>
      <c r="B1608" t="s">
        <v>451</v>
      </c>
      <c r="C1608" s="64">
        <v>42668</v>
      </c>
      <c r="D1608">
        <v>202.34</v>
      </c>
      <c r="E1608">
        <v>100.89646140160127</v>
      </c>
      <c r="F1608" t="s">
        <v>427</v>
      </c>
      <c r="G1608" s="64">
        <v>42668</v>
      </c>
      <c r="H1608">
        <v>835.18</v>
      </c>
      <c r="I1608">
        <v>100.8582341531167</v>
      </c>
      <c r="J1608">
        <v>100.8582341531167</v>
      </c>
    </row>
    <row r="1609" spans="1:10" x14ac:dyDescent="0.25">
      <c r="A1609" s="36"/>
      <c r="B1609" t="s">
        <v>451</v>
      </c>
      <c r="C1609" s="64">
        <v>42669</v>
      </c>
      <c r="D1609">
        <v>202.24</v>
      </c>
      <c r="E1609">
        <v>100.8964102056962</v>
      </c>
      <c r="F1609" t="s">
        <v>427</v>
      </c>
      <c r="G1609" s="64">
        <v>42669</v>
      </c>
      <c r="H1609">
        <v>822.59</v>
      </c>
      <c r="I1609">
        <v>100.85606438201292</v>
      </c>
      <c r="J1609">
        <v>100.85606438201292</v>
      </c>
    </row>
    <row r="1610" spans="1:10" x14ac:dyDescent="0.25">
      <c r="A1610" s="36"/>
      <c r="B1610" t="s">
        <v>451</v>
      </c>
      <c r="C1610" s="64">
        <v>42670</v>
      </c>
      <c r="D1610">
        <v>204.01</v>
      </c>
      <c r="E1610">
        <v>100.89730895544336</v>
      </c>
      <c r="F1610" t="s">
        <v>427</v>
      </c>
      <c r="G1610" s="64">
        <v>42670</v>
      </c>
      <c r="H1610">
        <v>818.36</v>
      </c>
      <c r="I1610">
        <v>100.85532039689134</v>
      </c>
      <c r="J1610">
        <v>100.85532039689134</v>
      </c>
    </row>
    <row r="1611" spans="1:10" x14ac:dyDescent="0.25">
      <c r="A1611" s="36"/>
      <c r="B1611" t="s">
        <v>451</v>
      </c>
      <c r="C1611" s="64">
        <v>42671</v>
      </c>
      <c r="D1611">
        <v>199.97</v>
      </c>
      <c r="E1611">
        <v>100.89523428514278</v>
      </c>
      <c r="F1611" t="s">
        <v>427</v>
      </c>
      <c r="G1611" s="64">
        <v>42671</v>
      </c>
      <c r="H1611">
        <v>776.32</v>
      </c>
      <c r="I1611">
        <v>100.8474855729596</v>
      </c>
      <c r="J1611">
        <v>100.8474855729596</v>
      </c>
    </row>
    <row r="1612" spans="1:10" x14ac:dyDescent="0.25">
      <c r="A1612" s="36"/>
      <c r="B1612" t="s">
        <v>451</v>
      </c>
      <c r="C1612" s="64">
        <v>42674</v>
      </c>
      <c r="D1612">
        <v>197.73</v>
      </c>
      <c r="E1612">
        <v>100.89404743842614</v>
      </c>
      <c r="F1612" t="s">
        <v>427</v>
      </c>
      <c r="G1612" s="64">
        <v>42674</v>
      </c>
      <c r="H1612">
        <v>789.82</v>
      </c>
      <c r="I1612">
        <v>100.8500924261224</v>
      </c>
      <c r="J1612">
        <v>100.8500924261224</v>
      </c>
    </row>
    <row r="1613" spans="1:10" x14ac:dyDescent="0.25">
      <c r="A1613" s="36"/>
      <c r="B1613" t="s">
        <v>451</v>
      </c>
      <c r="C1613" s="64">
        <v>42675</v>
      </c>
      <c r="D1613">
        <v>190.79</v>
      </c>
      <c r="E1613">
        <v>100.89019340636301</v>
      </c>
      <c r="F1613" t="s">
        <v>427</v>
      </c>
      <c r="G1613" s="64">
        <v>42675</v>
      </c>
      <c r="H1613">
        <v>785.41</v>
      </c>
      <c r="I1613">
        <v>100.84925070982035</v>
      </c>
      <c r="J1613">
        <v>100.84925070982035</v>
      </c>
    </row>
    <row r="1614" spans="1:10" x14ac:dyDescent="0.25">
      <c r="A1614" s="36"/>
      <c r="B1614" t="s">
        <v>451</v>
      </c>
      <c r="C1614" s="64">
        <v>42676</v>
      </c>
      <c r="D1614">
        <v>188.02</v>
      </c>
      <c r="E1614">
        <v>100.88857568343794</v>
      </c>
      <c r="F1614" t="s">
        <v>427</v>
      </c>
      <c r="G1614" s="64">
        <v>42676</v>
      </c>
      <c r="H1614">
        <v>765.56</v>
      </c>
      <c r="I1614">
        <v>100.84534197188985</v>
      </c>
      <c r="J1614">
        <v>100.84534197188985</v>
      </c>
    </row>
    <row r="1615" spans="1:10" x14ac:dyDescent="0.25">
      <c r="A1615" s="36"/>
      <c r="B1615" t="s">
        <v>451</v>
      </c>
      <c r="C1615" s="64">
        <v>42677</v>
      </c>
      <c r="D1615">
        <v>187.42</v>
      </c>
      <c r="E1615">
        <v>100.88821897342866</v>
      </c>
      <c r="F1615" t="s">
        <v>427</v>
      </c>
      <c r="G1615" s="64">
        <v>42677</v>
      </c>
      <c r="H1615">
        <v>767.03</v>
      </c>
      <c r="I1615">
        <v>100.84563837138052</v>
      </c>
      <c r="J1615">
        <v>100.84563837138052</v>
      </c>
    </row>
    <row r="1616" spans="1:10" x14ac:dyDescent="0.25">
      <c r="A1616" s="36"/>
      <c r="B1616" t="s">
        <v>451</v>
      </c>
      <c r="C1616" s="64">
        <v>42678</v>
      </c>
      <c r="D1616">
        <v>190.56</v>
      </c>
      <c r="E1616">
        <v>100.89006087321579</v>
      </c>
      <c r="F1616" t="s">
        <v>427</v>
      </c>
      <c r="G1616" s="64">
        <v>42678</v>
      </c>
      <c r="H1616">
        <v>755.05</v>
      </c>
      <c r="I1616">
        <v>100.84318919276869</v>
      </c>
      <c r="J1616">
        <v>100.84318919276869</v>
      </c>
    </row>
    <row r="1617" spans="1:10" x14ac:dyDescent="0.25">
      <c r="A1617" s="36"/>
      <c r="B1617" t="s">
        <v>451</v>
      </c>
      <c r="C1617" s="64">
        <v>42681</v>
      </c>
      <c r="D1617">
        <v>193.21</v>
      </c>
      <c r="E1617">
        <v>100.89156875938099</v>
      </c>
      <c r="F1617" t="s">
        <v>427</v>
      </c>
      <c r="G1617" s="64">
        <v>42681</v>
      </c>
      <c r="H1617">
        <v>784.93</v>
      </c>
      <c r="I1617">
        <v>100.84915852369001</v>
      </c>
      <c r="J1617">
        <v>100.84915852369001</v>
      </c>
    </row>
    <row r="1618" spans="1:10" x14ac:dyDescent="0.25">
      <c r="A1618" s="36"/>
      <c r="B1618" t="s">
        <v>451</v>
      </c>
      <c r="C1618" s="64">
        <v>42682</v>
      </c>
      <c r="D1618">
        <v>194.94</v>
      </c>
      <c r="E1618">
        <v>100.89253103519032</v>
      </c>
      <c r="F1618" t="s">
        <v>427</v>
      </c>
      <c r="G1618" s="64">
        <v>42682</v>
      </c>
      <c r="H1618">
        <v>787.75</v>
      </c>
      <c r="I1618">
        <v>100.84969850841003</v>
      </c>
      <c r="J1618">
        <v>100.84969850841003</v>
      </c>
    </row>
    <row r="1619" spans="1:10" x14ac:dyDescent="0.25">
      <c r="A1619" s="36"/>
      <c r="B1619" t="s">
        <v>451</v>
      </c>
      <c r="C1619" s="64">
        <v>42683</v>
      </c>
      <c r="D1619">
        <v>190.06</v>
      </c>
      <c r="E1619">
        <v>100.88977165105756</v>
      </c>
      <c r="F1619" t="s">
        <v>427</v>
      </c>
      <c r="G1619" s="64">
        <v>42683</v>
      </c>
      <c r="H1619">
        <v>771.88</v>
      </c>
      <c r="I1619">
        <v>100.84660828107997</v>
      </c>
      <c r="J1619">
        <v>100.84660828107997</v>
      </c>
    </row>
    <row r="1620" spans="1:10" x14ac:dyDescent="0.25">
      <c r="A1620" s="36"/>
      <c r="B1620" t="s">
        <v>451</v>
      </c>
      <c r="C1620" s="64">
        <v>42684</v>
      </c>
      <c r="D1620">
        <v>185.35</v>
      </c>
      <c r="E1620">
        <v>100.88697059616941</v>
      </c>
      <c r="F1620" t="s">
        <v>427</v>
      </c>
      <c r="G1620" s="64">
        <v>42684</v>
      </c>
      <c r="H1620">
        <v>742.38</v>
      </c>
      <c r="I1620">
        <v>100.84051294485305</v>
      </c>
      <c r="J1620">
        <v>100.84051294485305</v>
      </c>
    </row>
    <row r="1621" spans="1:10" x14ac:dyDescent="0.25">
      <c r="A1621" s="36"/>
      <c r="B1621" t="s">
        <v>451</v>
      </c>
      <c r="C1621" s="64">
        <v>42685</v>
      </c>
      <c r="D1621">
        <v>188.56</v>
      </c>
      <c r="E1621">
        <v>100.8888947815019</v>
      </c>
      <c r="F1621" t="s">
        <v>427</v>
      </c>
      <c r="G1621" s="64">
        <v>42685</v>
      </c>
      <c r="H1621">
        <v>739.01</v>
      </c>
      <c r="I1621">
        <v>100.8397856591927</v>
      </c>
      <c r="J1621">
        <v>100.8397856591927</v>
      </c>
    </row>
    <row r="1622" spans="1:10" x14ac:dyDescent="0.25">
      <c r="A1622" s="36"/>
      <c r="B1622" t="s">
        <v>451</v>
      </c>
      <c r="C1622" s="64">
        <v>42688</v>
      </c>
      <c r="D1622">
        <v>181.45</v>
      </c>
      <c r="E1622">
        <v>100.88454119592174</v>
      </c>
      <c r="F1622" t="s">
        <v>427</v>
      </c>
      <c r="G1622" s="64">
        <v>42688</v>
      </c>
      <c r="H1622">
        <v>719.07</v>
      </c>
      <c r="I1622">
        <v>100.83534287343375</v>
      </c>
      <c r="J1622">
        <v>100.83534287343375</v>
      </c>
    </row>
    <row r="1623" spans="1:10" x14ac:dyDescent="0.25">
      <c r="A1623" s="36"/>
      <c r="B1623" t="s">
        <v>451</v>
      </c>
      <c r="C1623" s="64">
        <v>42689</v>
      </c>
      <c r="D1623">
        <v>183.77</v>
      </c>
      <c r="E1623">
        <v>100.88599880285139</v>
      </c>
      <c r="F1623" t="s">
        <v>427</v>
      </c>
      <c r="G1623" s="64">
        <v>42689</v>
      </c>
      <c r="H1623">
        <v>743.24</v>
      </c>
      <c r="I1623">
        <v>100.84069748667994</v>
      </c>
      <c r="J1623">
        <v>100.84069748667994</v>
      </c>
    </row>
    <row r="1624" spans="1:10" x14ac:dyDescent="0.25">
      <c r="A1624" s="36"/>
      <c r="B1624" t="s">
        <v>451</v>
      </c>
      <c r="C1624" s="64">
        <v>42690</v>
      </c>
      <c r="D1624">
        <v>183.93</v>
      </c>
      <c r="E1624">
        <v>100.88609797205459</v>
      </c>
      <c r="F1624" t="s">
        <v>427</v>
      </c>
      <c r="G1624" s="64">
        <v>42690</v>
      </c>
      <c r="H1624">
        <v>746.49</v>
      </c>
      <c r="I1624">
        <v>100.84139104341652</v>
      </c>
      <c r="J1624">
        <v>100.84139104341652</v>
      </c>
    </row>
    <row r="1625" spans="1:10" x14ac:dyDescent="0.25">
      <c r="A1625" s="36"/>
      <c r="B1625" t="s">
        <v>451</v>
      </c>
      <c r="C1625" s="64">
        <v>42691</v>
      </c>
      <c r="D1625">
        <v>188.66</v>
      </c>
      <c r="E1625">
        <v>100.88895367327467</v>
      </c>
      <c r="F1625" t="s">
        <v>427</v>
      </c>
      <c r="G1625" s="64">
        <v>42691</v>
      </c>
      <c r="H1625">
        <v>756.4</v>
      </c>
      <c r="I1625">
        <v>100.84346906398731</v>
      </c>
      <c r="J1625">
        <v>100.84346906398731</v>
      </c>
    </row>
    <row r="1626" spans="1:10" x14ac:dyDescent="0.25">
      <c r="A1626" s="36"/>
      <c r="B1626" t="s">
        <v>451</v>
      </c>
      <c r="C1626" s="64">
        <v>42692</v>
      </c>
      <c r="D1626">
        <v>185.02</v>
      </c>
      <c r="E1626">
        <v>100.88676899794616</v>
      </c>
      <c r="F1626" t="s">
        <v>427</v>
      </c>
      <c r="G1626" s="64">
        <v>42692</v>
      </c>
      <c r="H1626">
        <v>760.16</v>
      </c>
      <c r="I1626">
        <v>100.84424331719637</v>
      </c>
      <c r="J1626">
        <v>100.84424331719637</v>
      </c>
    </row>
    <row r="1627" spans="1:10" x14ac:dyDescent="0.25">
      <c r="A1627" s="36"/>
      <c r="B1627" t="s">
        <v>451</v>
      </c>
      <c r="C1627" s="64">
        <v>42695</v>
      </c>
      <c r="D1627">
        <v>184.52</v>
      </c>
      <c r="E1627">
        <v>100.88646217212226</v>
      </c>
      <c r="F1627" t="s">
        <v>427</v>
      </c>
      <c r="G1627" s="64">
        <v>42695</v>
      </c>
      <c r="H1627">
        <v>780</v>
      </c>
      <c r="I1627">
        <v>100.84820512820512</v>
      </c>
      <c r="J1627">
        <v>100.84820512820512</v>
      </c>
    </row>
    <row r="1628" spans="1:10" x14ac:dyDescent="0.25">
      <c r="A1628" s="36"/>
      <c r="B1628" t="s">
        <v>451</v>
      </c>
      <c r="C1628" s="64">
        <v>42696</v>
      </c>
      <c r="D1628">
        <v>191.17</v>
      </c>
      <c r="E1628">
        <v>100.89041167547209</v>
      </c>
      <c r="F1628" t="s">
        <v>427</v>
      </c>
      <c r="G1628" s="64">
        <v>42696</v>
      </c>
      <c r="H1628">
        <v>785.33</v>
      </c>
      <c r="I1628">
        <v>100.84923535329098</v>
      </c>
      <c r="J1628">
        <v>100.84923535329098</v>
      </c>
    </row>
    <row r="1629" spans="1:10" x14ac:dyDescent="0.25">
      <c r="A1629" s="36"/>
      <c r="B1629" t="s">
        <v>451</v>
      </c>
      <c r="C1629" s="64">
        <v>42697</v>
      </c>
      <c r="D1629">
        <v>193.14</v>
      </c>
      <c r="E1629">
        <v>100.89152946049498</v>
      </c>
      <c r="F1629" t="s">
        <v>427</v>
      </c>
      <c r="G1629" s="64">
        <v>42697</v>
      </c>
      <c r="H1629">
        <v>780.12</v>
      </c>
      <c r="I1629">
        <v>100.84822847767011</v>
      </c>
      <c r="J1629">
        <v>100.84822847767011</v>
      </c>
    </row>
    <row r="1630" spans="1:10" x14ac:dyDescent="0.25">
      <c r="A1630" s="36"/>
      <c r="B1630" t="s">
        <v>451</v>
      </c>
      <c r="C1630" s="64">
        <v>42699</v>
      </c>
      <c r="D1630">
        <v>196.65</v>
      </c>
      <c r="E1630">
        <v>100.89346554792779</v>
      </c>
      <c r="F1630" t="s">
        <v>427</v>
      </c>
      <c r="G1630" s="64">
        <v>42699</v>
      </c>
      <c r="H1630">
        <v>780.37</v>
      </c>
      <c r="I1630">
        <v>100.84827709932468</v>
      </c>
      <c r="J1630">
        <v>100.84827709932468</v>
      </c>
    </row>
    <row r="1631" spans="1:10" x14ac:dyDescent="0.25">
      <c r="A1631" s="36"/>
      <c r="B1631" t="s">
        <v>451</v>
      </c>
      <c r="C1631" s="64">
        <v>42702</v>
      </c>
      <c r="D1631">
        <v>196.12</v>
      </c>
      <c r="E1631">
        <v>100.89317764633897</v>
      </c>
      <c r="F1631" t="s">
        <v>427</v>
      </c>
      <c r="G1631" s="64">
        <v>42702</v>
      </c>
      <c r="H1631">
        <v>766.77</v>
      </c>
      <c r="I1631">
        <v>100.84558602970904</v>
      </c>
      <c r="J1631">
        <v>100.84558602970904</v>
      </c>
    </row>
    <row r="1632" spans="1:10" x14ac:dyDescent="0.25">
      <c r="A1632" s="36"/>
      <c r="B1632" t="s">
        <v>451</v>
      </c>
      <c r="C1632" s="64">
        <v>42703</v>
      </c>
      <c r="D1632">
        <v>189.57</v>
      </c>
      <c r="E1632">
        <v>100.88948673313288</v>
      </c>
      <c r="F1632" t="s">
        <v>427</v>
      </c>
      <c r="G1632" s="64">
        <v>42703</v>
      </c>
      <c r="H1632">
        <v>762.52</v>
      </c>
      <c r="I1632">
        <v>100.84472538425221</v>
      </c>
      <c r="J1632">
        <v>100.84472538425221</v>
      </c>
    </row>
    <row r="1633" spans="1:10" x14ac:dyDescent="0.25">
      <c r="A1633" s="36"/>
      <c r="B1633" t="s">
        <v>451</v>
      </c>
      <c r="C1633" s="64">
        <v>42704</v>
      </c>
      <c r="D1633">
        <v>189.4</v>
      </c>
      <c r="E1633">
        <v>100.88938753959873</v>
      </c>
      <c r="F1633" t="s">
        <v>427</v>
      </c>
      <c r="G1633" s="64">
        <v>42704</v>
      </c>
      <c r="H1633">
        <v>750.57</v>
      </c>
      <c r="I1633">
        <v>100.84225322088545</v>
      </c>
      <c r="J1633">
        <v>100.84225322088545</v>
      </c>
    </row>
    <row r="1634" spans="1:10" x14ac:dyDescent="0.25">
      <c r="A1634" s="36"/>
      <c r="B1634" t="s">
        <v>451</v>
      </c>
      <c r="C1634" s="64">
        <v>42705</v>
      </c>
      <c r="D1634">
        <v>181.88</v>
      </c>
      <c r="E1634">
        <v>100.88481416318452</v>
      </c>
      <c r="F1634" t="s">
        <v>427</v>
      </c>
      <c r="G1634" s="64">
        <v>42705</v>
      </c>
      <c r="H1634">
        <v>743.65</v>
      </c>
      <c r="I1634">
        <v>100.84078531567269</v>
      </c>
      <c r="J1634">
        <v>100.84078531567269</v>
      </c>
    </row>
    <row r="1635" spans="1:10" x14ac:dyDescent="0.25">
      <c r="A1635" s="36"/>
      <c r="B1635" t="s">
        <v>451</v>
      </c>
      <c r="C1635" s="64">
        <v>42706</v>
      </c>
      <c r="D1635">
        <v>181.47</v>
      </c>
      <c r="E1635">
        <v>100.88455392075825</v>
      </c>
      <c r="F1635" t="s">
        <v>427</v>
      </c>
      <c r="G1635" s="64">
        <v>42706</v>
      </c>
      <c r="H1635">
        <v>740.34</v>
      </c>
      <c r="I1635">
        <v>100.84007347975255</v>
      </c>
      <c r="J1635">
        <v>100.84007347975255</v>
      </c>
    </row>
    <row r="1636" spans="1:10" x14ac:dyDescent="0.25">
      <c r="A1636" s="36"/>
      <c r="B1636" t="s">
        <v>451</v>
      </c>
      <c r="C1636" s="64">
        <v>42709</v>
      </c>
      <c r="D1636">
        <v>186.8</v>
      </c>
      <c r="E1636">
        <v>100.88784796573876</v>
      </c>
      <c r="F1636" t="s">
        <v>427</v>
      </c>
      <c r="G1636" s="64">
        <v>42709</v>
      </c>
      <c r="H1636">
        <v>759.36</v>
      </c>
      <c r="I1636">
        <v>100.8440792246102</v>
      </c>
      <c r="J1636">
        <v>100.8440792246102</v>
      </c>
    </row>
    <row r="1637" spans="1:10" x14ac:dyDescent="0.25">
      <c r="A1637" s="36"/>
      <c r="B1637" t="s">
        <v>451</v>
      </c>
      <c r="C1637" s="64">
        <v>42710</v>
      </c>
      <c r="D1637">
        <v>185.85</v>
      </c>
      <c r="E1637">
        <v>100.88727468388485</v>
      </c>
      <c r="F1637" t="s">
        <v>427</v>
      </c>
      <c r="G1637" s="64">
        <v>42710</v>
      </c>
      <c r="H1637">
        <v>764.72</v>
      </c>
      <c r="I1637">
        <v>100.84517208913066</v>
      </c>
      <c r="J1637">
        <v>100.84517208913066</v>
      </c>
    </row>
    <row r="1638" spans="1:10" x14ac:dyDescent="0.25">
      <c r="A1638" s="36"/>
      <c r="B1638" t="s">
        <v>451</v>
      </c>
      <c r="C1638" s="64">
        <v>42711</v>
      </c>
      <c r="D1638">
        <v>193.15</v>
      </c>
      <c r="E1638">
        <v>100.89153507636551</v>
      </c>
      <c r="F1638" t="s">
        <v>427</v>
      </c>
      <c r="G1638" s="64">
        <v>42711</v>
      </c>
      <c r="H1638">
        <v>770.42</v>
      </c>
      <c r="I1638">
        <v>100.84631759300122</v>
      </c>
      <c r="J1638">
        <v>100.84631759300122</v>
      </c>
    </row>
    <row r="1639" spans="1:10" x14ac:dyDescent="0.25">
      <c r="A1639" s="36"/>
      <c r="B1639" t="s">
        <v>451</v>
      </c>
      <c r="C1639" s="64">
        <v>42712</v>
      </c>
      <c r="D1639">
        <v>192.29</v>
      </c>
      <c r="E1639">
        <v>100.89104997659784</v>
      </c>
      <c r="F1639" t="s">
        <v>427</v>
      </c>
      <c r="G1639" s="64">
        <v>42712</v>
      </c>
      <c r="H1639">
        <v>767.33</v>
      </c>
      <c r="I1639">
        <v>100.84569872154093</v>
      </c>
      <c r="J1639">
        <v>100.84569872154093</v>
      </c>
    </row>
    <row r="1640" spans="1:10" x14ac:dyDescent="0.25">
      <c r="A1640" s="36"/>
      <c r="B1640" t="s">
        <v>451</v>
      </c>
      <c r="C1640" s="64">
        <v>42713</v>
      </c>
      <c r="D1640">
        <v>192.18</v>
      </c>
      <c r="E1640">
        <v>100.89098761577688</v>
      </c>
      <c r="F1640" t="s">
        <v>427</v>
      </c>
      <c r="G1640" s="64">
        <v>42713</v>
      </c>
      <c r="H1640">
        <v>768.66</v>
      </c>
      <c r="I1640">
        <v>100.84596570655427</v>
      </c>
      <c r="J1640">
        <v>100.84596570655427</v>
      </c>
    </row>
    <row r="1641" spans="1:10" x14ac:dyDescent="0.25">
      <c r="A1641" s="36"/>
      <c r="B1641" t="s">
        <v>451</v>
      </c>
      <c r="C1641" s="64">
        <v>42716</v>
      </c>
      <c r="D1641">
        <v>192.43</v>
      </c>
      <c r="E1641">
        <v>100.89112924180222</v>
      </c>
      <c r="F1641" t="s">
        <v>427</v>
      </c>
      <c r="G1641" s="64">
        <v>42716</v>
      </c>
      <c r="H1641">
        <v>760.12</v>
      </c>
      <c r="I1641">
        <v>100.84423512077041</v>
      </c>
      <c r="J1641">
        <v>100.84423512077041</v>
      </c>
    </row>
    <row r="1642" spans="1:10" x14ac:dyDescent="0.25">
      <c r="A1642" s="36"/>
      <c r="B1642" t="s">
        <v>451</v>
      </c>
      <c r="C1642" s="64">
        <v>42717</v>
      </c>
      <c r="D1642">
        <v>198.15</v>
      </c>
      <c r="E1642">
        <v>100.89427201614939</v>
      </c>
      <c r="F1642" t="s">
        <v>427</v>
      </c>
      <c r="G1642" s="64">
        <v>42717</v>
      </c>
      <c r="H1642">
        <v>774.34</v>
      </c>
      <c r="I1642">
        <v>100.84709559108401</v>
      </c>
      <c r="J1642">
        <v>100.84709559108401</v>
      </c>
    </row>
    <row r="1643" spans="1:10" x14ac:dyDescent="0.25">
      <c r="A1643" s="36"/>
      <c r="B1643" t="s">
        <v>451</v>
      </c>
      <c r="C1643" s="64">
        <v>42718</v>
      </c>
      <c r="D1643">
        <v>198.69</v>
      </c>
      <c r="E1643">
        <v>100.89455936383311</v>
      </c>
      <c r="F1643" t="s">
        <v>427</v>
      </c>
      <c r="G1643" s="64">
        <v>42718</v>
      </c>
      <c r="H1643">
        <v>768.82</v>
      </c>
      <c r="I1643">
        <v>100.84599776280534</v>
      </c>
      <c r="J1643">
        <v>100.84599776280534</v>
      </c>
    </row>
    <row r="1644" spans="1:10" x14ac:dyDescent="0.25">
      <c r="A1644" s="36"/>
      <c r="B1644" t="s">
        <v>451</v>
      </c>
      <c r="C1644" s="64">
        <v>42719</v>
      </c>
      <c r="D1644">
        <v>197.58</v>
      </c>
      <c r="E1644">
        <v>100.89396700070857</v>
      </c>
      <c r="F1644" t="s">
        <v>427</v>
      </c>
      <c r="G1644" s="64">
        <v>42719</v>
      </c>
      <c r="H1644">
        <v>761</v>
      </c>
      <c r="I1644">
        <v>100.84441524310118</v>
      </c>
      <c r="J1644">
        <v>100.84441524310118</v>
      </c>
    </row>
    <row r="1645" spans="1:10" x14ac:dyDescent="0.25">
      <c r="A1645" s="36"/>
      <c r="B1645" t="s">
        <v>451</v>
      </c>
      <c r="C1645" s="64">
        <v>42720</v>
      </c>
      <c r="D1645">
        <v>202.49</v>
      </c>
      <c r="E1645">
        <v>100.89653810064695</v>
      </c>
      <c r="F1645" t="s">
        <v>427</v>
      </c>
      <c r="G1645" s="64">
        <v>42720</v>
      </c>
      <c r="H1645">
        <v>757.77</v>
      </c>
      <c r="I1645">
        <v>100.84375206197132</v>
      </c>
      <c r="J1645">
        <v>100.84375206197132</v>
      </c>
    </row>
    <row r="1646" spans="1:10" x14ac:dyDescent="0.25">
      <c r="A1646" s="36"/>
      <c r="B1646" t="s">
        <v>451</v>
      </c>
      <c r="C1646" s="64">
        <v>42723</v>
      </c>
      <c r="D1646">
        <v>202.73</v>
      </c>
      <c r="E1646">
        <v>100.89666058304148</v>
      </c>
      <c r="F1646" t="s">
        <v>427</v>
      </c>
      <c r="G1646" s="64">
        <v>42723</v>
      </c>
      <c r="H1646">
        <v>766</v>
      </c>
      <c r="I1646">
        <v>100.84543080939947</v>
      </c>
      <c r="J1646">
        <v>100.84543080939947</v>
      </c>
    </row>
    <row r="1647" spans="1:10" x14ac:dyDescent="0.25">
      <c r="A1647" s="36"/>
      <c r="B1647" t="s">
        <v>451</v>
      </c>
      <c r="C1647" s="64">
        <v>42724</v>
      </c>
      <c r="D1647">
        <v>208.79</v>
      </c>
      <c r="E1647">
        <v>100.89965994539969</v>
      </c>
      <c r="F1647" t="s">
        <v>427</v>
      </c>
      <c r="G1647" s="64">
        <v>42724</v>
      </c>
      <c r="H1647">
        <v>771.22</v>
      </c>
      <c r="I1647">
        <v>100.84647701045097</v>
      </c>
      <c r="J1647">
        <v>100.84647701045097</v>
      </c>
    </row>
    <row r="1648" spans="1:10" x14ac:dyDescent="0.25">
      <c r="A1648" s="36"/>
      <c r="B1648" t="s">
        <v>451</v>
      </c>
      <c r="C1648" s="64">
        <v>42725</v>
      </c>
      <c r="D1648">
        <v>207.7</v>
      </c>
      <c r="E1648">
        <v>100.89913336543091</v>
      </c>
      <c r="F1648" t="s">
        <v>427</v>
      </c>
      <c r="G1648" s="64">
        <v>42725</v>
      </c>
      <c r="H1648">
        <v>770.6</v>
      </c>
      <c r="I1648">
        <v>100.8463534907864</v>
      </c>
      <c r="J1648">
        <v>100.8463534907864</v>
      </c>
    </row>
    <row r="1649" spans="1:10" x14ac:dyDescent="0.25">
      <c r="A1649" s="36"/>
      <c r="B1649" t="s">
        <v>451</v>
      </c>
      <c r="C1649" s="64">
        <v>42726</v>
      </c>
      <c r="D1649">
        <v>208.45</v>
      </c>
      <c r="E1649">
        <v>100.89949628208204</v>
      </c>
      <c r="F1649" t="s">
        <v>427</v>
      </c>
      <c r="G1649" s="64">
        <v>42726</v>
      </c>
      <c r="H1649">
        <v>766.34</v>
      </c>
      <c r="I1649">
        <v>100.8454993866952</v>
      </c>
      <c r="J1649">
        <v>100.8454993866952</v>
      </c>
    </row>
    <row r="1650" spans="1:10" x14ac:dyDescent="0.25">
      <c r="A1650" s="36"/>
      <c r="B1650" t="s">
        <v>451</v>
      </c>
      <c r="C1650" s="64">
        <v>42727</v>
      </c>
      <c r="D1650">
        <v>213.34</v>
      </c>
      <c r="E1650">
        <v>100.90179994375175</v>
      </c>
      <c r="F1650" t="s">
        <v>427</v>
      </c>
      <c r="G1650" s="64">
        <v>42727</v>
      </c>
      <c r="H1650">
        <v>760.59</v>
      </c>
      <c r="I1650">
        <v>100.84433137432782</v>
      </c>
      <c r="J1650">
        <v>100.84433137432782</v>
      </c>
    </row>
    <row r="1651" spans="1:10" x14ac:dyDescent="0.25">
      <c r="A1651" s="36"/>
      <c r="B1651" t="s">
        <v>451</v>
      </c>
      <c r="C1651" s="64">
        <v>42731</v>
      </c>
      <c r="D1651">
        <v>219.53</v>
      </c>
      <c r="E1651">
        <v>100.90456885163759</v>
      </c>
      <c r="F1651" t="s">
        <v>427</v>
      </c>
      <c r="G1651" s="64">
        <v>42731</v>
      </c>
      <c r="H1651">
        <v>771.4</v>
      </c>
      <c r="I1651">
        <v>100.84651283380866</v>
      </c>
      <c r="J1651">
        <v>100.84651283380866</v>
      </c>
    </row>
    <row r="1652" spans="1:10" x14ac:dyDescent="0.25">
      <c r="A1652" s="36"/>
      <c r="B1652" t="s">
        <v>451</v>
      </c>
      <c r="C1652" s="64">
        <v>42732</v>
      </c>
      <c r="D1652">
        <v>219.74</v>
      </c>
      <c r="E1652">
        <v>100.90466005278967</v>
      </c>
      <c r="F1652" t="s">
        <v>427</v>
      </c>
      <c r="G1652" s="64">
        <v>42732</v>
      </c>
      <c r="H1652">
        <v>772.13</v>
      </c>
      <c r="I1652">
        <v>100.84665794620076</v>
      </c>
      <c r="J1652">
        <v>100.84665794620076</v>
      </c>
    </row>
    <row r="1653" spans="1:10" x14ac:dyDescent="0.25">
      <c r="A1653" s="36"/>
      <c r="B1653" t="s">
        <v>451</v>
      </c>
      <c r="C1653" s="64">
        <v>42733</v>
      </c>
      <c r="D1653">
        <v>214.68</v>
      </c>
      <c r="E1653">
        <v>100.9024128936091</v>
      </c>
      <c r="F1653" t="s">
        <v>427</v>
      </c>
      <c r="G1653" s="64">
        <v>42733</v>
      </c>
      <c r="H1653">
        <v>765.15</v>
      </c>
      <c r="I1653">
        <v>100.84525909952296</v>
      </c>
      <c r="J1653">
        <v>100.84525909952296</v>
      </c>
    </row>
    <row r="1654" spans="1:10" x14ac:dyDescent="0.25">
      <c r="A1654" s="36"/>
      <c r="B1654" t="s">
        <v>451</v>
      </c>
      <c r="C1654" s="64">
        <v>42734</v>
      </c>
      <c r="D1654">
        <v>213.69</v>
      </c>
      <c r="E1654">
        <v>100.90196078431373</v>
      </c>
      <c r="F1654" t="s">
        <v>427</v>
      </c>
      <c r="G1654" s="64">
        <v>42734</v>
      </c>
      <c r="H1654">
        <v>749.87</v>
      </c>
      <c r="I1654">
        <v>100.84210596503394</v>
      </c>
      <c r="J1654">
        <v>100.84210596503394</v>
      </c>
    </row>
    <row r="1655" spans="1:10" x14ac:dyDescent="0.25">
      <c r="A1655" s="36"/>
      <c r="B1655" t="s">
        <v>451</v>
      </c>
      <c r="C1655" s="64">
        <v>42738</v>
      </c>
      <c r="D1655">
        <v>216.99</v>
      </c>
      <c r="E1655">
        <v>100.90345177197106</v>
      </c>
      <c r="F1655" t="s">
        <v>427</v>
      </c>
      <c r="G1655" s="64">
        <v>42738</v>
      </c>
      <c r="H1655">
        <v>753.67</v>
      </c>
      <c r="I1655">
        <v>100.84290206589091</v>
      </c>
      <c r="J1655">
        <v>100.84290206589091</v>
      </c>
    </row>
    <row r="1656" spans="1:10" x14ac:dyDescent="0.25">
      <c r="A1656" s="36"/>
      <c r="B1656" t="s">
        <v>451</v>
      </c>
      <c r="C1656" s="64">
        <v>42739</v>
      </c>
      <c r="D1656">
        <v>226.99</v>
      </c>
      <c r="E1656">
        <v>100.90770518525045</v>
      </c>
      <c r="F1656" t="s">
        <v>427</v>
      </c>
      <c r="G1656" s="64">
        <v>42739</v>
      </c>
      <c r="H1656">
        <v>757.18</v>
      </c>
      <c r="I1656">
        <v>100.84363031247524</v>
      </c>
      <c r="J1656">
        <v>100.84363031247524</v>
      </c>
    </row>
    <row r="1657" spans="1:10" x14ac:dyDescent="0.25">
      <c r="A1657" s="36"/>
      <c r="B1657" t="s">
        <v>451</v>
      </c>
      <c r="C1657" s="64">
        <v>42740</v>
      </c>
      <c r="D1657">
        <v>226.75</v>
      </c>
      <c r="E1657">
        <v>100.90760749724366</v>
      </c>
      <c r="F1657" t="s">
        <v>427</v>
      </c>
      <c r="G1657" s="64">
        <v>42740</v>
      </c>
      <c r="H1657">
        <v>780.45</v>
      </c>
      <c r="I1657">
        <v>100.84829265167532</v>
      </c>
      <c r="J1657">
        <v>100.84829265167532</v>
      </c>
    </row>
    <row r="1658" spans="1:10" x14ac:dyDescent="0.25">
      <c r="A1658" s="36"/>
      <c r="B1658" t="s">
        <v>451</v>
      </c>
      <c r="C1658" s="64">
        <v>42741</v>
      </c>
      <c r="D1658">
        <v>229.01</v>
      </c>
      <c r="E1658">
        <v>100.90851927863412</v>
      </c>
      <c r="F1658" t="s">
        <v>427</v>
      </c>
      <c r="G1658" s="64">
        <v>42741</v>
      </c>
      <c r="H1658">
        <v>795.99</v>
      </c>
      <c r="I1658">
        <v>100.85125441274388</v>
      </c>
      <c r="J1658">
        <v>100.85125441274388</v>
      </c>
    </row>
    <row r="1659" spans="1:10" x14ac:dyDescent="0.25">
      <c r="A1659" s="36"/>
      <c r="B1659" t="s">
        <v>451</v>
      </c>
      <c r="C1659" s="64">
        <v>42744</v>
      </c>
      <c r="D1659">
        <v>231.28</v>
      </c>
      <c r="E1659">
        <v>100.90941715669318</v>
      </c>
      <c r="F1659" t="s">
        <v>427</v>
      </c>
      <c r="G1659" s="64">
        <v>42744</v>
      </c>
      <c r="H1659">
        <v>796.92</v>
      </c>
      <c r="I1659">
        <v>100.8514279977915</v>
      </c>
      <c r="J1659">
        <v>100.8514279977915</v>
      </c>
    </row>
    <row r="1660" spans="1:10" x14ac:dyDescent="0.25">
      <c r="A1660" s="36"/>
      <c r="B1660" t="s">
        <v>451</v>
      </c>
      <c r="C1660" s="64">
        <v>42745</v>
      </c>
      <c r="D1660">
        <v>229.87</v>
      </c>
      <c r="E1660">
        <v>100.90886153043024</v>
      </c>
      <c r="F1660" t="s">
        <v>427</v>
      </c>
      <c r="G1660" s="64">
        <v>42745</v>
      </c>
      <c r="H1660">
        <v>795.9</v>
      </c>
      <c r="I1660">
        <v>100.8512375926624</v>
      </c>
      <c r="J1660">
        <v>100.8512375926624</v>
      </c>
    </row>
    <row r="1661" spans="1:10" x14ac:dyDescent="0.25">
      <c r="A1661" s="36"/>
      <c r="B1661" t="s">
        <v>451</v>
      </c>
      <c r="C1661" s="64">
        <v>42746</v>
      </c>
      <c r="D1661">
        <v>229.73</v>
      </c>
      <c r="E1661">
        <v>100.90880598964002</v>
      </c>
      <c r="F1661" t="s">
        <v>427</v>
      </c>
      <c r="G1661" s="64">
        <v>42746</v>
      </c>
      <c r="H1661">
        <v>799.02</v>
      </c>
      <c r="I1661">
        <v>100.85181847763511</v>
      </c>
      <c r="J1661">
        <v>100.85181847763511</v>
      </c>
    </row>
    <row r="1662" spans="1:10" x14ac:dyDescent="0.25">
      <c r="A1662" s="36"/>
      <c r="B1662" t="s">
        <v>451</v>
      </c>
      <c r="C1662" s="64">
        <v>42747</v>
      </c>
      <c r="D1662">
        <v>229.59</v>
      </c>
      <c r="E1662">
        <v>100.90875038111416</v>
      </c>
      <c r="F1662" t="s">
        <v>427</v>
      </c>
      <c r="G1662" s="64">
        <v>42747</v>
      </c>
      <c r="H1662">
        <v>813.64</v>
      </c>
      <c r="I1662">
        <v>100.85448109729118</v>
      </c>
      <c r="J1662">
        <v>100.85448109729118</v>
      </c>
    </row>
    <row r="1663" spans="1:10" x14ac:dyDescent="0.25">
      <c r="A1663" s="36"/>
      <c r="B1663" t="s">
        <v>451</v>
      </c>
      <c r="C1663" s="64">
        <v>42748</v>
      </c>
      <c r="D1663">
        <v>237.75</v>
      </c>
      <c r="E1663">
        <v>100.91188222923239</v>
      </c>
      <c r="F1663" t="s">
        <v>427</v>
      </c>
      <c r="G1663" s="64">
        <v>42748</v>
      </c>
      <c r="H1663">
        <v>817.14</v>
      </c>
      <c r="I1663">
        <v>100.85510438847689</v>
      </c>
      <c r="J1663">
        <v>100.85510438847689</v>
      </c>
    </row>
    <row r="1664" spans="1:10" x14ac:dyDescent="0.25">
      <c r="A1664" s="36"/>
      <c r="B1664" t="s">
        <v>451</v>
      </c>
      <c r="C1664" s="64">
        <v>42752</v>
      </c>
      <c r="D1664">
        <v>235.58</v>
      </c>
      <c r="E1664">
        <v>100.91107054928263</v>
      </c>
      <c r="F1664" t="s">
        <v>427</v>
      </c>
      <c r="G1664" s="64">
        <v>42752</v>
      </c>
      <c r="H1664">
        <v>809.72</v>
      </c>
      <c r="I1664">
        <v>100.85377661413823</v>
      </c>
      <c r="J1664">
        <v>100.85377661413823</v>
      </c>
    </row>
    <row r="1665" spans="1:10" x14ac:dyDescent="0.25">
      <c r="A1665" s="36"/>
      <c r="B1665" t="s">
        <v>451</v>
      </c>
      <c r="C1665" s="64">
        <v>42753</v>
      </c>
      <c r="D1665">
        <v>238.36</v>
      </c>
      <c r="E1665">
        <v>100.91210773619734</v>
      </c>
      <c r="F1665" t="s">
        <v>427</v>
      </c>
      <c r="G1665" s="64">
        <v>42753</v>
      </c>
      <c r="H1665">
        <v>807.48</v>
      </c>
      <c r="I1665">
        <v>100.85337098132462</v>
      </c>
      <c r="J1665">
        <v>100.85337098132462</v>
      </c>
    </row>
    <row r="1666" spans="1:10" x14ac:dyDescent="0.25">
      <c r="A1666" s="36"/>
      <c r="B1666" t="s">
        <v>451</v>
      </c>
      <c r="C1666" s="64">
        <v>42754</v>
      </c>
      <c r="D1666">
        <v>243.76</v>
      </c>
      <c r="E1666">
        <v>100.91405480800788</v>
      </c>
      <c r="F1666" t="s">
        <v>427</v>
      </c>
      <c r="G1666" s="64">
        <v>42754</v>
      </c>
      <c r="H1666">
        <v>809.04</v>
      </c>
      <c r="I1666">
        <v>100.85365371304262</v>
      </c>
      <c r="J1666">
        <v>100.85365371304262</v>
      </c>
    </row>
    <row r="1667" spans="1:10" x14ac:dyDescent="0.25">
      <c r="A1667" s="36"/>
      <c r="B1667" t="s">
        <v>451</v>
      </c>
      <c r="C1667" s="64">
        <v>42755</v>
      </c>
      <c r="D1667">
        <v>244.73</v>
      </c>
      <c r="E1667">
        <v>100.91439545621705</v>
      </c>
      <c r="F1667" t="s">
        <v>427</v>
      </c>
      <c r="G1667" s="64">
        <v>42755</v>
      </c>
      <c r="H1667">
        <v>808.33</v>
      </c>
      <c r="I1667">
        <v>100.85352516917595</v>
      </c>
      <c r="J1667">
        <v>100.85352516917595</v>
      </c>
    </row>
    <row r="1668" spans="1:10" x14ac:dyDescent="0.25">
      <c r="A1668" s="36"/>
      <c r="B1668" t="s">
        <v>451</v>
      </c>
      <c r="C1668" s="64">
        <v>42758</v>
      </c>
      <c r="D1668">
        <v>248.92</v>
      </c>
      <c r="E1668">
        <v>100.91583641330548</v>
      </c>
      <c r="F1668" t="s">
        <v>427</v>
      </c>
      <c r="G1668" s="64">
        <v>42758</v>
      </c>
      <c r="H1668">
        <v>817.88</v>
      </c>
      <c r="I1668">
        <v>100.85523548686849</v>
      </c>
      <c r="J1668">
        <v>100.85523548686849</v>
      </c>
    </row>
    <row r="1669" spans="1:10" x14ac:dyDescent="0.25">
      <c r="A1669" s="36"/>
      <c r="B1669" t="s">
        <v>451</v>
      </c>
      <c r="C1669" s="64">
        <v>42759</v>
      </c>
      <c r="D1669">
        <v>254.61</v>
      </c>
      <c r="E1669">
        <v>100.91771729311496</v>
      </c>
      <c r="F1669" t="s">
        <v>427</v>
      </c>
      <c r="G1669" s="64">
        <v>42759</v>
      </c>
      <c r="H1669">
        <v>822.44</v>
      </c>
      <c r="I1669">
        <v>100.85603813044112</v>
      </c>
      <c r="J1669">
        <v>100.85603813044112</v>
      </c>
    </row>
    <row r="1670" spans="1:10" x14ac:dyDescent="0.25">
      <c r="A1670" s="36"/>
      <c r="B1670" t="s">
        <v>451</v>
      </c>
      <c r="C1670" s="64">
        <v>42760</v>
      </c>
      <c r="D1670">
        <v>254.47</v>
      </c>
      <c r="E1670">
        <v>100.91767202420718</v>
      </c>
      <c r="F1670" t="s">
        <v>427</v>
      </c>
      <c r="G1670" s="64">
        <v>42760</v>
      </c>
      <c r="H1670">
        <v>836.52</v>
      </c>
      <c r="I1670">
        <v>100.85846124420218</v>
      </c>
      <c r="J1670">
        <v>100.85846124420218</v>
      </c>
    </row>
    <row r="1671" spans="1:10" x14ac:dyDescent="0.25">
      <c r="A1671" s="36"/>
      <c r="B1671" t="s">
        <v>451</v>
      </c>
      <c r="C1671" s="64">
        <v>42761</v>
      </c>
      <c r="D1671">
        <v>252.51</v>
      </c>
      <c r="E1671">
        <v>100.91703298879253</v>
      </c>
      <c r="F1671" t="s">
        <v>427</v>
      </c>
      <c r="G1671" s="64">
        <v>42761</v>
      </c>
      <c r="H1671">
        <v>839.15</v>
      </c>
      <c r="I1671">
        <v>100.85890484418758</v>
      </c>
      <c r="J1671">
        <v>100.85890484418758</v>
      </c>
    </row>
    <row r="1672" spans="1:10" x14ac:dyDescent="0.25">
      <c r="A1672" s="36"/>
      <c r="B1672" t="s">
        <v>451</v>
      </c>
      <c r="C1672" s="64">
        <v>42762</v>
      </c>
      <c r="D1672">
        <v>252.95</v>
      </c>
      <c r="E1672">
        <v>100.91717730776833</v>
      </c>
      <c r="F1672" t="s">
        <v>427</v>
      </c>
      <c r="G1672" s="64">
        <v>42762</v>
      </c>
      <c r="H1672">
        <v>835.77</v>
      </c>
      <c r="I1672">
        <v>100.8583342307094</v>
      </c>
      <c r="J1672">
        <v>100.8583342307094</v>
      </c>
    </row>
    <row r="1673" spans="1:10" x14ac:dyDescent="0.25">
      <c r="A1673" s="36"/>
      <c r="B1673" t="s">
        <v>451</v>
      </c>
      <c r="C1673" s="64">
        <v>42765</v>
      </c>
      <c r="D1673">
        <v>250.63</v>
      </c>
      <c r="E1673">
        <v>100.91641064517417</v>
      </c>
      <c r="F1673" t="s">
        <v>427</v>
      </c>
      <c r="G1673" s="64">
        <v>42765</v>
      </c>
      <c r="H1673">
        <v>830.38</v>
      </c>
      <c r="I1673">
        <v>100.85741467761747</v>
      </c>
      <c r="J1673">
        <v>100.85741467761747</v>
      </c>
    </row>
    <row r="1674" spans="1:10" x14ac:dyDescent="0.25">
      <c r="A1674" s="36"/>
      <c r="B1674" t="s">
        <v>451</v>
      </c>
      <c r="C1674" s="64">
        <v>42766</v>
      </c>
      <c r="D1674">
        <v>251.93</v>
      </c>
      <c r="E1674">
        <v>100.91684197991506</v>
      </c>
      <c r="F1674" t="s">
        <v>427</v>
      </c>
      <c r="G1674" s="64">
        <v>42766</v>
      </c>
      <c r="H1674">
        <v>823.48</v>
      </c>
      <c r="I1674">
        <v>100.85621994462525</v>
      </c>
      <c r="J1674">
        <v>100.85621994462525</v>
      </c>
    </row>
    <row r="1675" spans="1:10" x14ac:dyDescent="0.25">
      <c r="A1675" s="36"/>
      <c r="B1675" t="s">
        <v>451</v>
      </c>
      <c r="C1675" s="64">
        <v>42767</v>
      </c>
      <c r="D1675">
        <v>249.24</v>
      </c>
      <c r="E1675">
        <v>100.91594447119242</v>
      </c>
      <c r="F1675" t="s">
        <v>427</v>
      </c>
      <c r="G1675" s="64">
        <v>42767</v>
      </c>
      <c r="H1675">
        <v>832.35</v>
      </c>
      <c r="I1675">
        <v>100.85775214753409</v>
      </c>
      <c r="J1675">
        <v>100.85775214753409</v>
      </c>
    </row>
    <row r="1676" spans="1:10" x14ac:dyDescent="0.25">
      <c r="A1676" s="36"/>
      <c r="B1676" t="s">
        <v>451</v>
      </c>
      <c r="C1676" s="64">
        <v>42768</v>
      </c>
      <c r="D1676">
        <v>251.55</v>
      </c>
      <c r="E1676">
        <v>100.91671635857682</v>
      </c>
      <c r="F1676" t="s">
        <v>427</v>
      </c>
      <c r="G1676" s="64">
        <v>42768</v>
      </c>
      <c r="H1676">
        <v>839.95</v>
      </c>
      <c r="I1676">
        <v>100.8590392285255</v>
      </c>
      <c r="J1676">
        <v>100.8590392285255</v>
      </c>
    </row>
    <row r="1677" spans="1:10" x14ac:dyDescent="0.25">
      <c r="A1677" s="36"/>
      <c r="B1677" t="s">
        <v>451</v>
      </c>
      <c r="C1677" s="64">
        <v>42769</v>
      </c>
      <c r="D1677">
        <v>251.33</v>
      </c>
      <c r="E1677">
        <v>100.91664345680977</v>
      </c>
      <c r="F1677" t="s">
        <v>427</v>
      </c>
      <c r="G1677" s="64">
        <v>42769</v>
      </c>
      <c r="H1677">
        <v>810.2</v>
      </c>
      <c r="I1677">
        <v>100.85386324364354</v>
      </c>
      <c r="J1677">
        <v>100.85386324364354</v>
      </c>
    </row>
    <row r="1678" spans="1:10" x14ac:dyDescent="0.25">
      <c r="A1678" s="36"/>
      <c r="B1678" t="s">
        <v>451</v>
      </c>
      <c r="C1678" s="64">
        <v>42772</v>
      </c>
      <c r="D1678">
        <v>257.77</v>
      </c>
      <c r="E1678">
        <v>100.91872599604298</v>
      </c>
      <c r="F1678" t="s">
        <v>427</v>
      </c>
      <c r="G1678" s="64">
        <v>42772</v>
      </c>
      <c r="H1678">
        <v>807.64</v>
      </c>
      <c r="I1678">
        <v>100.85340002971621</v>
      </c>
      <c r="J1678">
        <v>100.85340002971621</v>
      </c>
    </row>
    <row r="1679" spans="1:10" x14ac:dyDescent="0.25">
      <c r="A1679" s="36"/>
      <c r="B1679" t="s">
        <v>451</v>
      </c>
      <c r="C1679" s="64">
        <v>42773</v>
      </c>
      <c r="D1679">
        <v>257.48</v>
      </c>
      <c r="E1679">
        <v>100.9186344570452</v>
      </c>
      <c r="F1679" t="s">
        <v>427</v>
      </c>
      <c r="G1679" s="64">
        <v>42773</v>
      </c>
      <c r="H1679">
        <v>812.5</v>
      </c>
      <c r="I1679">
        <v>100.85427692307692</v>
      </c>
      <c r="J1679">
        <v>100.85427692307692</v>
      </c>
    </row>
    <row r="1680" spans="1:10" x14ac:dyDescent="0.25">
      <c r="A1680" s="36"/>
      <c r="B1680" t="s">
        <v>451</v>
      </c>
      <c r="C1680" s="64">
        <v>42774</v>
      </c>
      <c r="D1680">
        <v>262.08</v>
      </c>
      <c r="E1680">
        <v>100.92006257631257</v>
      </c>
      <c r="F1680" t="s">
        <v>427</v>
      </c>
      <c r="G1680" s="64">
        <v>42774</v>
      </c>
      <c r="H1680">
        <v>819.71</v>
      </c>
      <c r="I1680">
        <v>100.85555867318929</v>
      </c>
      <c r="J1680">
        <v>100.85555867318929</v>
      </c>
    </row>
    <row r="1681" spans="1:10" x14ac:dyDescent="0.25">
      <c r="A1681" s="36"/>
      <c r="B1681" t="s">
        <v>451</v>
      </c>
      <c r="C1681" s="64">
        <v>42775</v>
      </c>
      <c r="D1681">
        <v>269.2</v>
      </c>
      <c r="E1681">
        <v>100.92217682020802</v>
      </c>
      <c r="F1681" t="s">
        <v>427</v>
      </c>
      <c r="G1681" s="64">
        <v>42775</v>
      </c>
      <c r="H1681">
        <v>821.36</v>
      </c>
      <c r="I1681">
        <v>100.85584883607675</v>
      </c>
      <c r="J1681">
        <v>100.85584883607675</v>
      </c>
    </row>
    <row r="1682" spans="1:10" x14ac:dyDescent="0.25">
      <c r="A1682" s="36"/>
      <c r="B1682" t="s">
        <v>451</v>
      </c>
      <c r="C1682" s="64">
        <v>42776</v>
      </c>
      <c r="D1682">
        <v>269.23</v>
      </c>
      <c r="E1682">
        <v>100.92218549195854</v>
      </c>
      <c r="F1682" t="s">
        <v>427</v>
      </c>
      <c r="G1682" s="64">
        <v>42776</v>
      </c>
      <c r="H1682">
        <v>827.46</v>
      </c>
      <c r="I1682">
        <v>100.85691151233897</v>
      </c>
      <c r="J1682">
        <v>100.85691151233897</v>
      </c>
    </row>
    <row r="1683" spans="1:10" x14ac:dyDescent="0.25">
      <c r="A1683" s="36"/>
      <c r="B1683" t="s">
        <v>451</v>
      </c>
      <c r="C1683" s="64">
        <v>42779</v>
      </c>
      <c r="D1683">
        <v>280.60000000000002</v>
      </c>
      <c r="E1683">
        <v>100.92533856022808</v>
      </c>
      <c r="F1683" t="s">
        <v>427</v>
      </c>
      <c r="G1683" s="64">
        <v>42779</v>
      </c>
      <c r="H1683">
        <v>836.53</v>
      </c>
      <c r="I1683">
        <v>100.85846293617682</v>
      </c>
      <c r="J1683">
        <v>100.85846293617682</v>
      </c>
    </row>
    <row r="1684" spans="1:10" x14ac:dyDescent="0.25">
      <c r="A1684" s="36"/>
      <c r="B1684" t="s">
        <v>451</v>
      </c>
      <c r="C1684" s="64">
        <v>42780</v>
      </c>
      <c r="D1684">
        <v>280.98</v>
      </c>
      <c r="E1684">
        <v>100.92543953306286</v>
      </c>
      <c r="F1684" t="s">
        <v>427</v>
      </c>
      <c r="G1684" s="64">
        <v>42780</v>
      </c>
      <c r="H1684">
        <v>836.39</v>
      </c>
      <c r="I1684">
        <v>100.85843924484989</v>
      </c>
      <c r="J1684">
        <v>100.85843924484989</v>
      </c>
    </row>
    <row r="1685" spans="1:10" x14ac:dyDescent="0.25">
      <c r="A1685" s="36"/>
      <c r="B1685" t="s">
        <v>451</v>
      </c>
      <c r="C1685" s="64">
        <v>42781</v>
      </c>
      <c r="D1685">
        <v>279.76</v>
      </c>
      <c r="E1685">
        <v>100.9251143837575</v>
      </c>
      <c r="F1685" t="s">
        <v>427</v>
      </c>
      <c r="G1685" s="64">
        <v>42781</v>
      </c>
      <c r="H1685">
        <v>842.7</v>
      </c>
      <c r="I1685">
        <v>100.85949922866975</v>
      </c>
      <c r="J1685">
        <v>100.85949922866975</v>
      </c>
    </row>
    <row r="1686" spans="1:10" x14ac:dyDescent="0.25">
      <c r="A1686" s="36"/>
      <c r="B1686" t="s">
        <v>451</v>
      </c>
      <c r="C1686" s="64">
        <v>42782</v>
      </c>
      <c r="D1686">
        <v>268.95</v>
      </c>
      <c r="E1686">
        <v>100.92210448038669</v>
      </c>
      <c r="F1686" t="s">
        <v>427</v>
      </c>
      <c r="G1686" s="64">
        <v>42782</v>
      </c>
      <c r="H1686">
        <v>844.14</v>
      </c>
      <c r="I1686">
        <v>100.8597389058687</v>
      </c>
      <c r="J1686">
        <v>100.8597389058687</v>
      </c>
    </row>
    <row r="1687" spans="1:10" x14ac:dyDescent="0.25">
      <c r="A1687" s="36"/>
      <c r="B1687" t="s">
        <v>451</v>
      </c>
      <c r="C1687" s="64">
        <v>42783</v>
      </c>
      <c r="D1687">
        <v>272.23</v>
      </c>
      <c r="E1687">
        <v>100.92304301509753</v>
      </c>
      <c r="F1687" t="s">
        <v>427</v>
      </c>
      <c r="G1687" s="64">
        <v>42783</v>
      </c>
      <c r="H1687">
        <v>845.07</v>
      </c>
      <c r="I1687">
        <v>100.85989326327997</v>
      </c>
      <c r="J1687">
        <v>100.85989326327997</v>
      </c>
    </row>
    <row r="1688" spans="1:10" x14ac:dyDescent="0.25">
      <c r="A1688" s="36"/>
      <c r="B1688" t="s">
        <v>451</v>
      </c>
      <c r="C1688" s="64">
        <v>42787</v>
      </c>
      <c r="D1688">
        <v>277.39</v>
      </c>
      <c r="E1688">
        <v>100.92447456649482</v>
      </c>
      <c r="F1688" t="s">
        <v>427</v>
      </c>
      <c r="G1688" s="64">
        <v>42787</v>
      </c>
      <c r="H1688">
        <v>856.44</v>
      </c>
      <c r="I1688">
        <v>100.86175330437625</v>
      </c>
      <c r="J1688">
        <v>100.86175330437625</v>
      </c>
    </row>
    <row r="1689" spans="1:10" x14ac:dyDescent="0.25">
      <c r="A1689" s="36"/>
      <c r="B1689" t="s">
        <v>451</v>
      </c>
      <c r="C1689" s="64">
        <v>42788</v>
      </c>
      <c r="D1689">
        <v>273.51</v>
      </c>
      <c r="E1689">
        <v>100.9234031662462</v>
      </c>
      <c r="F1689" t="s">
        <v>427</v>
      </c>
      <c r="G1689" s="64">
        <v>42788</v>
      </c>
      <c r="H1689">
        <v>855.61</v>
      </c>
      <c r="I1689">
        <v>100.86161919566158</v>
      </c>
      <c r="J1689">
        <v>100.86161919566158</v>
      </c>
    </row>
    <row r="1690" spans="1:10" x14ac:dyDescent="0.25">
      <c r="A1690" s="36"/>
      <c r="B1690" t="s">
        <v>451</v>
      </c>
      <c r="C1690" s="64">
        <v>42789</v>
      </c>
      <c r="D1690">
        <v>255.99</v>
      </c>
      <c r="E1690">
        <v>100.91816086565882</v>
      </c>
      <c r="F1690" t="s">
        <v>427</v>
      </c>
      <c r="G1690" s="64">
        <v>42789</v>
      </c>
      <c r="H1690">
        <v>852.19</v>
      </c>
      <c r="I1690">
        <v>100.86106384726411</v>
      </c>
      <c r="J1690">
        <v>100.86106384726411</v>
      </c>
    </row>
    <row r="1691" spans="1:10" x14ac:dyDescent="0.25">
      <c r="A1691" s="36"/>
      <c r="B1691" t="s">
        <v>451</v>
      </c>
      <c r="C1691" s="64">
        <v>42790</v>
      </c>
      <c r="D1691">
        <v>257</v>
      </c>
      <c r="E1691">
        <v>100.91848249027237</v>
      </c>
      <c r="F1691" t="s">
        <v>427</v>
      </c>
      <c r="G1691" s="64">
        <v>42790</v>
      </c>
      <c r="H1691">
        <v>845.24</v>
      </c>
      <c r="I1691">
        <v>100.85992144243055</v>
      </c>
      <c r="J1691">
        <v>100.85992144243055</v>
      </c>
    </row>
    <row r="1692" spans="1:10" x14ac:dyDescent="0.25">
      <c r="A1692" s="36"/>
      <c r="B1692" t="s">
        <v>451</v>
      </c>
      <c r="C1692" s="64">
        <v>42793</v>
      </c>
      <c r="D1692">
        <v>246.23</v>
      </c>
      <c r="E1692">
        <v>100.91491694756935</v>
      </c>
      <c r="F1692" t="s">
        <v>427</v>
      </c>
      <c r="G1692" s="64">
        <v>42793</v>
      </c>
      <c r="H1692">
        <v>848.64</v>
      </c>
      <c r="I1692">
        <v>100.8604826546003</v>
      </c>
      <c r="J1692">
        <v>100.8604826546003</v>
      </c>
    </row>
    <row r="1693" spans="1:10" x14ac:dyDescent="0.25">
      <c r="A1693" s="36"/>
      <c r="B1693" t="s">
        <v>451</v>
      </c>
      <c r="C1693" s="64">
        <v>42794</v>
      </c>
      <c r="D1693">
        <v>249.99</v>
      </c>
      <c r="E1693">
        <v>100.91619664786592</v>
      </c>
      <c r="F1693" t="s">
        <v>427</v>
      </c>
      <c r="G1693" s="64">
        <v>42794</v>
      </c>
      <c r="H1693">
        <v>845.04</v>
      </c>
      <c r="I1693">
        <v>100.85988828931175</v>
      </c>
      <c r="J1693">
        <v>100.85988828931175</v>
      </c>
    </row>
    <row r="1694" spans="1:10" x14ac:dyDescent="0.25">
      <c r="A1694" s="36"/>
      <c r="B1694" t="s">
        <v>451</v>
      </c>
      <c r="C1694" s="64">
        <v>42795</v>
      </c>
      <c r="D1694">
        <v>250.02</v>
      </c>
      <c r="E1694">
        <v>100.91620670346373</v>
      </c>
      <c r="F1694" t="s">
        <v>427</v>
      </c>
      <c r="G1694" s="64">
        <v>42795</v>
      </c>
      <c r="H1694">
        <v>853.08</v>
      </c>
      <c r="I1694">
        <v>100.86120879636142</v>
      </c>
      <c r="J1694">
        <v>100.86120879636142</v>
      </c>
    </row>
    <row r="1695" spans="1:10" x14ac:dyDescent="0.25">
      <c r="A1695" s="36"/>
      <c r="B1695" t="s">
        <v>451</v>
      </c>
      <c r="C1695" s="64">
        <v>42796</v>
      </c>
      <c r="D1695">
        <v>250.48</v>
      </c>
      <c r="E1695">
        <v>100.91636058767168</v>
      </c>
      <c r="F1695" t="s">
        <v>427</v>
      </c>
      <c r="G1695" s="64">
        <v>42796</v>
      </c>
      <c r="H1695">
        <v>848.91</v>
      </c>
      <c r="I1695">
        <v>100.86052702877808</v>
      </c>
      <c r="J1695">
        <v>100.86052702877808</v>
      </c>
    </row>
    <row r="1696" spans="1:10" x14ac:dyDescent="0.25">
      <c r="A1696" s="36"/>
      <c r="B1696" t="s">
        <v>451</v>
      </c>
      <c r="C1696" s="64">
        <v>42797</v>
      </c>
      <c r="D1696">
        <v>251.57</v>
      </c>
      <c r="E1696">
        <v>100.91672297968756</v>
      </c>
      <c r="F1696" t="s">
        <v>427</v>
      </c>
      <c r="G1696" s="64">
        <v>42797</v>
      </c>
      <c r="H1696">
        <v>849.88</v>
      </c>
      <c r="I1696">
        <v>100.86068621452441</v>
      </c>
      <c r="J1696">
        <v>100.86068621452441</v>
      </c>
    </row>
    <row r="1697" spans="1:10" x14ac:dyDescent="0.25">
      <c r="A1697" s="36"/>
      <c r="B1697" t="s">
        <v>451</v>
      </c>
      <c r="C1697" s="64">
        <v>42800</v>
      </c>
      <c r="D1697">
        <v>251.21</v>
      </c>
      <c r="E1697">
        <v>100.91660363839019</v>
      </c>
      <c r="F1697" t="s">
        <v>427</v>
      </c>
      <c r="G1697" s="64">
        <v>42800</v>
      </c>
      <c r="H1697">
        <v>846.61</v>
      </c>
      <c r="I1697">
        <v>100.86014812014977</v>
      </c>
      <c r="J1697">
        <v>100.86014812014977</v>
      </c>
    </row>
    <row r="1698" spans="1:10" x14ac:dyDescent="0.25">
      <c r="A1698" s="36"/>
      <c r="B1698" t="s">
        <v>451</v>
      </c>
      <c r="C1698" s="64">
        <v>42801</v>
      </c>
      <c r="D1698">
        <v>248.59</v>
      </c>
      <c r="E1698">
        <v>100.91572468723601</v>
      </c>
      <c r="F1698" t="s">
        <v>427</v>
      </c>
      <c r="G1698" s="64">
        <v>42801</v>
      </c>
      <c r="H1698">
        <v>846.02</v>
      </c>
      <c r="I1698">
        <v>100.86005058982057</v>
      </c>
      <c r="J1698">
        <v>100.86005058982057</v>
      </c>
    </row>
    <row r="1699" spans="1:10" x14ac:dyDescent="0.25">
      <c r="A1699" s="36"/>
      <c r="B1699" t="s">
        <v>451</v>
      </c>
      <c r="C1699" s="64">
        <v>42802</v>
      </c>
      <c r="D1699">
        <v>246.87</v>
      </c>
      <c r="E1699">
        <v>100.91513752177259</v>
      </c>
      <c r="F1699" t="s">
        <v>427</v>
      </c>
      <c r="G1699" s="64">
        <v>42802</v>
      </c>
      <c r="H1699">
        <v>850.5</v>
      </c>
      <c r="I1699">
        <v>100.86078777189888</v>
      </c>
      <c r="J1699">
        <v>100.86078777189888</v>
      </c>
    </row>
    <row r="1700" spans="1:10" x14ac:dyDescent="0.25">
      <c r="A1700" s="36"/>
      <c r="B1700" t="s">
        <v>451</v>
      </c>
      <c r="C1700" s="64">
        <v>42803</v>
      </c>
      <c r="D1700">
        <v>244.9</v>
      </c>
      <c r="E1700">
        <v>100.91445487954267</v>
      </c>
      <c r="F1700" t="s">
        <v>427</v>
      </c>
      <c r="G1700" s="64">
        <v>42803</v>
      </c>
      <c r="H1700">
        <v>853</v>
      </c>
      <c r="I1700">
        <v>100.8611957796014</v>
      </c>
      <c r="J1700">
        <v>100.8611957796014</v>
      </c>
    </row>
    <row r="1701" spans="1:10" x14ac:dyDescent="0.25">
      <c r="A1701" s="36"/>
      <c r="B1701" t="s">
        <v>451</v>
      </c>
      <c r="C1701" s="64">
        <v>42804</v>
      </c>
      <c r="D1701">
        <v>243.69</v>
      </c>
      <c r="E1701">
        <v>100.91403012023473</v>
      </c>
      <c r="F1701" t="s">
        <v>427</v>
      </c>
      <c r="G1701" s="64">
        <v>42804</v>
      </c>
      <c r="H1701">
        <v>852.46</v>
      </c>
      <c r="I1701">
        <v>100.86110785256787</v>
      </c>
      <c r="J1701">
        <v>100.86110785256787</v>
      </c>
    </row>
    <row r="1702" spans="1:10" x14ac:dyDescent="0.25">
      <c r="A1702" s="36"/>
      <c r="B1702" t="s">
        <v>451</v>
      </c>
      <c r="C1702" s="64">
        <v>42807</v>
      </c>
      <c r="D1702">
        <v>246.17</v>
      </c>
      <c r="E1702">
        <v>100.91489620993622</v>
      </c>
      <c r="F1702" t="s">
        <v>427</v>
      </c>
      <c r="G1702" s="64">
        <v>42807</v>
      </c>
      <c r="H1702">
        <v>854.59</v>
      </c>
      <c r="I1702">
        <v>100.86145403058777</v>
      </c>
      <c r="J1702">
        <v>100.86145403058777</v>
      </c>
    </row>
    <row r="1703" spans="1:10" x14ac:dyDescent="0.25">
      <c r="A1703" s="36"/>
      <c r="B1703" t="s">
        <v>451</v>
      </c>
      <c r="C1703" s="64">
        <v>42808</v>
      </c>
      <c r="D1703">
        <v>258</v>
      </c>
      <c r="E1703">
        <v>100.91879844961241</v>
      </c>
      <c r="F1703" t="s">
        <v>427</v>
      </c>
      <c r="G1703" s="64">
        <v>42808</v>
      </c>
      <c r="H1703">
        <v>852.53</v>
      </c>
      <c r="I1703">
        <v>100.86111925680035</v>
      </c>
      <c r="J1703">
        <v>100.86111925680035</v>
      </c>
    </row>
    <row r="1704" spans="1:10" x14ac:dyDescent="0.25">
      <c r="A1704" s="36"/>
      <c r="B1704" t="s">
        <v>451</v>
      </c>
      <c r="C1704" s="64">
        <v>42809</v>
      </c>
      <c r="D1704">
        <v>255.73</v>
      </c>
      <c r="E1704">
        <v>100.91807766003207</v>
      </c>
      <c r="F1704" t="s">
        <v>427</v>
      </c>
      <c r="G1704" s="64">
        <v>42809</v>
      </c>
      <c r="H1704">
        <v>852.97</v>
      </c>
      <c r="I1704">
        <v>100.86119089768691</v>
      </c>
      <c r="J1704">
        <v>100.86119089768691</v>
      </c>
    </row>
    <row r="1705" spans="1:10" x14ac:dyDescent="0.25">
      <c r="A1705" s="36"/>
      <c r="B1705" t="s">
        <v>451</v>
      </c>
      <c r="C1705" s="64">
        <v>42810</v>
      </c>
      <c r="D1705">
        <v>262.05</v>
      </c>
      <c r="E1705">
        <v>100.9200534249189</v>
      </c>
      <c r="F1705" t="s">
        <v>427</v>
      </c>
      <c r="G1705" s="64">
        <v>42810</v>
      </c>
      <c r="H1705">
        <v>853.42</v>
      </c>
      <c r="I1705">
        <v>100.86126409036582</v>
      </c>
      <c r="J1705">
        <v>100.86126409036582</v>
      </c>
    </row>
    <row r="1706" spans="1:10" x14ac:dyDescent="0.25">
      <c r="A1706" s="36"/>
      <c r="B1706" t="s">
        <v>451</v>
      </c>
      <c r="C1706" s="64">
        <v>42811</v>
      </c>
      <c r="D1706">
        <v>261.5</v>
      </c>
      <c r="E1706">
        <v>100.91988527724665</v>
      </c>
      <c r="F1706" t="s">
        <v>427</v>
      </c>
      <c r="G1706" s="64">
        <v>42811</v>
      </c>
      <c r="H1706">
        <v>852.31</v>
      </c>
      <c r="I1706">
        <v>100.86108340861892</v>
      </c>
      <c r="J1706">
        <v>100.86108340861892</v>
      </c>
    </row>
    <row r="1707" spans="1:10" x14ac:dyDescent="0.25">
      <c r="A1707" s="36"/>
      <c r="B1707" t="s">
        <v>451</v>
      </c>
      <c r="C1707" s="64">
        <v>42814</v>
      </c>
      <c r="D1707">
        <v>261.92</v>
      </c>
      <c r="E1707">
        <v>100.92001374465485</v>
      </c>
      <c r="F1707" t="s">
        <v>427</v>
      </c>
      <c r="G1707" s="64">
        <v>42814</v>
      </c>
      <c r="H1707">
        <v>856.97</v>
      </c>
      <c r="I1707">
        <v>100.86183880415884</v>
      </c>
      <c r="J1707">
        <v>100.86183880415884</v>
      </c>
    </row>
    <row r="1708" spans="1:10" x14ac:dyDescent="0.25">
      <c r="A1708" s="36"/>
      <c r="B1708" t="s">
        <v>451</v>
      </c>
      <c r="C1708" s="64">
        <v>42815</v>
      </c>
      <c r="D1708">
        <v>250.68</v>
      </c>
      <c r="E1708">
        <v>100.91642731769586</v>
      </c>
      <c r="F1708" t="s">
        <v>427</v>
      </c>
      <c r="G1708" s="64">
        <v>42815</v>
      </c>
      <c r="H1708">
        <v>843.2</v>
      </c>
      <c r="I1708">
        <v>100.8595825426945</v>
      </c>
      <c r="J1708">
        <v>100.8595825426945</v>
      </c>
    </row>
    <row r="1709" spans="1:10" x14ac:dyDescent="0.25">
      <c r="A1709" s="36"/>
      <c r="B1709" t="s">
        <v>451</v>
      </c>
      <c r="C1709" s="64">
        <v>42816</v>
      </c>
      <c r="D1709">
        <v>255.01</v>
      </c>
      <c r="E1709">
        <v>100.91784635896632</v>
      </c>
      <c r="F1709" t="s">
        <v>427</v>
      </c>
      <c r="G1709" s="64">
        <v>42816</v>
      </c>
      <c r="H1709">
        <v>848.06</v>
      </c>
      <c r="I1709">
        <v>100.86038723675212</v>
      </c>
      <c r="J1709">
        <v>100.86038723675212</v>
      </c>
    </row>
    <row r="1710" spans="1:10" x14ac:dyDescent="0.25">
      <c r="A1710" s="36"/>
      <c r="B1710" t="s">
        <v>451</v>
      </c>
      <c r="C1710" s="64">
        <v>42817</v>
      </c>
      <c r="D1710">
        <v>254.78</v>
      </c>
      <c r="E1710">
        <v>100.91777219561975</v>
      </c>
      <c r="F1710" t="s">
        <v>427</v>
      </c>
      <c r="G1710" s="64">
        <v>42817</v>
      </c>
      <c r="H1710">
        <v>847.38</v>
      </c>
      <c r="I1710">
        <v>100.86027520120842</v>
      </c>
      <c r="J1710">
        <v>100.86027520120842</v>
      </c>
    </row>
    <row r="1711" spans="1:10" x14ac:dyDescent="0.25">
      <c r="A1711" s="36"/>
      <c r="B1711" t="s">
        <v>451</v>
      </c>
      <c r="C1711" s="64">
        <v>42818</v>
      </c>
      <c r="D1711">
        <v>263.16000000000003</v>
      </c>
      <c r="E1711">
        <v>100.9203906368749</v>
      </c>
      <c r="F1711" t="s">
        <v>427</v>
      </c>
      <c r="G1711" s="64">
        <v>42818</v>
      </c>
      <c r="H1711">
        <v>845.61</v>
      </c>
      <c r="I1711">
        <v>100.85998273435744</v>
      </c>
      <c r="J1711">
        <v>100.85998273435744</v>
      </c>
    </row>
    <row r="1712" spans="1:10" x14ac:dyDescent="0.25">
      <c r="A1712" s="36"/>
      <c r="B1712" t="s">
        <v>451</v>
      </c>
      <c r="C1712" s="64">
        <v>42821</v>
      </c>
      <c r="D1712">
        <v>270.22000000000003</v>
      </c>
      <c r="E1712">
        <v>100.9224705795278</v>
      </c>
      <c r="F1712" t="s">
        <v>427</v>
      </c>
      <c r="G1712" s="64">
        <v>42821</v>
      </c>
      <c r="H1712">
        <v>846.82</v>
      </c>
      <c r="I1712">
        <v>100.86018280153988</v>
      </c>
      <c r="J1712">
        <v>100.86018280153988</v>
      </c>
    </row>
    <row r="1713" spans="1:10" x14ac:dyDescent="0.25">
      <c r="A1713" s="36"/>
      <c r="B1713" t="s">
        <v>451</v>
      </c>
      <c r="C1713" s="64">
        <v>42822</v>
      </c>
      <c r="D1713">
        <v>277.45</v>
      </c>
      <c r="E1713">
        <v>100.92449089926113</v>
      </c>
      <c r="F1713" t="s">
        <v>427</v>
      </c>
      <c r="G1713" s="64">
        <v>42822</v>
      </c>
      <c r="H1713">
        <v>856</v>
      </c>
      <c r="I1713">
        <v>100.86168224299065</v>
      </c>
      <c r="J1713">
        <v>100.86168224299065</v>
      </c>
    </row>
    <row r="1714" spans="1:10" x14ac:dyDescent="0.25">
      <c r="A1714" s="36"/>
      <c r="B1714" t="s">
        <v>451</v>
      </c>
      <c r="C1714" s="64">
        <v>42823</v>
      </c>
      <c r="D1714">
        <v>277.38</v>
      </c>
      <c r="E1714">
        <v>100.92447184368015</v>
      </c>
      <c r="F1714" t="s">
        <v>427</v>
      </c>
      <c r="G1714" s="64">
        <v>42823</v>
      </c>
      <c r="H1714">
        <v>874.32</v>
      </c>
      <c r="I1714">
        <v>100.86458047396835</v>
      </c>
      <c r="J1714">
        <v>100.86458047396835</v>
      </c>
    </row>
    <row r="1715" spans="1:10" x14ac:dyDescent="0.25">
      <c r="A1715" s="36"/>
      <c r="B1715" t="s">
        <v>451</v>
      </c>
      <c r="C1715" s="64">
        <v>42824</v>
      </c>
      <c r="D1715">
        <v>277.92</v>
      </c>
      <c r="E1715">
        <v>100.92461859527921</v>
      </c>
      <c r="F1715" t="s">
        <v>427</v>
      </c>
      <c r="G1715" s="64">
        <v>42824</v>
      </c>
      <c r="H1715">
        <v>876.34</v>
      </c>
      <c r="I1715">
        <v>100.86489262158523</v>
      </c>
      <c r="J1715">
        <v>100.86489262158523</v>
      </c>
    </row>
    <row r="1716" spans="1:10" x14ac:dyDescent="0.25">
      <c r="A1716" s="36"/>
      <c r="B1716" t="s">
        <v>451</v>
      </c>
      <c r="C1716" s="64">
        <v>42825</v>
      </c>
      <c r="D1716">
        <v>278.3</v>
      </c>
      <c r="E1716">
        <v>100.92472152353575</v>
      </c>
      <c r="F1716" t="s">
        <v>427</v>
      </c>
      <c r="G1716" s="64">
        <v>42825</v>
      </c>
      <c r="H1716">
        <v>886.54</v>
      </c>
      <c r="I1716">
        <v>100.86644708642588</v>
      </c>
      <c r="J1716">
        <v>100.86644708642588</v>
      </c>
    </row>
    <row r="1717" spans="1:10" x14ac:dyDescent="0.25">
      <c r="A1717" s="36"/>
      <c r="B1717" t="s">
        <v>451</v>
      </c>
      <c r="C1717" s="64">
        <v>42828</v>
      </c>
      <c r="D1717">
        <v>298.52</v>
      </c>
      <c r="E1717">
        <v>100.9298204475412</v>
      </c>
      <c r="F1717" t="s">
        <v>427</v>
      </c>
      <c r="G1717" s="64">
        <v>42828</v>
      </c>
      <c r="H1717">
        <v>891.51</v>
      </c>
      <c r="I1717">
        <v>100.86719161871432</v>
      </c>
      <c r="J1717">
        <v>100.86719161871432</v>
      </c>
    </row>
    <row r="1718" spans="1:10" x14ac:dyDescent="0.25">
      <c r="A1718" s="36"/>
      <c r="B1718" t="s">
        <v>451</v>
      </c>
      <c r="C1718" s="64">
        <v>42829</v>
      </c>
      <c r="D1718">
        <v>303.7</v>
      </c>
      <c r="E1718">
        <v>100.93101745143234</v>
      </c>
      <c r="F1718" t="s">
        <v>427</v>
      </c>
      <c r="G1718" s="64">
        <v>42829</v>
      </c>
      <c r="H1718">
        <v>906.83</v>
      </c>
      <c r="I1718">
        <v>100.86943528555517</v>
      </c>
      <c r="J1718">
        <v>100.86943528555517</v>
      </c>
    </row>
    <row r="1719" spans="1:10" x14ac:dyDescent="0.25">
      <c r="A1719" s="36"/>
      <c r="B1719" t="s">
        <v>451</v>
      </c>
      <c r="C1719" s="64">
        <v>42830</v>
      </c>
      <c r="D1719">
        <v>295</v>
      </c>
      <c r="E1719">
        <v>100.92898305084746</v>
      </c>
      <c r="F1719" t="s">
        <v>427</v>
      </c>
      <c r="G1719" s="64">
        <v>42830</v>
      </c>
      <c r="H1719">
        <v>909.28</v>
      </c>
      <c r="I1719">
        <v>100.86978708428647</v>
      </c>
      <c r="J1719">
        <v>100.86978708428647</v>
      </c>
    </row>
    <row r="1720" spans="1:10" x14ac:dyDescent="0.25">
      <c r="A1720" s="36"/>
      <c r="B1720" t="s">
        <v>451</v>
      </c>
      <c r="C1720" s="64">
        <v>42831</v>
      </c>
      <c r="D1720">
        <v>298.7</v>
      </c>
      <c r="E1720">
        <v>100.92986273853364</v>
      </c>
      <c r="F1720" t="s">
        <v>427</v>
      </c>
      <c r="G1720" s="64">
        <v>42831</v>
      </c>
      <c r="H1720">
        <v>898.28</v>
      </c>
      <c r="I1720">
        <v>100.86819254575411</v>
      </c>
      <c r="J1720">
        <v>100.86819254575411</v>
      </c>
    </row>
    <row r="1721" spans="1:10" x14ac:dyDescent="0.25">
      <c r="A1721" s="36"/>
      <c r="B1721" t="s">
        <v>451</v>
      </c>
      <c r="C1721" s="64">
        <v>42832</v>
      </c>
      <c r="D1721">
        <v>302.54000000000002</v>
      </c>
      <c r="E1721">
        <v>100.9307529582865</v>
      </c>
      <c r="F1721" t="s">
        <v>427</v>
      </c>
      <c r="G1721" s="64">
        <v>42832</v>
      </c>
      <c r="H1721">
        <v>894.88</v>
      </c>
      <c r="I1721">
        <v>100.86769175755408</v>
      </c>
      <c r="J1721">
        <v>100.86769175755408</v>
      </c>
    </row>
    <row r="1722" spans="1:10" x14ac:dyDescent="0.25">
      <c r="A1722" s="36"/>
      <c r="B1722" t="s">
        <v>451</v>
      </c>
      <c r="C1722" s="64">
        <v>42835</v>
      </c>
      <c r="D1722">
        <v>312.39</v>
      </c>
      <c r="E1722">
        <v>100.93293639361055</v>
      </c>
      <c r="F1722" t="s">
        <v>427</v>
      </c>
      <c r="G1722" s="64">
        <v>42835</v>
      </c>
      <c r="H1722">
        <v>907.04</v>
      </c>
      <c r="I1722">
        <v>100.86946551420003</v>
      </c>
      <c r="J1722">
        <v>100.86946551420003</v>
      </c>
    </row>
    <row r="1723" spans="1:10" x14ac:dyDescent="0.25">
      <c r="A1723" s="36"/>
      <c r="B1723" t="s">
        <v>451</v>
      </c>
      <c r="C1723" s="64">
        <v>42836</v>
      </c>
      <c r="D1723">
        <v>308.70999999999998</v>
      </c>
      <c r="E1723">
        <v>100.93213695701468</v>
      </c>
      <c r="F1723" t="s">
        <v>427</v>
      </c>
      <c r="G1723" s="64">
        <v>42836</v>
      </c>
      <c r="H1723">
        <v>902.36</v>
      </c>
      <c r="I1723">
        <v>100.86878851012899</v>
      </c>
      <c r="J1723">
        <v>100.86878851012899</v>
      </c>
    </row>
    <row r="1724" spans="1:10" x14ac:dyDescent="0.25">
      <c r="A1724" s="36"/>
      <c r="B1724" t="s">
        <v>451</v>
      </c>
      <c r="C1724" s="64">
        <v>42837</v>
      </c>
      <c r="D1724">
        <v>296.83999999999997</v>
      </c>
      <c r="E1724">
        <v>100.92942325832098</v>
      </c>
      <c r="F1724" t="s">
        <v>427</v>
      </c>
      <c r="G1724" s="64">
        <v>42837</v>
      </c>
      <c r="H1724">
        <v>896.23</v>
      </c>
      <c r="I1724">
        <v>100.86789105475157</v>
      </c>
      <c r="J1724">
        <v>100.86789105475157</v>
      </c>
    </row>
    <row r="1725" spans="1:10" x14ac:dyDescent="0.25">
      <c r="A1725" s="36"/>
      <c r="B1725" t="s">
        <v>451</v>
      </c>
      <c r="C1725" s="64">
        <v>42838</v>
      </c>
      <c r="D1725">
        <v>304</v>
      </c>
      <c r="E1725">
        <v>100.93108552631578</v>
      </c>
      <c r="F1725" t="s">
        <v>427</v>
      </c>
      <c r="G1725" s="64">
        <v>42838</v>
      </c>
      <c r="H1725">
        <v>884.67</v>
      </c>
      <c r="I1725">
        <v>100.86616478460896</v>
      </c>
      <c r="J1725">
        <v>100.86616478460896</v>
      </c>
    </row>
    <row r="1726" spans="1:10" x14ac:dyDescent="0.25">
      <c r="A1726" s="36"/>
      <c r="B1726" t="s">
        <v>451</v>
      </c>
      <c r="C1726" s="64">
        <v>42842</v>
      </c>
      <c r="D1726">
        <v>301.44</v>
      </c>
      <c r="E1726">
        <v>100.93050026539278</v>
      </c>
      <c r="F1726" t="s">
        <v>427</v>
      </c>
      <c r="G1726" s="64">
        <v>42842</v>
      </c>
      <c r="H1726">
        <v>901.99</v>
      </c>
      <c r="I1726">
        <v>100.86873468663732</v>
      </c>
      <c r="J1726">
        <v>100.86873468663732</v>
      </c>
    </row>
    <row r="1727" spans="1:10" x14ac:dyDescent="0.25">
      <c r="A1727" s="36"/>
      <c r="B1727" t="s">
        <v>451</v>
      </c>
      <c r="C1727" s="64">
        <v>42843</v>
      </c>
      <c r="D1727">
        <v>300.25</v>
      </c>
      <c r="E1727">
        <v>100.93022481265612</v>
      </c>
      <c r="F1727" t="s">
        <v>427</v>
      </c>
      <c r="G1727" s="64">
        <v>42843</v>
      </c>
      <c r="H1727">
        <v>903.78</v>
      </c>
      <c r="I1727">
        <v>100.8689946668437</v>
      </c>
      <c r="J1727">
        <v>100.8689946668437</v>
      </c>
    </row>
    <row r="1728" spans="1:10" x14ac:dyDescent="0.25">
      <c r="A1728" s="36"/>
      <c r="B1728" t="s">
        <v>451</v>
      </c>
      <c r="C1728" s="64">
        <v>42844</v>
      </c>
      <c r="D1728">
        <v>305.52</v>
      </c>
      <c r="E1728">
        <v>100.93142838439383</v>
      </c>
      <c r="F1728" t="s">
        <v>427</v>
      </c>
      <c r="G1728" s="64">
        <v>42844</v>
      </c>
      <c r="H1728">
        <v>899.2</v>
      </c>
      <c r="I1728">
        <v>100.86832740213524</v>
      </c>
      <c r="J1728">
        <v>100.86832740213524</v>
      </c>
    </row>
    <row r="1729" spans="1:10" x14ac:dyDescent="0.25">
      <c r="A1729" s="36"/>
      <c r="B1729" t="s">
        <v>451</v>
      </c>
      <c r="C1729" s="64">
        <v>42845</v>
      </c>
      <c r="D1729">
        <v>302.51</v>
      </c>
      <c r="E1729">
        <v>100.93074609103832</v>
      </c>
      <c r="F1729" t="s">
        <v>427</v>
      </c>
      <c r="G1729" s="64">
        <v>42845</v>
      </c>
      <c r="H1729">
        <v>902.06</v>
      </c>
      <c r="I1729">
        <v>100.86874487284659</v>
      </c>
      <c r="J1729">
        <v>100.86874487284659</v>
      </c>
    </row>
    <row r="1730" spans="1:10" x14ac:dyDescent="0.25">
      <c r="A1730" s="36"/>
      <c r="B1730" t="s">
        <v>451</v>
      </c>
      <c r="C1730" s="64">
        <v>42846</v>
      </c>
      <c r="D1730">
        <v>305.60000000000002</v>
      </c>
      <c r="E1730">
        <v>100.93144633507853</v>
      </c>
      <c r="F1730" t="s">
        <v>427</v>
      </c>
      <c r="G1730" s="64">
        <v>42846</v>
      </c>
      <c r="H1730">
        <v>898.53</v>
      </c>
      <c r="I1730">
        <v>100.86822921883521</v>
      </c>
      <c r="J1730">
        <v>100.86822921883521</v>
      </c>
    </row>
    <row r="1731" spans="1:10" x14ac:dyDescent="0.25">
      <c r="A1731" s="36"/>
      <c r="B1731" t="s">
        <v>451</v>
      </c>
      <c r="C1731" s="64">
        <v>42849</v>
      </c>
      <c r="D1731">
        <v>308.02999999999997</v>
      </c>
      <c r="E1731">
        <v>100.93198714410934</v>
      </c>
      <c r="F1731" t="s">
        <v>427</v>
      </c>
      <c r="G1731" s="64">
        <v>42849</v>
      </c>
      <c r="H1731">
        <v>907.41</v>
      </c>
      <c r="I1731">
        <v>100.86951874015054</v>
      </c>
      <c r="J1731">
        <v>100.86951874015054</v>
      </c>
    </row>
    <row r="1732" spans="1:10" x14ac:dyDescent="0.25">
      <c r="A1732" s="36"/>
      <c r="B1732" t="s">
        <v>451</v>
      </c>
      <c r="C1732" s="64">
        <v>42850</v>
      </c>
      <c r="D1732">
        <v>313.79000000000002</v>
      </c>
      <c r="E1732">
        <v>100.93323560342904</v>
      </c>
      <c r="F1732" t="s">
        <v>427</v>
      </c>
      <c r="G1732" s="64">
        <v>42850</v>
      </c>
      <c r="H1732">
        <v>907.62</v>
      </c>
      <c r="I1732">
        <v>100.86954893016902</v>
      </c>
      <c r="J1732">
        <v>100.86954893016902</v>
      </c>
    </row>
    <row r="1733" spans="1:10" x14ac:dyDescent="0.25">
      <c r="A1733" s="36"/>
      <c r="B1733" t="s">
        <v>451</v>
      </c>
      <c r="C1733" s="64">
        <v>42851</v>
      </c>
      <c r="D1733">
        <v>310.17</v>
      </c>
      <c r="E1733">
        <v>100.93245639488023</v>
      </c>
      <c r="F1733" t="s">
        <v>427</v>
      </c>
      <c r="G1733" s="64">
        <v>42851</v>
      </c>
      <c r="H1733">
        <v>909.29</v>
      </c>
      <c r="I1733">
        <v>100.86978851631493</v>
      </c>
      <c r="J1733">
        <v>100.86978851631493</v>
      </c>
    </row>
    <row r="1734" spans="1:10" x14ac:dyDescent="0.25">
      <c r="A1734" s="36"/>
      <c r="B1734" t="s">
        <v>451</v>
      </c>
      <c r="C1734" s="64">
        <v>42852</v>
      </c>
      <c r="D1734">
        <v>308.63</v>
      </c>
      <c r="E1734">
        <v>100.9321193662314</v>
      </c>
      <c r="F1734" t="s">
        <v>427</v>
      </c>
      <c r="G1734" s="64">
        <v>42852</v>
      </c>
      <c r="H1734">
        <v>918.38</v>
      </c>
      <c r="I1734">
        <v>100.87107733182343</v>
      </c>
      <c r="J1734">
        <v>100.87107733182343</v>
      </c>
    </row>
    <row r="1735" spans="1:10" x14ac:dyDescent="0.25">
      <c r="A1735" s="36"/>
      <c r="B1735" t="s">
        <v>451</v>
      </c>
      <c r="C1735" s="64">
        <v>42853</v>
      </c>
      <c r="D1735">
        <v>314.07</v>
      </c>
      <c r="E1735">
        <v>100.93329512529054</v>
      </c>
      <c r="F1735" t="s">
        <v>427</v>
      </c>
      <c r="G1735" s="64">
        <v>42853</v>
      </c>
      <c r="H1735">
        <v>924.99</v>
      </c>
      <c r="I1735">
        <v>100.87199861620125</v>
      </c>
      <c r="J1735">
        <v>100.87199861620125</v>
      </c>
    </row>
    <row r="1736" spans="1:10" x14ac:dyDescent="0.25">
      <c r="A1736" s="36"/>
      <c r="B1736" t="s">
        <v>451</v>
      </c>
      <c r="C1736" s="64">
        <v>42856</v>
      </c>
      <c r="D1736">
        <v>322.83</v>
      </c>
      <c r="E1736">
        <v>100.93510516370846</v>
      </c>
      <c r="F1736" t="s">
        <v>427</v>
      </c>
      <c r="G1736" s="64">
        <v>42856</v>
      </c>
      <c r="H1736">
        <v>948.23</v>
      </c>
      <c r="I1736">
        <v>100.87513577929406</v>
      </c>
      <c r="J1736">
        <v>100.87513577929406</v>
      </c>
    </row>
    <row r="1737" spans="1:10" x14ac:dyDescent="0.25">
      <c r="A1737" s="36"/>
      <c r="B1737" t="s">
        <v>451</v>
      </c>
      <c r="C1737" s="64">
        <v>42857</v>
      </c>
      <c r="D1737">
        <v>318.89</v>
      </c>
      <c r="E1737">
        <v>100.93430336479663</v>
      </c>
      <c r="F1737" t="s">
        <v>427</v>
      </c>
      <c r="G1737" s="64">
        <v>42857</v>
      </c>
      <c r="H1737">
        <v>946.94</v>
      </c>
      <c r="I1737">
        <v>100.87496567892369</v>
      </c>
      <c r="J1737">
        <v>100.87496567892369</v>
      </c>
    </row>
    <row r="1738" spans="1:10" x14ac:dyDescent="0.25">
      <c r="A1738" s="36"/>
      <c r="B1738" t="s">
        <v>451</v>
      </c>
      <c r="C1738" s="64">
        <v>42858</v>
      </c>
      <c r="D1738">
        <v>311.02</v>
      </c>
      <c r="E1738">
        <v>100.93264098771783</v>
      </c>
      <c r="F1738" t="s">
        <v>427</v>
      </c>
      <c r="G1738" s="64">
        <v>42858</v>
      </c>
      <c r="H1738">
        <v>941.03</v>
      </c>
      <c r="I1738">
        <v>100.87418041932776</v>
      </c>
      <c r="J1738">
        <v>100.87418041932776</v>
      </c>
    </row>
    <row r="1739" spans="1:10" x14ac:dyDescent="0.25">
      <c r="A1739" s="36"/>
      <c r="B1739" t="s">
        <v>451</v>
      </c>
      <c r="C1739" s="64">
        <v>42859</v>
      </c>
      <c r="D1739">
        <v>295.45999999999998</v>
      </c>
      <c r="E1739">
        <v>100.92909361673323</v>
      </c>
      <c r="F1739" t="s">
        <v>427</v>
      </c>
      <c r="G1739" s="64">
        <v>42859</v>
      </c>
      <c r="H1739">
        <v>937.53</v>
      </c>
      <c r="I1739">
        <v>100.87371070792402</v>
      </c>
      <c r="J1739">
        <v>100.87371070792402</v>
      </c>
    </row>
    <row r="1740" spans="1:10" x14ac:dyDescent="0.25">
      <c r="A1740" s="36"/>
      <c r="B1740" t="s">
        <v>451</v>
      </c>
      <c r="C1740" s="64">
        <v>42860</v>
      </c>
      <c r="D1740">
        <v>308.35000000000002</v>
      </c>
      <c r="E1740">
        <v>100.93205772660937</v>
      </c>
      <c r="F1740" t="s">
        <v>427</v>
      </c>
      <c r="G1740" s="64">
        <v>42860</v>
      </c>
      <c r="H1740">
        <v>934.15</v>
      </c>
      <c r="I1740">
        <v>100.87325376010277</v>
      </c>
      <c r="J1740">
        <v>100.87325376010277</v>
      </c>
    </row>
    <row r="1741" spans="1:10" x14ac:dyDescent="0.25">
      <c r="A1741" s="36"/>
      <c r="B1741" t="s">
        <v>451</v>
      </c>
      <c r="C1741" s="64">
        <v>42863</v>
      </c>
      <c r="D1741">
        <v>307.19</v>
      </c>
      <c r="E1741">
        <v>100.93180116540252</v>
      </c>
      <c r="F1741" t="s">
        <v>427</v>
      </c>
      <c r="G1741" s="64">
        <v>42863</v>
      </c>
      <c r="H1741">
        <v>949.04</v>
      </c>
      <c r="I1741">
        <v>100.87524235016437</v>
      </c>
      <c r="J1741">
        <v>100.87524235016437</v>
      </c>
    </row>
    <row r="1742" spans="1:10" x14ac:dyDescent="0.25">
      <c r="A1742" s="36"/>
      <c r="B1742" t="s">
        <v>451</v>
      </c>
      <c r="C1742" s="64">
        <v>42864</v>
      </c>
      <c r="D1742">
        <v>321.26</v>
      </c>
      <c r="E1742">
        <v>100.93478802216273</v>
      </c>
      <c r="F1742" t="s">
        <v>427</v>
      </c>
      <c r="G1742" s="64">
        <v>42864</v>
      </c>
      <c r="H1742">
        <v>952.82</v>
      </c>
      <c r="I1742">
        <v>100.87573728511157</v>
      </c>
      <c r="J1742">
        <v>100.87573728511157</v>
      </c>
    </row>
    <row r="1743" spans="1:10" x14ac:dyDescent="0.25">
      <c r="A1743" s="36"/>
      <c r="B1743" t="s">
        <v>451</v>
      </c>
      <c r="C1743" s="64">
        <v>42865</v>
      </c>
      <c r="D1743">
        <v>325.22000000000003</v>
      </c>
      <c r="E1743">
        <v>100.93558206752353</v>
      </c>
      <c r="F1743" t="s">
        <v>427</v>
      </c>
      <c r="G1743" s="64">
        <v>42865</v>
      </c>
      <c r="H1743">
        <v>948.95</v>
      </c>
      <c r="I1743">
        <v>100.87523051794088</v>
      </c>
      <c r="J1743">
        <v>100.87523051794088</v>
      </c>
    </row>
    <row r="1744" spans="1:10" x14ac:dyDescent="0.25">
      <c r="A1744" s="36"/>
      <c r="B1744" t="s">
        <v>451</v>
      </c>
      <c r="C1744" s="64">
        <v>42866</v>
      </c>
      <c r="D1744">
        <v>323.10000000000002</v>
      </c>
      <c r="E1744">
        <v>100.93515939337667</v>
      </c>
      <c r="F1744" t="s">
        <v>427</v>
      </c>
      <c r="G1744" s="64">
        <v>42866</v>
      </c>
      <c r="H1744">
        <v>947.62</v>
      </c>
      <c r="I1744">
        <v>100.87505540195437</v>
      </c>
      <c r="J1744">
        <v>100.87505540195437</v>
      </c>
    </row>
    <row r="1745" spans="1:10" x14ac:dyDescent="0.25">
      <c r="A1745" s="36"/>
      <c r="B1745" t="s">
        <v>451</v>
      </c>
      <c r="C1745" s="64">
        <v>42867</v>
      </c>
      <c r="D1745">
        <v>324.81</v>
      </c>
      <c r="E1745">
        <v>100.93550075428712</v>
      </c>
      <c r="F1745" t="s">
        <v>427</v>
      </c>
      <c r="G1745" s="64">
        <v>42867</v>
      </c>
      <c r="H1745">
        <v>961.35</v>
      </c>
      <c r="I1745">
        <v>100.87683986061268</v>
      </c>
      <c r="J1745">
        <v>100.87683986061268</v>
      </c>
    </row>
    <row r="1746" spans="1:10" x14ac:dyDescent="0.25">
      <c r="A1746" s="36"/>
      <c r="B1746" t="s">
        <v>451</v>
      </c>
      <c r="C1746" s="64">
        <v>42870</v>
      </c>
      <c r="D1746">
        <v>315.88</v>
      </c>
      <c r="E1746">
        <v>100.93367734582753</v>
      </c>
      <c r="F1746" t="s">
        <v>427</v>
      </c>
      <c r="G1746" s="64">
        <v>42870</v>
      </c>
      <c r="H1746">
        <v>957.97</v>
      </c>
      <c r="I1746">
        <v>100.87640531540654</v>
      </c>
      <c r="J1746">
        <v>100.87640531540654</v>
      </c>
    </row>
    <row r="1747" spans="1:10" x14ac:dyDescent="0.25">
      <c r="A1747" s="36"/>
      <c r="B1747" t="s">
        <v>451</v>
      </c>
      <c r="C1747" s="64">
        <v>42871</v>
      </c>
      <c r="D1747">
        <v>317.01</v>
      </c>
      <c r="E1747">
        <v>100.93391375666383</v>
      </c>
      <c r="F1747" t="s">
        <v>427</v>
      </c>
      <c r="G1747" s="64">
        <v>42871</v>
      </c>
      <c r="H1747">
        <v>966.07</v>
      </c>
      <c r="I1747">
        <v>100.87744159325929</v>
      </c>
      <c r="J1747">
        <v>100.87744159325929</v>
      </c>
    </row>
    <row r="1748" spans="1:10" x14ac:dyDescent="0.25">
      <c r="A1748" s="36"/>
      <c r="B1748" t="s">
        <v>451</v>
      </c>
      <c r="C1748" s="64">
        <v>42872</v>
      </c>
      <c r="D1748">
        <v>306.11</v>
      </c>
      <c r="E1748">
        <v>100.93156055012903</v>
      </c>
      <c r="F1748" t="s">
        <v>427</v>
      </c>
      <c r="G1748" s="64">
        <v>42872</v>
      </c>
      <c r="H1748">
        <v>944.76</v>
      </c>
      <c r="I1748">
        <v>100.87467716668783</v>
      </c>
      <c r="J1748">
        <v>100.87467716668783</v>
      </c>
    </row>
    <row r="1749" spans="1:10" x14ac:dyDescent="0.25">
      <c r="A1749" s="36"/>
      <c r="B1749" t="s">
        <v>451</v>
      </c>
      <c r="C1749" s="64">
        <v>42873</v>
      </c>
      <c r="D1749">
        <v>313.06</v>
      </c>
      <c r="E1749">
        <v>100.93307992078196</v>
      </c>
      <c r="F1749" t="s">
        <v>427</v>
      </c>
      <c r="G1749" s="64">
        <v>42873</v>
      </c>
      <c r="H1749">
        <v>958.49</v>
      </c>
      <c r="I1749">
        <v>100.87647236799549</v>
      </c>
      <c r="J1749">
        <v>100.87647236799549</v>
      </c>
    </row>
    <row r="1750" spans="1:10" x14ac:dyDescent="0.25">
      <c r="A1750" s="36"/>
      <c r="B1750" t="s">
        <v>451</v>
      </c>
      <c r="C1750" s="64">
        <v>42874</v>
      </c>
      <c r="D1750">
        <v>310.83</v>
      </c>
      <c r="E1750">
        <v>100.93259981340283</v>
      </c>
      <c r="F1750" t="s">
        <v>427</v>
      </c>
      <c r="G1750" s="64">
        <v>42874</v>
      </c>
      <c r="H1750">
        <v>959.84</v>
      </c>
      <c r="I1750">
        <v>100.87664610768462</v>
      </c>
      <c r="J1750">
        <v>100.87664610768462</v>
      </c>
    </row>
    <row r="1751" spans="1:10" x14ac:dyDescent="0.25">
      <c r="A1751" s="36"/>
      <c r="B1751" t="s">
        <v>451</v>
      </c>
      <c r="C1751" s="64">
        <v>42877</v>
      </c>
      <c r="D1751">
        <v>310.35000000000002</v>
      </c>
      <c r="E1751">
        <v>100.93249556951828</v>
      </c>
      <c r="F1751" t="s">
        <v>427</v>
      </c>
      <c r="G1751" s="64">
        <v>42877</v>
      </c>
      <c r="H1751">
        <v>970.67</v>
      </c>
      <c r="I1751">
        <v>100.87802239690112</v>
      </c>
      <c r="J1751">
        <v>100.87802239690112</v>
      </c>
    </row>
    <row r="1752" spans="1:10" x14ac:dyDescent="0.25">
      <c r="A1752" s="36"/>
      <c r="B1752" t="s">
        <v>451</v>
      </c>
      <c r="C1752" s="64">
        <v>42878</v>
      </c>
      <c r="D1752">
        <v>303.86</v>
      </c>
      <c r="E1752">
        <v>100.93105377476469</v>
      </c>
      <c r="F1752" t="s">
        <v>427</v>
      </c>
      <c r="G1752" s="64">
        <v>42878</v>
      </c>
      <c r="H1752">
        <v>971.54</v>
      </c>
      <c r="I1752">
        <v>100.87813162607819</v>
      </c>
      <c r="J1752">
        <v>100.87813162607819</v>
      </c>
    </row>
    <row r="1753" spans="1:10" x14ac:dyDescent="0.25">
      <c r="A1753" s="36"/>
      <c r="B1753" t="s">
        <v>451</v>
      </c>
      <c r="C1753" s="64">
        <v>42879</v>
      </c>
      <c r="D1753">
        <v>310.22000000000003</v>
      </c>
      <c r="E1753">
        <v>100.93246728128425</v>
      </c>
      <c r="F1753" t="s">
        <v>427</v>
      </c>
      <c r="G1753" s="64">
        <v>42879</v>
      </c>
      <c r="H1753">
        <v>980.35</v>
      </c>
      <c r="I1753">
        <v>100.87922680675268</v>
      </c>
      <c r="J1753">
        <v>100.87922680675268</v>
      </c>
    </row>
    <row r="1754" spans="1:10" x14ac:dyDescent="0.25">
      <c r="A1754" s="36"/>
      <c r="B1754" t="s">
        <v>451</v>
      </c>
      <c r="C1754" s="64">
        <v>42880</v>
      </c>
      <c r="D1754">
        <v>316.83</v>
      </c>
      <c r="E1754">
        <v>100.93387621121737</v>
      </c>
      <c r="F1754" t="s">
        <v>427</v>
      </c>
      <c r="G1754" s="64">
        <v>42880</v>
      </c>
      <c r="H1754">
        <v>993.38</v>
      </c>
      <c r="I1754">
        <v>100.88081096861221</v>
      </c>
      <c r="J1754">
        <v>100.88081096861221</v>
      </c>
    </row>
    <row r="1755" spans="1:10" x14ac:dyDescent="0.25">
      <c r="A1755" s="36"/>
      <c r="B1755" t="s">
        <v>451</v>
      </c>
      <c r="C1755" s="64">
        <v>42881</v>
      </c>
      <c r="D1755">
        <v>325.14</v>
      </c>
      <c r="E1755">
        <v>100.93556621762933</v>
      </c>
      <c r="F1755" t="s">
        <v>427</v>
      </c>
      <c r="G1755" s="64">
        <v>42881</v>
      </c>
      <c r="H1755">
        <v>995.78</v>
      </c>
      <c r="I1755">
        <v>100.8810982345498</v>
      </c>
      <c r="J1755">
        <v>100.8810982345498</v>
      </c>
    </row>
    <row r="1756" spans="1:10" x14ac:dyDescent="0.25">
      <c r="A1756" s="36"/>
      <c r="B1756" t="s">
        <v>451</v>
      </c>
      <c r="C1756" s="64">
        <v>42885</v>
      </c>
      <c r="D1756">
        <v>335.1</v>
      </c>
      <c r="E1756">
        <v>100.93748134885109</v>
      </c>
      <c r="F1756" t="s">
        <v>427</v>
      </c>
      <c r="G1756" s="64">
        <v>42885</v>
      </c>
      <c r="H1756">
        <v>996.7</v>
      </c>
      <c r="I1756">
        <v>100.88120798635497</v>
      </c>
      <c r="J1756">
        <v>100.88120798635497</v>
      </c>
    </row>
    <row r="1757" spans="1:10" x14ac:dyDescent="0.25">
      <c r="A1757" s="36"/>
      <c r="B1757" t="s">
        <v>451</v>
      </c>
      <c r="C1757" s="64">
        <v>42886</v>
      </c>
      <c r="D1757">
        <v>341.01</v>
      </c>
      <c r="E1757">
        <v>100.93856485147063</v>
      </c>
      <c r="F1757" t="s">
        <v>427</v>
      </c>
      <c r="G1757" s="64">
        <v>42886</v>
      </c>
      <c r="H1757">
        <v>994.62</v>
      </c>
      <c r="I1757">
        <v>100.88095956244597</v>
      </c>
      <c r="J1757">
        <v>100.88095956244597</v>
      </c>
    </row>
    <row r="1758" spans="1:10" x14ac:dyDescent="0.25">
      <c r="A1758" s="36"/>
      <c r="B1758" t="s">
        <v>451</v>
      </c>
      <c r="C1758" s="64">
        <v>42887</v>
      </c>
      <c r="D1758">
        <v>340.37</v>
      </c>
      <c r="E1758">
        <v>100.9384493345477</v>
      </c>
      <c r="F1758" t="s">
        <v>427</v>
      </c>
      <c r="G1758" s="64">
        <v>42887</v>
      </c>
      <c r="H1758">
        <v>995.95</v>
      </c>
      <c r="I1758">
        <v>100.88111853004669</v>
      </c>
      <c r="J1758">
        <v>100.88111853004669</v>
      </c>
    </row>
    <row r="1759" spans="1:10" x14ac:dyDescent="0.25">
      <c r="A1759" s="36"/>
      <c r="B1759" t="s">
        <v>451</v>
      </c>
      <c r="C1759" s="64">
        <v>42888</v>
      </c>
      <c r="D1759">
        <v>339.85</v>
      </c>
      <c r="E1759">
        <v>100.93835515668677</v>
      </c>
      <c r="F1759" t="s">
        <v>427</v>
      </c>
      <c r="G1759" s="64">
        <v>42888</v>
      </c>
      <c r="H1759">
        <v>1006.73</v>
      </c>
      <c r="I1759">
        <v>100.8823915051702</v>
      </c>
      <c r="J1759">
        <v>100.8823915051702</v>
      </c>
    </row>
    <row r="1760" spans="1:10" x14ac:dyDescent="0.25">
      <c r="A1760" s="36"/>
      <c r="B1760" t="s">
        <v>451</v>
      </c>
      <c r="C1760" s="64">
        <v>42891</v>
      </c>
      <c r="D1760">
        <v>347.32</v>
      </c>
      <c r="E1760">
        <v>100.93968098583439</v>
      </c>
      <c r="F1760" t="s">
        <v>427</v>
      </c>
      <c r="G1760" s="64">
        <v>42891</v>
      </c>
      <c r="H1760">
        <v>1011.34</v>
      </c>
      <c r="I1760">
        <v>100.88292760100461</v>
      </c>
      <c r="J1760">
        <v>100.88292760100461</v>
      </c>
    </row>
    <row r="1761" spans="1:10" x14ac:dyDescent="0.25">
      <c r="A1761" s="36"/>
      <c r="B1761" t="s">
        <v>451</v>
      </c>
      <c r="C1761" s="64">
        <v>42892</v>
      </c>
      <c r="D1761">
        <v>352.85</v>
      </c>
      <c r="E1761">
        <v>100.94062632846818</v>
      </c>
      <c r="F1761" t="s">
        <v>427</v>
      </c>
      <c r="G1761" s="64">
        <v>42892</v>
      </c>
      <c r="H1761">
        <v>1003</v>
      </c>
      <c r="I1761">
        <v>100.88195413758724</v>
      </c>
      <c r="J1761">
        <v>100.88195413758724</v>
      </c>
    </row>
    <row r="1762" spans="1:10" x14ac:dyDescent="0.25">
      <c r="A1762" s="36"/>
      <c r="B1762" t="s">
        <v>451</v>
      </c>
      <c r="C1762" s="64">
        <v>42893</v>
      </c>
      <c r="D1762">
        <v>359.65</v>
      </c>
      <c r="E1762">
        <v>100.9417489225636</v>
      </c>
      <c r="F1762" t="s">
        <v>427</v>
      </c>
      <c r="G1762" s="64">
        <v>42893</v>
      </c>
      <c r="H1762">
        <v>1010.07</v>
      </c>
      <c r="I1762">
        <v>100.88278040135832</v>
      </c>
      <c r="J1762">
        <v>100.88278040135832</v>
      </c>
    </row>
    <row r="1763" spans="1:10" x14ac:dyDescent="0.25">
      <c r="A1763" s="36"/>
      <c r="B1763" t="s">
        <v>451</v>
      </c>
      <c r="C1763" s="64">
        <v>42894</v>
      </c>
      <c r="D1763">
        <v>370</v>
      </c>
      <c r="E1763">
        <v>100.94337837837838</v>
      </c>
      <c r="F1763" t="s">
        <v>427</v>
      </c>
      <c r="G1763" s="64">
        <v>42894</v>
      </c>
      <c r="H1763">
        <v>1010.27</v>
      </c>
      <c r="I1763">
        <v>100.88280360695656</v>
      </c>
      <c r="J1763">
        <v>100.88280360695656</v>
      </c>
    </row>
    <row r="1764" spans="1:10" x14ac:dyDescent="0.25">
      <c r="A1764" s="36"/>
      <c r="B1764" t="s">
        <v>451</v>
      </c>
      <c r="C1764" s="64">
        <v>42895</v>
      </c>
      <c r="D1764">
        <v>357.32</v>
      </c>
      <c r="E1764">
        <v>100.94136908093586</v>
      </c>
      <c r="F1764" t="s">
        <v>427</v>
      </c>
      <c r="G1764" s="64">
        <v>42895</v>
      </c>
      <c r="H1764">
        <v>978.31</v>
      </c>
      <c r="I1764">
        <v>100.87897496703499</v>
      </c>
      <c r="J1764">
        <v>100.87897496703499</v>
      </c>
    </row>
    <row r="1765" spans="1:10" x14ac:dyDescent="0.25">
      <c r="A1765" s="36"/>
      <c r="B1765" t="s">
        <v>451</v>
      </c>
      <c r="C1765" s="64">
        <v>42898</v>
      </c>
      <c r="D1765">
        <v>359.01</v>
      </c>
      <c r="E1765">
        <v>100.94164507952425</v>
      </c>
      <c r="F1765" t="s">
        <v>427</v>
      </c>
      <c r="G1765" s="64">
        <v>42898</v>
      </c>
      <c r="H1765">
        <v>964.91</v>
      </c>
      <c r="I1765">
        <v>100.87729425542278</v>
      </c>
      <c r="J1765">
        <v>100.87729425542278</v>
      </c>
    </row>
    <row r="1766" spans="1:10" x14ac:dyDescent="0.25">
      <c r="A1766" s="36"/>
      <c r="B1766" t="s">
        <v>451</v>
      </c>
      <c r="C1766" s="64">
        <v>42899</v>
      </c>
      <c r="D1766">
        <v>375.95</v>
      </c>
      <c r="E1766">
        <v>100.94427450458838</v>
      </c>
      <c r="F1766" t="s">
        <v>427</v>
      </c>
      <c r="G1766" s="64">
        <v>42899</v>
      </c>
      <c r="H1766">
        <v>980.79</v>
      </c>
      <c r="I1766">
        <v>100.87928098777516</v>
      </c>
      <c r="J1766">
        <v>100.87928098777516</v>
      </c>
    </row>
    <row r="1767" spans="1:10" x14ac:dyDescent="0.25">
      <c r="A1767" s="36"/>
      <c r="B1767" t="s">
        <v>451</v>
      </c>
      <c r="C1767" s="64">
        <v>42900</v>
      </c>
      <c r="D1767">
        <v>380.66</v>
      </c>
      <c r="E1767">
        <v>100.94496400987758</v>
      </c>
      <c r="F1767" t="s">
        <v>427</v>
      </c>
      <c r="G1767" s="64">
        <v>42900</v>
      </c>
      <c r="H1767">
        <v>976.47</v>
      </c>
      <c r="I1767">
        <v>100.87874691490778</v>
      </c>
      <c r="J1767">
        <v>100.87874691490778</v>
      </c>
    </row>
    <row r="1768" spans="1:10" x14ac:dyDescent="0.25">
      <c r="A1768" s="36"/>
      <c r="B1768" t="s">
        <v>451</v>
      </c>
      <c r="C1768" s="64">
        <v>42901</v>
      </c>
      <c r="D1768">
        <v>375.34</v>
      </c>
      <c r="E1768">
        <v>100.9441839398945</v>
      </c>
      <c r="F1768" t="s">
        <v>427</v>
      </c>
      <c r="G1768" s="64">
        <v>42901</v>
      </c>
      <c r="H1768">
        <v>964.17</v>
      </c>
      <c r="I1768">
        <v>100.87720007882427</v>
      </c>
      <c r="J1768">
        <v>100.87720007882427</v>
      </c>
    </row>
    <row r="1769" spans="1:10" x14ac:dyDescent="0.25">
      <c r="A1769" s="36"/>
      <c r="B1769" t="s">
        <v>451</v>
      </c>
      <c r="C1769" s="64">
        <v>42902</v>
      </c>
      <c r="D1769">
        <v>371.4</v>
      </c>
      <c r="E1769">
        <v>100.94359181475498</v>
      </c>
      <c r="F1769" t="s">
        <v>427</v>
      </c>
      <c r="G1769" s="64">
        <v>42902</v>
      </c>
      <c r="H1769">
        <v>987.71</v>
      </c>
      <c r="I1769">
        <v>100.88012675785403</v>
      </c>
      <c r="J1769">
        <v>100.88012675785403</v>
      </c>
    </row>
    <row r="1770" spans="1:10" x14ac:dyDescent="0.25">
      <c r="A1770" s="36"/>
      <c r="B1770" t="s">
        <v>451</v>
      </c>
      <c r="C1770" s="64">
        <v>42905</v>
      </c>
      <c r="D1770">
        <v>369.8</v>
      </c>
      <c r="E1770">
        <v>100.94334775554354</v>
      </c>
      <c r="F1770" t="s">
        <v>427</v>
      </c>
      <c r="G1770" s="64">
        <v>42905</v>
      </c>
      <c r="H1770">
        <v>995.17</v>
      </c>
      <c r="I1770">
        <v>100.88102535245234</v>
      </c>
      <c r="J1770">
        <v>100.88102535245234</v>
      </c>
    </row>
    <row r="1771" spans="1:10" x14ac:dyDescent="0.25">
      <c r="A1771" s="36"/>
      <c r="B1771" t="s">
        <v>451</v>
      </c>
      <c r="C1771" s="64">
        <v>42906</v>
      </c>
      <c r="D1771">
        <v>372.24</v>
      </c>
      <c r="E1771">
        <v>100.94371910595315</v>
      </c>
      <c r="F1771" t="s">
        <v>427</v>
      </c>
      <c r="G1771" s="64">
        <v>42906</v>
      </c>
      <c r="H1771">
        <v>992.59</v>
      </c>
      <c r="I1771">
        <v>100.88071610634803</v>
      </c>
      <c r="J1771">
        <v>100.88071610634803</v>
      </c>
    </row>
    <row r="1772" spans="1:10" x14ac:dyDescent="0.25">
      <c r="A1772" s="36"/>
      <c r="B1772" t="s">
        <v>451</v>
      </c>
      <c r="C1772" s="64">
        <v>42907</v>
      </c>
      <c r="D1772">
        <v>376.4</v>
      </c>
      <c r="E1772">
        <v>100.94434112646121</v>
      </c>
      <c r="F1772" t="s">
        <v>427</v>
      </c>
      <c r="G1772" s="64">
        <v>42907</v>
      </c>
      <c r="H1772">
        <v>1002.23</v>
      </c>
      <c r="I1772">
        <v>100.88186344451873</v>
      </c>
      <c r="J1772">
        <v>100.88186344451873</v>
      </c>
    </row>
    <row r="1773" spans="1:10" x14ac:dyDescent="0.25">
      <c r="A1773" s="36"/>
      <c r="B1773" t="s">
        <v>451</v>
      </c>
      <c r="C1773" s="64">
        <v>42908</v>
      </c>
      <c r="D1773">
        <v>382.61</v>
      </c>
      <c r="E1773">
        <v>100.94524450484828</v>
      </c>
      <c r="F1773" t="s">
        <v>427</v>
      </c>
      <c r="G1773" s="64">
        <v>42908</v>
      </c>
      <c r="H1773">
        <v>1001.3</v>
      </c>
      <c r="I1773">
        <v>100.88175372016379</v>
      </c>
      <c r="J1773">
        <v>100.88175372016379</v>
      </c>
    </row>
    <row r="1774" spans="1:10" x14ac:dyDescent="0.25">
      <c r="A1774" s="36"/>
      <c r="B1774" t="s">
        <v>451</v>
      </c>
      <c r="C1774" s="64">
        <v>42909</v>
      </c>
      <c r="D1774">
        <v>383.45</v>
      </c>
      <c r="E1774">
        <v>100.94536445429652</v>
      </c>
      <c r="F1774" t="s">
        <v>427</v>
      </c>
      <c r="G1774" s="64">
        <v>42909</v>
      </c>
      <c r="H1774">
        <v>1003.74</v>
      </c>
      <c r="I1774">
        <v>100.88204116603902</v>
      </c>
      <c r="J1774">
        <v>100.88204116603902</v>
      </c>
    </row>
    <row r="1775" spans="1:10" x14ac:dyDescent="0.25">
      <c r="A1775" s="36"/>
      <c r="B1775" t="s">
        <v>451</v>
      </c>
      <c r="C1775" s="64">
        <v>42912</v>
      </c>
      <c r="D1775">
        <v>377.49</v>
      </c>
      <c r="E1775">
        <v>100.94450184110838</v>
      </c>
      <c r="F1775" t="s">
        <v>427</v>
      </c>
      <c r="G1775" s="64">
        <v>42912</v>
      </c>
      <c r="H1775">
        <v>993.98</v>
      </c>
      <c r="I1775">
        <v>100.8808829151492</v>
      </c>
      <c r="J1775">
        <v>100.8808829151492</v>
      </c>
    </row>
    <row r="1776" spans="1:10" x14ac:dyDescent="0.25">
      <c r="A1776" s="36"/>
      <c r="B1776" t="s">
        <v>451</v>
      </c>
      <c r="C1776" s="64">
        <v>42913</v>
      </c>
      <c r="D1776">
        <v>362.37</v>
      </c>
      <c r="E1776">
        <v>100.94218616331374</v>
      </c>
      <c r="F1776" t="s">
        <v>427</v>
      </c>
      <c r="G1776" s="64">
        <v>42913</v>
      </c>
      <c r="H1776">
        <v>976.78</v>
      </c>
      <c r="I1776">
        <v>100.8787853969164</v>
      </c>
      <c r="J1776">
        <v>100.8787853969164</v>
      </c>
    </row>
    <row r="1777" spans="1:10" x14ac:dyDescent="0.25">
      <c r="A1777" s="36"/>
      <c r="B1777" t="s">
        <v>451</v>
      </c>
      <c r="C1777" s="64">
        <v>42914</v>
      </c>
      <c r="D1777">
        <v>371.24</v>
      </c>
      <c r="E1777">
        <v>100.94356750350178</v>
      </c>
      <c r="F1777" t="s">
        <v>427</v>
      </c>
      <c r="G1777" s="64">
        <v>42914</v>
      </c>
      <c r="H1777">
        <v>990.33</v>
      </c>
      <c r="I1777">
        <v>100.8804438924399</v>
      </c>
      <c r="J1777">
        <v>100.8804438924399</v>
      </c>
    </row>
    <row r="1778" spans="1:10" x14ac:dyDescent="0.25">
      <c r="A1778" s="36"/>
      <c r="B1778" t="s">
        <v>451</v>
      </c>
      <c r="C1778" s="64">
        <v>42915</v>
      </c>
      <c r="D1778">
        <v>360.75</v>
      </c>
      <c r="E1778">
        <v>100.94192654192655</v>
      </c>
      <c r="F1778" t="s">
        <v>427</v>
      </c>
      <c r="G1778" s="64">
        <v>42915</v>
      </c>
      <c r="H1778">
        <v>975.93</v>
      </c>
      <c r="I1778">
        <v>100.87867982334798</v>
      </c>
      <c r="J1778">
        <v>100.87867982334798</v>
      </c>
    </row>
    <row r="1779" spans="1:10" x14ac:dyDescent="0.25">
      <c r="A1779" s="36"/>
      <c r="B1779" t="s">
        <v>451</v>
      </c>
      <c r="C1779" s="64">
        <v>42916</v>
      </c>
      <c r="D1779">
        <v>361.61</v>
      </c>
      <c r="E1779">
        <v>100.94206465529162</v>
      </c>
      <c r="F1779" t="s">
        <v>427</v>
      </c>
      <c r="G1779" s="64">
        <v>42916</v>
      </c>
      <c r="H1779">
        <v>968</v>
      </c>
      <c r="I1779">
        <v>100.87768595041322</v>
      </c>
      <c r="J1779">
        <v>100.87768595041322</v>
      </c>
    </row>
    <row r="1780" spans="1:10" x14ac:dyDescent="0.25">
      <c r="A1780" s="36"/>
      <c r="B1780" t="s">
        <v>451</v>
      </c>
      <c r="C1780" s="64">
        <v>42919</v>
      </c>
      <c r="D1780">
        <v>352.62</v>
      </c>
      <c r="E1780">
        <v>100.94058760138392</v>
      </c>
      <c r="F1780" t="s">
        <v>427</v>
      </c>
      <c r="G1780" s="64">
        <v>42919</v>
      </c>
      <c r="H1780">
        <v>953.66</v>
      </c>
      <c r="I1780">
        <v>100.8758467378311</v>
      </c>
      <c r="J1780">
        <v>100.8758467378311</v>
      </c>
    </row>
    <row r="1781" spans="1:10" x14ac:dyDescent="0.25">
      <c r="A1781" s="36"/>
      <c r="B1781" t="s">
        <v>451</v>
      </c>
      <c r="C1781" s="64">
        <v>42921</v>
      </c>
      <c r="D1781">
        <v>327.08999999999997</v>
      </c>
      <c r="E1781">
        <v>100.93595035005656</v>
      </c>
      <c r="F1781" t="s">
        <v>427</v>
      </c>
      <c r="G1781" s="64">
        <v>42921</v>
      </c>
      <c r="H1781">
        <v>971.4</v>
      </c>
      <c r="I1781">
        <v>100.8781140621783</v>
      </c>
      <c r="J1781">
        <v>100.8781140621783</v>
      </c>
    </row>
    <row r="1782" spans="1:10" x14ac:dyDescent="0.25">
      <c r="A1782" s="36"/>
      <c r="B1782" t="s">
        <v>451</v>
      </c>
      <c r="C1782" s="64">
        <v>42922</v>
      </c>
      <c r="D1782">
        <v>308.83</v>
      </c>
      <c r="E1782">
        <v>100.93216332610174</v>
      </c>
      <c r="F1782" t="s">
        <v>427</v>
      </c>
      <c r="G1782" s="64">
        <v>42922</v>
      </c>
      <c r="H1782">
        <v>965.14</v>
      </c>
      <c r="I1782">
        <v>100.87732349710923</v>
      </c>
      <c r="J1782">
        <v>100.87732349710923</v>
      </c>
    </row>
    <row r="1783" spans="1:10" x14ac:dyDescent="0.25">
      <c r="A1783" s="36"/>
      <c r="B1783" t="s">
        <v>451</v>
      </c>
      <c r="C1783" s="64">
        <v>42923</v>
      </c>
      <c r="D1783">
        <v>313.22000000000003</v>
      </c>
      <c r="E1783">
        <v>100.93311410510185</v>
      </c>
      <c r="F1783" t="s">
        <v>427</v>
      </c>
      <c r="G1783" s="64">
        <v>42923</v>
      </c>
      <c r="H1783">
        <v>978.76</v>
      </c>
      <c r="I1783">
        <v>100.87903061015979</v>
      </c>
      <c r="J1783">
        <v>100.87903061015979</v>
      </c>
    </row>
    <row r="1784" spans="1:10" x14ac:dyDescent="0.25">
      <c r="A1784" s="36"/>
      <c r="B1784" t="s">
        <v>451</v>
      </c>
      <c r="C1784" s="64">
        <v>42926</v>
      </c>
      <c r="D1784">
        <v>316.05</v>
      </c>
      <c r="E1784">
        <v>100.93371302009176</v>
      </c>
      <c r="F1784" t="s">
        <v>427</v>
      </c>
      <c r="G1784" s="64">
        <v>42926</v>
      </c>
      <c r="H1784">
        <v>996.47</v>
      </c>
      <c r="I1784">
        <v>100.88118056740294</v>
      </c>
      <c r="J1784">
        <v>100.88118056740294</v>
      </c>
    </row>
    <row r="1785" spans="1:10" x14ac:dyDescent="0.25">
      <c r="A1785" s="36"/>
      <c r="B1785" t="s">
        <v>451</v>
      </c>
      <c r="C1785" s="64">
        <v>42927</v>
      </c>
      <c r="D1785">
        <v>327.22000000000003</v>
      </c>
      <c r="E1785">
        <v>100.93597579610048</v>
      </c>
      <c r="F1785" t="s">
        <v>427</v>
      </c>
      <c r="G1785" s="64">
        <v>42927</v>
      </c>
      <c r="H1785">
        <v>994.13</v>
      </c>
      <c r="I1785">
        <v>100.88090088821382</v>
      </c>
      <c r="J1785">
        <v>100.88090088821382</v>
      </c>
    </row>
    <row r="1786" spans="1:10" x14ac:dyDescent="0.25">
      <c r="A1786" s="36"/>
      <c r="B1786" t="s">
        <v>451</v>
      </c>
      <c r="C1786" s="64">
        <v>42928</v>
      </c>
      <c r="D1786">
        <v>329.52</v>
      </c>
      <c r="E1786">
        <v>100.93642267540665</v>
      </c>
      <c r="F1786" t="s">
        <v>427</v>
      </c>
      <c r="G1786" s="64">
        <v>42928</v>
      </c>
      <c r="H1786">
        <v>1006.51</v>
      </c>
      <c r="I1786">
        <v>100.88236579865078</v>
      </c>
      <c r="J1786">
        <v>100.88236579865078</v>
      </c>
    </row>
    <row r="1787" spans="1:10" x14ac:dyDescent="0.25">
      <c r="A1787" s="36"/>
      <c r="B1787" t="s">
        <v>451</v>
      </c>
      <c r="C1787" s="64">
        <v>42929</v>
      </c>
      <c r="D1787">
        <v>323.41000000000003</v>
      </c>
      <c r="E1787">
        <v>100.93522154540676</v>
      </c>
      <c r="F1787" t="s">
        <v>427</v>
      </c>
      <c r="G1787" s="64">
        <v>42929</v>
      </c>
      <c r="H1787">
        <v>1000.63</v>
      </c>
      <c r="I1787">
        <v>100.88167454503663</v>
      </c>
      <c r="J1787">
        <v>100.88167454503663</v>
      </c>
    </row>
    <row r="1788" spans="1:10" x14ac:dyDescent="0.25">
      <c r="A1788" s="36"/>
      <c r="B1788" t="s">
        <v>451</v>
      </c>
      <c r="C1788" s="64">
        <v>42930</v>
      </c>
      <c r="D1788">
        <v>327.78</v>
      </c>
      <c r="E1788">
        <v>100.93608517908353</v>
      </c>
      <c r="F1788" t="s">
        <v>427</v>
      </c>
      <c r="G1788" s="64">
        <v>42930</v>
      </c>
      <c r="H1788">
        <v>1001.81</v>
      </c>
      <c r="I1788">
        <v>100.88181391681057</v>
      </c>
      <c r="J1788">
        <v>100.88181391681057</v>
      </c>
    </row>
    <row r="1789" spans="1:10" x14ac:dyDescent="0.25">
      <c r="A1789" s="36"/>
      <c r="B1789" t="s">
        <v>451</v>
      </c>
      <c r="C1789" s="64">
        <v>42933</v>
      </c>
      <c r="D1789">
        <v>319.57</v>
      </c>
      <c r="E1789">
        <v>100.93444315799356</v>
      </c>
      <c r="F1789" t="s">
        <v>427</v>
      </c>
      <c r="G1789" s="64">
        <v>42933</v>
      </c>
      <c r="H1789">
        <v>1010.04</v>
      </c>
      <c r="I1789">
        <v>100.88277691972596</v>
      </c>
      <c r="J1789">
        <v>100.88277691972596</v>
      </c>
    </row>
    <row r="1790" spans="1:10" x14ac:dyDescent="0.25">
      <c r="A1790" s="36"/>
      <c r="B1790" t="s">
        <v>451</v>
      </c>
      <c r="C1790" s="64">
        <v>42934</v>
      </c>
      <c r="D1790">
        <v>328.24</v>
      </c>
      <c r="E1790">
        <v>100.93617475018279</v>
      </c>
      <c r="F1790" t="s">
        <v>427</v>
      </c>
      <c r="G1790" s="64">
        <v>42934</v>
      </c>
      <c r="H1790">
        <v>1024.45</v>
      </c>
      <c r="I1790">
        <v>100.884425789448</v>
      </c>
      <c r="J1790">
        <v>100.884425789448</v>
      </c>
    </row>
    <row r="1791" spans="1:10" x14ac:dyDescent="0.25">
      <c r="A1791" s="36"/>
      <c r="B1791" t="s">
        <v>451</v>
      </c>
      <c r="C1791" s="64">
        <v>42935</v>
      </c>
      <c r="D1791">
        <v>325.26</v>
      </c>
      <c r="E1791">
        <v>100.93558998954683</v>
      </c>
      <c r="F1791" t="s">
        <v>427</v>
      </c>
      <c r="G1791" s="64">
        <v>42935</v>
      </c>
      <c r="H1791">
        <v>1026.8699999999999</v>
      </c>
      <c r="I1791">
        <v>100.88469816042927</v>
      </c>
      <c r="J1791">
        <v>100.88469816042927</v>
      </c>
    </row>
    <row r="1792" spans="1:10" x14ac:dyDescent="0.25">
      <c r="A1792" s="36"/>
      <c r="B1792" t="s">
        <v>451</v>
      </c>
      <c r="C1792" s="64">
        <v>42936</v>
      </c>
      <c r="D1792">
        <v>329.92</v>
      </c>
      <c r="E1792">
        <v>100.93649975751697</v>
      </c>
      <c r="F1792" t="s">
        <v>427</v>
      </c>
      <c r="G1792" s="64">
        <v>42936</v>
      </c>
      <c r="H1792">
        <v>1028.7</v>
      </c>
      <c r="I1792">
        <v>100.8849032759794</v>
      </c>
      <c r="J1792">
        <v>100.8849032759794</v>
      </c>
    </row>
    <row r="1793" spans="1:10" x14ac:dyDescent="0.25">
      <c r="A1793" s="36"/>
      <c r="B1793" t="s">
        <v>451</v>
      </c>
      <c r="C1793" s="64">
        <v>42937</v>
      </c>
      <c r="D1793">
        <v>328.4</v>
      </c>
      <c r="E1793">
        <v>100.93620584652862</v>
      </c>
      <c r="F1793" t="s">
        <v>427</v>
      </c>
      <c r="G1793" s="64">
        <v>42937</v>
      </c>
      <c r="H1793">
        <v>1025.67</v>
      </c>
      <c r="I1793">
        <v>100.88456326108788</v>
      </c>
      <c r="J1793">
        <v>100.88456326108788</v>
      </c>
    </row>
    <row r="1794" spans="1:10" x14ac:dyDescent="0.25">
      <c r="A1794" s="36"/>
      <c r="B1794" t="s">
        <v>451</v>
      </c>
      <c r="C1794" s="64">
        <v>42940</v>
      </c>
      <c r="D1794">
        <v>342.52</v>
      </c>
      <c r="E1794">
        <v>100.93883568842695</v>
      </c>
      <c r="F1794" t="s">
        <v>427</v>
      </c>
      <c r="G1794" s="64">
        <v>42940</v>
      </c>
      <c r="H1794">
        <v>1038.95</v>
      </c>
      <c r="I1794">
        <v>100.88603878916213</v>
      </c>
      <c r="J1794">
        <v>100.88603878916213</v>
      </c>
    </row>
    <row r="1795" spans="1:10" x14ac:dyDescent="0.25">
      <c r="A1795" s="36"/>
      <c r="B1795" t="s">
        <v>451</v>
      </c>
      <c r="C1795" s="64">
        <v>42941</v>
      </c>
      <c r="D1795">
        <v>339.6</v>
      </c>
      <c r="E1795">
        <v>100.9383097762073</v>
      </c>
      <c r="F1795" t="s">
        <v>427</v>
      </c>
      <c r="G1795" s="64">
        <v>42941</v>
      </c>
      <c r="H1795">
        <v>1039.8699999999999</v>
      </c>
      <c r="I1795">
        <v>100.88613961360555</v>
      </c>
      <c r="J1795">
        <v>100.88613961360555</v>
      </c>
    </row>
    <row r="1796" spans="1:10" x14ac:dyDescent="0.25">
      <c r="A1796" s="36"/>
      <c r="B1796" t="s">
        <v>451</v>
      </c>
      <c r="C1796" s="64">
        <v>42942</v>
      </c>
      <c r="D1796">
        <v>343.85</v>
      </c>
      <c r="E1796">
        <v>100.93907226988513</v>
      </c>
      <c r="F1796" t="s">
        <v>427</v>
      </c>
      <c r="G1796" s="64">
        <v>42942</v>
      </c>
      <c r="H1796">
        <v>1052.8</v>
      </c>
      <c r="I1796">
        <v>100.88753799392097</v>
      </c>
      <c r="J1796">
        <v>100.88753799392097</v>
      </c>
    </row>
    <row r="1797" spans="1:10" x14ac:dyDescent="0.25">
      <c r="A1797" s="36"/>
      <c r="B1797" t="s">
        <v>451</v>
      </c>
      <c r="C1797" s="64">
        <v>42943</v>
      </c>
      <c r="D1797">
        <v>334.46</v>
      </c>
      <c r="E1797">
        <v>100.93736171739521</v>
      </c>
      <c r="F1797" t="s">
        <v>427</v>
      </c>
      <c r="G1797" s="64">
        <v>42943</v>
      </c>
      <c r="H1797">
        <v>1046</v>
      </c>
      <c r="I1797">
        <v>100.8868068833652</v>
      </c>
      <c r="J1797">
        <v>100.8868068833652</v>
      </c>
    </row>
    <row r="1798" spans="1:10" x14ac:dyDescent="0.25">
      <c r="A1798" s="36"/>
      <c r="B1798" t="s">
        <v>451</v>
      </c>
      <c r="C1798" s="64">
        <v>42944</v>
      </c>
      <c r="D1798">
        <v>335.07</v>
      </c>
      <c r="E1798">
        <v>100.93747575133554</v>
      </c>
      <c r="F1798" t="s">
        <v>427</v>
      </c>
      <c r="G1798" s="64">
        <v>42944</v>
      </c>
      <c r="H1798">
        <v>1020.04</v>
      </c>
      <c r="I1798">
        <v>100.88392612054429</v>
      </c>
      <c r="J1798">
        <v>100.88392612054429</v>
      </c>
    </row>
    <row r="1799" spans="1:10" x14ac:dyDescent="0.25">
      <c r="A1799" s="36"/>
      <c r="B1799" t="s">
        <v>451</v>
      </c>
      <c r="C1799" s="64">
        <v>42947</v>
      </c>
      <c r="D1799">
        <v>323.47000000000003</v>
      </c>
      <c r="E1799">
        <v>100.93523356107212</v>
      </c>
      <c r="F1799" t="s">
        <v>427</v>
      </c>
      <c r="G1799" s="64">
        <v>42947</v>
      </c>
      <c r="H1799">
        <v>987.78</v>
      </c>
      <c r="I1799">
        <v>100.88013525278909</v>
      </c>
      <c r="J1799">
        <v>100.88013525278909</v>
      </c>
    </row>
    <row r="1800" spans="1:10" x14ac:dyDescent="0.25">
      <c r="A1800" s="36"/>
      <c r="B1800" t="s">
        <v>451</v>
      </c>
      <c r="C1800" s="64">
        <v>42948</v>
      </c>
      <c r="D1800">
        <v>319.57</v>
      </c>
      <c r="E1800">
        <v>100.93444315799356</v>
      </c>
      <c r="F1800" t="s">
        <v>427</v>
      </c>
      <c r="G1800" s="64">
        <v>42948</v>
      </c>
      <c r="H1800">
        <v>996.19</v>
      </c>
      <c r="I1800">
        <v>100.88114717072044</v>
      </c>
      <c r="J1800">
        <v>100.88114717072044</v>
      </c>
    </row>
    <row r="1801" spans="1:10" x14ac:dyDescent="0.25">
      <c r="A1801" s="36"/>
      <c r="B1801" t="s">
        <v>451</v>
      </c>
      <c r="C1801" s="64">
        <v>42949</v>
      </c>
      <c r="D1801">
        <v>325.89</v>
      </c>
      <c r="E1801">
        <v>100.93571450489429</v>
      </c>
      <c r="F1801" t="s">
        <v>427</v>
      </c>
      <c r="G1801" s="64">
        <v>42949</v>
      </c>
      <c r="H1801">
        <v>995.89</v>
      </c>
      <c r="I1801">
        <v>100.88111136772133</v>
      </c>
      <c r="J1801">
        <v>100.88111136772133</v>
      </c>
    </row>
    <row r="1802" spans="1:10" x14ac:dyDescent="0.25">
      <c r="A1802" s="36"/>
      <c r="B1802" t="s">
        <v>451</v>
      </c>
      <c r="C1802" s="64">
        <v>42950</v>
      </c>
      <c r="D1802">
        <v>347.09</v>
      </c>
      <c r="E1802">
        <v>100.93964101529862</v>
      </c>
      <c r="F1802" t="s">
        <v>427</v>
      </c>
      <c r="G1802" s="64">
        <v>42950</v>
      </c>
      <c r="H1802">
        <v>986.92</v>
      </c>
      <c r="I1802">
        <v>100.88003080290196</v>
      </c>
      <c r="J1802">
        <v>100.88003080290196</v>
      </c>
    </row>
    <row r="1803" spans="1:10" x14ac:dyDescent="0.25">
      <c r="A1803" s="36"/>
      <c r="B1803" t="s">
        <v>451</v>
      </c>
      <c r="C1803" s="64">
        <v>42951</v>
      </c>
      <c r="D1803">
        <v>356.91</v>
      </c>
      <c r="E1803">
        <v>100.94130172872713</v>
      </c>
      <c r="F1803" t="s">
        <v>427</v>
      </c>
      <c r="G1803" s="64">
        <v>42951</v>
      </c>
      <c r="H1803">
        <v>987.58</v>
      </c>
      <c r="I1803">
        <v>100.88011097835113</v>
      </c>
      <c r="J1803">
        <v>100.88011097835113</v>
      </c>
    </row>
    <row r="1804" spans="1:10" x14ac:dyDescent="0.25">
      <c r="A1804" s="36"/>
      <c r="B1804" t="s">
        <v>451</v>
      </c>
      <c r="C1804" s="64">
        <v>42954</v>
      </c>
      <c r="D1804">
        <v>355.17</v>
      </c>
      <c r="E1804">
        <v>100.94101416223216</v>
      </c>
      <c r="F1804" t="s">
        <v>427</v>
      </c>
      <c r="G1804" s="64">
        <v>42954</v>
      </c>
      <c r="H1804">
        <v>992.27</v>
      </c>
      <c r="I1804">
        <v>100.88067763814284</v>
      </c>
      <c r="J1804">
        <v>100.88067763814284</v>
      </c>
    </row>
    <row r="1805" spans="1:10" x14ac:dyDescent="0.25">
      <c r="A1805" s="36"/>
      <c r="B1805" t="s">
        <v>451</v>
      </c>
      <c r="C1805" s="64">
        <v>42955</v>
      </c>
      <c r="D1805">
        <v>365.22</v>
      </c>
      <c r="E1805">
        <v>100.94263731449537</v>
      </c>
      <c r="F1805" t="s">
        <v>427</v>
      </c>
      <c r="G1805" s="64">
        <v>42955</v>
      </c>
      <c r="H1805">
        <v>989.84</v>
      </c>
      <c r="I1805">
        <v>100.88038470863978</v>
      </c>
      <c r="J1805">
        <v>100.88038470863978</v>
      </c>
    </row>
    <row r="1806" spans="1:10" x14ac:dyDescent="0.25">
      <c r="A1806" s="36"/>
      <c r="B1806" t="s">
        <v>451</v>
      </c>
      <c r="C1806" s="64">
        <v>42956</v>
      </c>
      <c r="D1806">
        <v>363.53</v>
      </c>
      <c r="E1806">
        <v>100.9423706434132</v>
      </c>
      <c r="F1806" t="s">
        <v>427</v>
      </c>
      <c r="G1806" s="64">
        <v>42956</v>
      </c>
      <c r="H1806">
        <v>982.01</v>
      </c>
      <c r="I1806">
        <v>100.87943096302482</v>
      </c>
      <c r="J1806">
        <v>100.87943096302482</v>
      </c>
    </row>
    <row r="1807" spans="1:10" x14ac:dyDescent="0.25">
      <c r="A1807" s="36"/>
      <c r="B1807" t="s">
        <v>451</v>
      </c>
      <c r="C1807" s="64">
        <v>42957</v>
      </c>
      <c r="D1807">
        <v>355.4</v>
      </c>
      <c r="E1807">
        <v>100.94105233539673</v>
      </c>
      <c r="F1807" t="s">
        <v>427</v>
      </c>
      <c r="G1807" s="64">
        <v>42957</v>
      </c>
      <c r="H1807">
        <v>956.92</v>
      </c>
      <c r="I1807">
        <v>100.8762696986164</v>
      </c>
      <c r="J1807">
        <v>100.8762696986164</v>
      </c>
    </row>
    <row r="1808" spans="1:10" x14ac:dyDescent="0.25">
      <c r="A1808" s="36"/>
      <c r="B1808" t="s">
        <v>451</v>
      </c>
      <c r="C1808" s="64">
        <v>42958</v>
      </c>
      <c r="D1808">
        <v>357.87</v>
      </c>
      <c r="E1808">
        <v>100.94145918909101</v>
      </c>
      <c r="F1808" t="s">
        <v>427</v>
      </c>
      <c r="G1808" s="64">
        <v>42958</v>
      </c>
      <c r="H1808">
        <v>967.99</v>
      </c>
      <c r="I1808">
        <v>100.87768468682528</v>
      </c>
      <c r="J1808">
        <v>100.87768468682528</v>
      </c>
    </row>
    <row r="1809" spans="1:10" x14ac:dyDescent="0.25">
      <c r="A1809" s="36"/>
      <c r="B1809" t="s">
        <v>451</v>
      </c>
      <c r="C1809" s="64">
        <v>42961</v>
      </c>
      <c r="D1809">
        <v>363.8</v>
      </c>
      <c r="E1809">
        <v>100.94241341396372</v>
      </c>
      <c r="F1809" t="s">
        <v>427</v>
      </c>
      <c r="G1809" s="64">
        <v>42961</v>
      </c>
      <c r="H1809">
        <v>983.3</v>
      </c>
      <c r="I1809">
        <v>100.87958913861488</v>
      </c>
      <c r="J1809">
        <v>100.87958913861488</v>
      </c>
    </row>
    <row r="1810" spans="1:10" x14ac:dyDescent="0.25">
      <c r="A1810" s="36"/>
      <c r="B1810" t="s">
        <v>451</v>
      </c>
      <c r="C1810" s="64">
        <v>42962</v>
      </c>
      <c r="D1810">
        <v>362.33</v>
      </c>
      <c r="E1810">
        <v>100.94217978086274</v>
      </c>
      <c r="F1810" t="s">
        <v>427</v>
      </c>
      <c r="G1810" s="64">
        <v>42962</v>
      </c>
      <c r="H1810">
        <v>982.74</v>
      </c>
      <c r="I1810">
        <v>100.87952052424853</v>
      </c>
      <c r="J1810">
        <v>100.87952052424853</v>
      </c>
    </row>
    <row r="1811" spans="1:10" x14ac:dyDescent="0.25">
      <c r="A1811" s="36"/>
      <c r="B1811" t="s">
        <v>451</v>
      </c>
      <c r="C1811" s="64">
        <v>42963</v>
      </c>
      <c r="D1811">
        <v>362.91</v>
      </c>
      <c r="E1811">
        <v>100.94227218869692</v>
      </c>
      <c r="F1811" t="s">
        <v>427</v>
      </c>
      <c r="G1811" s="64">
        <v>42963</v>
      </c>
      <c r="H1811">
        <v>978.18</v>
      </c>
      <c r="I1811">
        <v>100.8789588828232</v>
      </c>
      <c r="J1811">
        <v>100.8789588828232</v>
      </c>
    </row>
    <row r="1812" spans="1:10" x14ac:dyDescent="0.25">
      <c r="A1812" s="36"/>
      <c r="B1812" t="s">
        <v>451</v>
      </c>
      <c r="C1812" s="64">
        <v>42964</v>
      </c>
      <c r="D1812">
        <v>351.92</v>
      </c>
      <c r="E1812">
        <v>100.94046942486929</v>
      </c>
      <c r="F1812" t="s">
        <v>427</v>
      </c>
      <c r="G1812" s="64">
        <v>42964</v>
      </c>
      <c r="H1812">
        <v>960.57</v>
      </c>
      <c r="I1812">
        <v>100.87673985237932</v>
      </c>
      <c r="J1812">
        <v>100.87673985237932</v>
      </c>
    </row>
    <row r="1813" spans="1:10" x14ac:dyDescent="0.25">
      <c r="A1813" s="36"/>
      <c r="B1813" t="s">
        <v>451</v>
      </c>
      <c r="C1813" s="64">
        <v>42965</v>
      </c>
      <c r="D1813">
        <v>347.46</v>
      </c>
      <c r="E1813">
        <v>100.93970528981754</v>
      </c>
      <c r="F1813" t="s">
        <v>427</v>
      </c>
      <c r="G1813" s="64">
        <v>42965</v>
      </c>
      <c r="H1813">
        <v>958.47</v>
      </c>
      <c r="I1813">
        <v>100.87646979039511</v>
      </c>
      <c r="J1813">
        <v>100.87646979039511</v>
      </c>
    </row>
    <row r="1814" spans="1:10" x14ac:dyDescent="0.25">
      <c r="A1814" s="36"/>
      <c r="B1814" t="s">
        <v>451</v>
      </c>
      <c r="C1814" s="64">
        <v>42968</v>
      </c>
      <c r="D1814">
        <v>337.86</v>
      </c>
      <c r="E1814">
        <v>100.93799206772036</v>
      </c>
      <c r="F1814" t="s">
        <v>427</v>
      </c>
      <c r="G1814" s="64">
        <v>42968</v>
      </c>
      <c r="H1814">
        <v>953.29</v>
      </c>
      <c r="I1814">
        <v>100.87579855028375</v>
      </c>
      <c r="J1814">
        <v>100.87579855028375</v>
      </c>
    </row>
    <row r="1815" spans="1:10" x14ac:dyDescent="0.25">
      <c r="A1815" s="36"/>
      <c r="B1815" t="s">
        <v>451</v>
      </c>
      <c r="C1815" s="64">
        <v>42969</v>
      </c>
      <c r="D1815">
        <v>341.35</v>
      </c>
      <c r="E1815">
        <v>100.93862604365022</v>
      </c>
      <c r="F1815" t="s">
        <v>427</v>
      </c>
      <c r="G1815" s="64">
        <v>42969</v>
      </c>
      <c r="H1815">
        <v>966.9</v>
      </c>
      <c r="I1815">
        <v>100.8775467990485</v>
      </c>
      <c r="J1815">
        <v>100.8775467990485</v>
      </c>
    </row>
    <row r="1816" spans="1:10" x14ac:dyDescent="0.25">
      <c r="A1816" s="36"/>
      <c r="B1816" t="s">
        <v>451</v>
      </c>
      <c r="C1816" s="64">
        <v>42970</v>
      </c>
      <c r="D1816">
        <v>352.77</v>
      </c>
      <c r="E1816">
        <v>100.94061286390566</v>
      </c>
      <c r="F1816" t="s">
        <v>427</v>
      </c>
      <c r="G1816" s="64">
        <v>42970</v>
      </c>
      <c r="H1816">
        <v>958</v>
      </c>
      <c r="I1816">
        <v>100.87640918580375</v>
      </c>
      <c r="J1816">
        <v>100.87640918580375</v>
      </c>
    </row>
    <row r="1817" spans="1:10" x14ac:dyDescent="0.25">
      <c r="A1817" s="36"/>
      <c r="B1817" t="s">
        <v>451</v>
      </c>
      <c r="C1817" s="64">
        <v>42971</v>
      </c>
      <c r="D1817">
        <v>352.93</v>
      </c>
      <c r="E1817">
        <v>100.94063978692658</v>
      </c>
      <c r="F1817" t="s">
        <v>427</v>
      </c>
      <c r="G1817" s="64">
        <v>42971</v>
      </c>
      <c r="H1817">
        <v>952.45</v>
      </c>
      <c r="I1817">
        <v>100.87568901254659</v>
      </c>
      <c r="J1817">
        <v>100.87568901254659</v>
      </c>
    </row>
    <row r="1818" spans="1:10" x14ac:dyDescent="0.25">
      <c r="A1818" s="36"/>
      <c r="B1818" t="s">
        <v>451</v>
      </c>
      <c r="C1818" s="64">
        <v>42972</v>
      </c>
      <c r="D1818">
        <v>348.05</v>
      </c>
      <c r="E1818">
        <v>100.93980749892256</v>
      </c>
      <c r="F1818" t="s">
        <v>427</v>
      </c>
      <c r="G1818" s="64">
        <v>42972</v>
      </c>
      <c r="H1818">
        <v>945.26</v>
      </c>
      <c r="I1818">
        <v>100.87474345682669</v>
      </c>
      <c r="J1818">
        <v>100.87474345682669</v>
      </c>
    </row>
    <row r="1819" spans="1:10" x14ac:dyDescent="0.25">
      <c r="A1819" s="36"/>
      <c r="B1819" t="s">
        <v>451</v>
      </c>
      <c r="C1819" s="64">
        <v>42975</v>
      </c>
      <c r="D1819">
        <v>345.66</v>
      </c>
      <c r="E1819">
        <v>100.93939130937916</v>
      </c>
      <c r="F1819" t="s">
        <v>427</v>
      </c>
      <c r="G1819" s="64">
        <v>42975</v>
      </c>
      <c r="H1819">
        <v>946.02</v>
      </c>
      <c r="I1819">
        <v>100.8748440836346</v>
      </c>
      <c r="J1819">
        <v>100.8748440836346</v>
      </c>
    </row>
    <row r="1820" spans="1:10" x14ac:dyDescent="0.25">
      <c r="A1820" s="36"/>
      <c r="B1820" t="s">
        <v>451</v>
      </c>
      <c r="C1820" s="64">
        <v>42976</v>
      </c>
      <c r="D1820">
        <v>347.36</v>
      </c>
      <c r="E1820">
        <v>100.93968793182864</v>
      </c>
      <c r="F1820" t="s">
        <v>427</v>
      </c>
      <c r="G1820" s="64">
        <v>42976</v>
      </c>
      <c r="H1820">
        <v>954.06</v>
      </c>
      <c r="I1820">
        <v>100.87589879043247</v>
      </c>
      <c r="J1820">
        <v>100.87589879043247</v>
      </c>
    </row>
    <row r="1821" spans="1:10" x14ac:dyDescent="0.25">
      <c r="A1821" s="36"/>
      <c r="B1821" t="s">
        <v>451</v>
      </c>
      <c r="C1821" s="64">
        <v>42977</v>
      </c>
      <c r="D1821">
        <v>353.18</v>
      </c>
      <c r="E1821">
        <v>100.94068180531174</v>
      </c>
      <c r="F1821" t="s">
        <v>427</v>
      </c>
      <c r="G1821" s="64">
        <v>42977</v>
      </c>
      <c r="H1821">
        <v>967.59</v>
      </c>
      <c r="I1821">
        <v>100.87763412189047</v>
      </c>
      <c r="J1821">
        <v>100.87763412189047</v>
      </c>
    </row>
    <row r="1822" spans="1:10" x14ac:dyDescent="0.25">
      <c r="A1822" s="36"/>
      <c r="B1822" t="s">
        <v>451</v>
      </c>
      <c r="C1822" s="64">
        <v>42978</v>
      </c>
      <c r="D1822">
        <v>355.9</v>
      </c>
      <c r="E1822">
        <v>100.94113515032312</v>
      </c>
      <c r="F1822" t="s">
        <v>427</v>
      </c>
      <c r="G1822" s="64">
        <v>42978</v>
      </c>
      <c r="H1822">
        <v>980.6</v>
      </c>
      <c r="I1822">
        <v>100.87925759738935</v>
      </c>
      <c r="J1822">
        <v>100.87925759738935</v>
      </c>
    </row>
    <row r="1823" spans="1:10" x14ac:dyDescent="0.25">
      <c r="A1823" s="36"/>
      <c r="B1823" t="s">
        <v>451</v>
      </c>
      <c r="C1823" s="64">
        <v>42979</v>
      </c>
      <c r="D1823">
        <v>355.4</v>
      </c>
      <c r="E1823">
        <v>100.94105233539673</v>
      </c>
      <c r="F1823" t="s">
        <v>427</v>
      </c>
      <c r="G1823" s="64">
        <v>42979</v>
      </c>
      <c r="H1823">
        <v>978.25</v>
      </c>
      <c r="I1823">
        <v>100.87896754408382</v>
      </c>
      <c r="J1823">
        <v>100.87896754408382</v>
      </c>
    </row>
    <row r="1824" spans="1:10" x14ac:dyDescent="0.25">
      <c r="A1824" s="36"/>
      <c r="B1824" t="s">
        <v>451</v>
      </c>
      <c r="C1824" s="64">
        <v>42983</v>
      </c>
      <c r="D1824">
        <v>349.59</v>
      </c>
      <c r="E1824">
        <v>100.94007265654052</v>
      </c>
      <c r="F1824" t="s">
        <v>427</v>
      </c>
      <c r="G1824" s="64">
        <v>42983</v>
      </c>
      <c r="H1824">
        <v>965.27</v>
      </c>
      <c r="I1824">
        <v>100.87734001885482</v>
      </c>
      <c r="J1824">
        <v>100.87734001885482</v>
      </c>
    </row>
    <row r="1825" spans="1:10" x14ac:dyDescent="0.25">
      <c r="A1825" s="36"/>
      <c r="B1825" t="s">
        <v>451</v>
      </c>
      <c r="C1825" s="64">
        <v>42984</v>
      </c>
      <c r="D1825">
        <v>344.53</v>
      </c>
      <c r="E1825">
        <v>100.93919252314748</v>
      </c>
      <c r="F1825" t="s">
        <v>427</v>
      </c>
      <c r="G1825" s="64">
        <v>42984</v>
      </c>
      <c r="H1825">
        <v>967.8</v>
      </c>
      <c r="I1825">
        <v>100.87766067369292</v>
      </c>
      <c r="J1825">
        <v>100.87766067369292</v>
      </c>
    </row>
    <row r="1826" spans="1:10" x14ac:dyDescent="0.25">
      <c r="A1826" s="36"/>
      <c r="B1826" t="s">
        <v>451</v>
      </c>
      <c r="C1826" s="64">
        <v>42985</v>
      </c>
      <c r="D1826">
        <v>350.61</v>
      </c>
      <c r="E1826">
        <v>100.94024699808905</v>
      </c>
      <c r="F1826" t="s">
        <v>427</v>
      </c>
      <c r="G1826" s="64">
        <v>42985</v>
      </c>
      <c r="H1826">
        <v>979.47</v>
      </c>
      <c r="I1826">
        <v>100.87911829867173</v>
      </c>
      <c r="J1826">
        <v>100.87911829867173</v>
      </c>
    </row>
    <row r="1827" spans="1:10" x14ac:dyDescent="0.25">
      <c r="A1827" s="36"/>
      <c r="B1827" t="s">
        <v>451</v>
      </c>
      <c r="C1827" s="64">
        <v>42986</v>
      </c>
      <c r="D1827">
        <v>343.4</v>
      </c>
      <c r="E1827">
        <v>100.93899242865463</v>
      </c>
      <c r="F1827" t="s">
        <v>427</v>
      </c>
      <c r="G1827" s="64">
        <v>42986</v>
      </c>
      <c r="H1827">
        <v>965.9</v>
      </c>
      <c r="I1827">
        <v>100.87742002277669</v>
      </c>
      <c r="J1827">
        <v>100.87742002277669</v>
      </c>
    </row>
    <row r="1828" spans="1:10" x14ac:dyDescent="0.25">
      <c r="A1828" s="36"/>
      <c r="B1828" t="s">
        <v>451</v>
      </c>
      <c r="C1828" s="64">
        <v>42989</v>
      </c>
      <c r="D1828">
        <v>363.69</v>
      </c>
      <c r="E1828">
        <v>100.94239599659051</v>
      </c>
      <c r="F1828" t="s">
        <v>427</v>
      </c>
      <c r="G1828" s="64">
        <v>42989</v>
      </c>
      <c r="H1828">
        <v>977.96</v>
      </c>
      <c r="I1828">
        <v>100.87893165364636</v>
      </c>
      <c r="J1828">
        <v>100.87893165364636</v>
      </c>
    </row>
    <row r="1829" spans="1:10" x14ac:dyDescent="0.25">
      <c r="A1829" s="36"/>
      <c r="B1829" t="s">
        <v>451</v>
      </c>
      <c r="C1829" s="64">
        <v>42990</v>
      </c>
      <c r="D1829">
        <v>362.75</v>
      </c>
      <c r="E1829">
        <v>100.9422467263956</v>
      </c>
      <c r="F1829" t="s">
        <v>427</v>
      </c>
      <c r="G1829" s="64">
        <v>42990</v>
      </c>
      <c r="H1829">
        <v>982.58</v>
      </c>
      <c r="I1829">
        <v>100.87950090577867</v>
      </c>
      <c r="J1829">
        <v>100.87950090577867</v>
      </c>
    </row>
    <row r="1830" spans="1:10" x14ac:dyDescent="0.25">
      <c r="A1830" s="36"/>
      <c r="B1830" t="s">
        <v>451</v>
      </c>
      <c r="C1830" s="64">
        <v>42991</v>
      </c>
      <c r="D1830">
        <v>366.23</v>
      </c>
      <c r="E1830">
        <v>100.94279551101766</v>
      </c>
      <c r="F1830" t="s">
        <v>427</v>
      </c>
      <c r="G1830" s="64">
        <v>42991</v>
      </c>
      <c r="H1830">
        <v>999.6</v>
      </c>
      <c r="I1830">
        <v>100.88155262104841</v>
      </c>
      <c r="J1830">
        <v>100.88155262104841</v>
      </c>
    </row>
    <row r="1831" spans="1:10" x14ac:dyDescent="0.25">
      <c r="A1831" s="36"/>
      <c r="B1831" t="s">
        <v>451</v>
      </c>
      <c r="C1831" s="64">
        <v>42992</v>
      </c>
      <c r="D1831">
        <v>377.64</v>
      </c>
      <c r="E1831">
        <v>100.94452388518165</v>
      </c>
      <c r="F1831" t="s">
        <v>427</v>
      </c>
      <c r="G1831" s="64">
        <v>42992</v>
      </c>
      <c r="H1831">
        <v>992.21</v>
      </c>
      <c r="I1831">
        <v>100.88067042259199</v>
      </c>
      <c r="J1831">
        <v>100.88067042259199</v>
      </c>
    </row>
    <row r="1832" spans="1:10" x14ac:dyDescent="0.25">
      <c r="A1832" s="36"/>
      <c r="B1832" t="s">
        <v>451</v>
      </c>
      <c r="C1832" s="64">
        <v>42993</v>
      </c>
      <c r="D1832">
        <v>379.81</v>
      </c>
      <c r="E1832">
        <v>100.94484084147336</v>
      </c>
      <c r="F1832" t="s">
        <v>427</v>
      </c>
      <c r="G1832" s="64">
        <v>42993</v>
      </c>
      <c r="H1832">
        <v>986.79</v>
      </c>
      <c r="I1832">
        <v>100.88001499812523</v>
      </c>
      <c r="J1832">
        <v>100.88001499812523</v>
      </c>
    </row>
    <row r="1833" spans="1:10" x14ac:dyDescent="0.25">
      <c r="A1833" s="36"/>
      <c r="B1833" t="s">
        <v>451</v>
      </c>
      <c r="C1833" s="64">
        <v>42996</v>
      </c>
      <c r="D1833">
        <v>385</v>
      </c>
      <c r="E1833">
        <v>100.94558441558442</v>
      </c>
      <c r="F1833" t="s">
        <v>427</v>
      </c>
      <c r="G1833" s="64">
        <v>42996</v>
      </c>
      <c r="H1833">
        <v>974.19</v>
      </c>
      <c r="I1833">
        <v>100.87846313347499</v>
      </c>
      <c r="J1833">
        <v>100.87846313347499</v>
      </c>
    </row>
    <row r="1834" spans="1:10" x14ac:dyDescent="0.25">
      <c r="A1834" s="36"/>
      <c r="B1834" t="s">
        <v>451</v>
      </c>
      <c r="C1834" s="64">
        <v>42997</v>
      </c>
      <c r="D1834">
        <v>375.1</v>
      </c>
      <c r="E1834">
        <v>100.94414822713944</v>
      </c>
      <c r="F1834" t="s">
        <v>427</v>
      </c>
      <c r="G1834" s="64">
        <v>42997</v>
      </c>
      <c r="H1834">
        <v>969.86</v>
      </c>
      <c r="I1834">
        <v>100.8779205246118</v>
      </c>
      <c r="J1834">
        <v>100.8779205246118</v>
      </c>
    </row>
    <row r="1835" spans="1:10" x14ac:dyDescent="0.25">
      <c r="A1835" s="36"/>
      <c r="B1835" t="s">
        <v>451</v>
      </c>
      <c r="C1835" s="64">
        <v>42998</v>
      </c>
      <c r="D1835">
        <v>373.91</v>
      </c>
      <c r="E1835">
        <v>100.94397047417827</v>
      </c>
      <c r="F1835" t="s">
        <v>427</v>
      </c>
      <c r="G1835" s="64">
        <v>42998</v>
      </c>
      <c r="H1835">
        <v>973.21</v>
      </c>
      <c r="I1835">
        <v>100.87834074865651</v>
      </c>
      <c r="J1835">
        <v>100.87834074865651</v>
      </c>
    </row>
    <row r="1836" spans="1:10" x14ac:dyDescent="0.25">
      <c r="A1836" s="36"/>
      <c r="B1836" t="s">
        <v>451</v>
      </c>
      <c r="C1836" s="64">
        <v>42999</v>
      </c>
      <c r="D1836">
        <v>366.48</v>
      </c>
      <c r="E1836">
        <v>100.94283453394455</v>
      </c>
      <c r="F1836" t="s">
        <v>427</v>
      </c>
      <c r="G1836" s="64">
        <v>42999</v>
      </c>
      <c r="H1836">
        <v>964.65</v>
      </c>
      <c r="I1836">
        <v>100.87726118281242</v>
      </c>
      <c r="J1836">
        <v>100.87726118281242</v>
      </c>
    </row>
    <row r="1837" spans="1:10" x14ac:dyDescent="0.25">
      <c r="A1837" s="36"/>
      <c r="B1837" t="s">
        <v>451</v>
      </c>
      <c r="C1837" s="64">
        <v>43000</v>
      </c>
      <c r="D1837">
        <v>351.09</v>
      </c>
      <c r="E1837">
        <v>100.94032869064912</v>
      </c>
      <c r="F1837" t="s">
        <v>427</v>
      </c>
      <c r="G1837" s="64">
        <v>43000</v>
      </c>
      <c r="H1837">
        <v>955.1</v>
      </c>
      <c r="I1837">
        <v>100.87603392314941</v>
      </c>
      <c r="J1837">
        <v>100.87603392314941</v>
      </c>
    </row>
    <row r="1838" spans="1:10" x14ac:dyDescent="0.25">
      <c r="A1838" s="36"/>
      <c r="B1838" t="s">
        <v>451</v>
      </c>
      <c r="C1838" s="64">
        <v>43003</v>
      </c>
      <c r="D1838">
        <v>344.99</v>
      </c>
      <c r="E1838">
        <v>100.9392736021334</v>
      </c>
      <c r="F1838" t="s">
        <v>427</v>
      </c>
      <c r="G1838" s="64">
        <v>43003</v>
      </c>
      <c r="H1838">
        <v>939.79</v>
      </c>
      <c r="I1838">
        <v>100.87401440747401</v>
      </c>
      <c r="J1838">
        <v>100.87401440747401</v>
      </c>
    </row>
    <row r="1839" spans="1:10" x14ac:dyDescent="0.25">
      <c r="A1839" s="36"/>
      <c r="B1839" t="s">
        <v>451</v>
      </c>
      <c r="C1839" s="64">
        <v>43004</v>
      </c>
      <c r="D1839">
        <v>345.25</v>
      </c>
      <c r="E1839">
        <v>100.93931933381607</v>
      </c>
      <c r="F1839" t="s">
        <v>427</v>
      </c>
      <c r="G1839" s="64">
        <v>43004</v>
      </c>
      <c r="H1839">
        <v>938.6</v>
      </c>
      <c r="I1839">
        <v>100.87385467717878</v>
      </c>
      <c r="J1839">
        <v>100.87385467717878</v>
      </c>
    </row>
    <row r="1840" spans="1:10" x14ac:dyDescent="0.25">
      <c r="A1840" s="36"/>
      <c r="B1840" t="s">
        <v>451</v>
      </c>
      <c r="C1840" s="64">
        <v>43005</v>
      </c>
      <c r="D1840">
        <v>340.97</v>
      </c>
      <c r="E1840">
        <v>100.93855764436753</v>
      </c>
      <c r="F1840" t="s">
        <v>427</v>
      </c>
      <c r="G1840" s="64">
        <v>43005</v>
      </c>
      <c r="H1840">
        <v>950.87</v>
      </c>
      <c r="I1840">
        <v>100.87548245291154</v>
      </c>
      <c r="J1840">
        <v>100.87548245291154</v>
      </c>
    </row>
    <row r="1841" spans="1:10" x14ac:dyDescent="0.25">
      <c r="A1841" s="36"/>
      <c r="B1841" t="s">
        <v>451</v>
      </c>
      <c r="C1841" s="64">
        <v>43006</v>
      </c>
      <c r="D1841">
        <v>339.6</v>
      </c>
      <c r="E1841">
        <v>100.9383097762073</v>
      </c>
      <c r="F1841" t="s">
        <v>427</v>
      </c>
      <c r="G1841" s="64">
        <v>43006</v>
      </c>
      <c r="H1841">
        <v>956.4</v>
      </c>
      <c r="I1841">
        <v>100.87620242576328</v>
      </c>
      <c r="J1841">
        <v>100.87620242576328</v>
      </c>
    </row>
    <row r="1842" spans="1:10" x14ac:dyDescent="0.25">
      <c r="A1842" s="36"/>
      <c r="B1842" t="s">
        <v>451</v>
      </c>
      <c r="C1842" s="64">
        <v>43007</v>
      </c>
      <c r="D1842">
        <v>341.1</v>
      </c>
      <c r="E1842">
        <v>100.93858106127236</v>
      </c>
      <c r="F1842" t="s">
        <v>427</v>
      </c>
      <c r="G1842" s="64">
        <v>43007</v>
      </c>
      <c r="H1842">
        <v>961.35</v>
      </c>
      <c r="I1842">
        <v>100.87683986061268</v>
      </c>
      <c r="J1842">
        <v>100.87683986061268</v>
      </c>
    </row>
    <row r="1843" spans="1:10" x14ac:dyDescent="0.25">
      <c r="A1843" s="36"/>
      <c r="B1843" t="s">
        <v>451</v>
      </c>
      <c r="C1843" s="64">
        <v>43010</v>
      </c>
      <c r="D1843">
        <v>341.53</v>
      </c>
      <c r="E1843">
        <v>100.93865839018534</v>
      </c>
      <c r="F1843" t="s">
        <v>427</v>
      </c>
      <c r="G1843" s="64">
        <v>43010</v>
      </c>
      <c r="H1843">
        <v>959.19</v>
      </c>
      <c r="I1843">
        <v>100.87656251628978</v>
      </c>
      <c r="J1843">
        <v>100.87656251628978</v>
      </c>
    </row>
    <row r="1844" spans="1:10" x14ac:dyDescent="0.25">
      <c r="A1844" s="36"/>
      <c r="B1844" t="s">
        <v>451</v>
      </c>
      <c r="C1844" s="64">
        <v>43011</v>
      </c>
      <c r="D1844">
        <v>348.14</v>
      </c>
      <c r="E1844">
        <v>100.93982305968863</v>
      </c>
      <c r="F1844" t="s">
        <v>427</v>
      </c>
      <c r="G1844" s="64">
        <v>43011</v>
      </c>
      <c r="H1844">
        <v>957.1</v>
      </c>
      <c r="I1844">
        <v>100.87629296834187</v>
      </c>
      <c r="J1844">
        <v>100.87629296834187</v>
      </c>
    </row>
    <row r="1845" spans="1:10" x14ac:dyDescent="0.25">
      <c r="A1845" s="36"/>
      <c r="B1845" t="s">
        <v>451</v>
      </c>
      <c r="C1845" s="64">
        <v>43012</v>
      </c>
      <c r="D1845">
        <v>355.01</v>
      </c>
      <c r="E1845">
        <v>100.94098757781471</v>
      </c>
      <c r="F1845" t="s">
        <v>427</v>
      </c>
      <c r="G1845" s="64">
        <v>43012</v>
      </c>
      <c r="H1845">
        <v>965.45</v>
      </c>
      <c r="I1845">
        <v>100.87736288777253</v>
      </c>
      <c r="J1845">
        <v>100.87736288777253</v>
      </c>
    </row>
    <row r="1846" spans="1:10" x14ac:dyDescent="0.25">
      <c r="A1846" s="36"/>
      <c r="B1846" t="s">
        <v>451</v>
      </c>
      <c r="C1846" s="64">
        <v>43013</v>
      </c>
      <c r="D1846">
        <v>355.33</v>
      </c>
      <c r="E1846">
        <v>100.94104072270846</v>
      </c>
      <c r="F1846" t="s">
        <v>427</v>
      </c>
      <c r="G1846" s="64">
        <v>43013</v>
      </c>
      <c r="H1846">
        <v>980.85</v>
      </c>
      <c r="I1846">
        <v>100.87928837233012</v>
      </c>
      <c r="J1846">
        <v>100.87928837233012</v>
      </c>
    </row>
    <row r="1847" spans="1:10" x14ac:dyDescent="0.25">
      <c r="A1847" s="36"/>
      <c r="B1847" t="s">
        <v>451</v>
      </c>
      <c r="C1847" s="64">
        <v>43014</v>
      </c>
      <c r="D1847">
        <v>356.88</v>
      </c>
      <c r="E1847">
        <v>100.9412967944407</v>
      </c>
      <c r="F1847" t="s">
        <v>427</v>
      </c>
      <c r="G1847" s="64">
        <v>43014</v>
      </c>
      <c r="H1847">
        <v>989.58</v>
      </c>
      <c r="I1847">
        <v>100.88035328119</v>
      </c>
      <c r="J1847">
        <v>100.88035328119</v>
      </c>
    </row>
    <row r="1848" spans="1:10" x14ac:dyDescent="0.25">
      <c r="A1848" s="36"/>
      <c r="B1848" t="s">
        <v>451</v>
      </c>
      <c r="C1848" s="64">
        <v>43017</v>
      </c>
      <c r="D1848">
        <v>342.94</v>
      </c>
      <c r="E1848">
        <v>100.93891059660582</v>
      </c>
      <c r="F1848" t="s">
        <v>427</v>
      </c>
      <c r="G1848" s="64">
        <v>43017</v>
      </c>
      <c r="H1848">
        <v>990.99</v>
      </c>
      <c r="I1848">
        <v>100.88052351688715</v>
      </c>
      <c r="J1848">
        <v>100.88052351688715</v>
      </c>
    </row>
    <row r="1849" spans="1:10" x14ac:dyDescent="0.25">
      <c r="A1849" s="36"/>
      <c r="B1849" t="s">
        <v>451</v>
      </c>
      <c r="C1849" s="64">
        <v>43018</v>
      </c>
      <c r="D1849">
        <v>355.59</v>
      </c>
      <c r="E1849">
        <v>100.94108383250372</v>
      </c>
      <c r="F1849" t="s">
        <v>427</v>
      </c>
      <c r="G1849" s="64">
        <v>43018</v>
      </c>
      <c r="H1849">
        <v>987.2</v>
      </c>
      <c r="I1849">
        <v>100.88006482982172</v>
      </c>
      <c r="J1849">
        <v>100.88006482982172</v>
      </c>
    </row>
    <row r="1850" spans="1:10" x14ac:dyDescent="0.25">
      <c r="A1850" s="36"/>
      <c r="B1850" t="s">
        <v>451</v>
      </c>
      <c r="C1850" s="64">
        <v>43019</v>
      </c>
      <c r="D1850">
        <v>354.6</v>
      </c>
      <c r="E1850">
        <v>100.94091934574168</v>
      </c>
      <c r="F1850" t="s">
        <v>427</v>
      </c>
      <c r="G1850" s="64">
        <v>43019</v>
      </c>
      <c r="H1850">
        <v>995</v>
      </c>
      <c r="I1850">
        <v>100.88100502512563</v>
      </c>
      <c r="J1850">
        <v>100.88100502512563</v>
      </c>
    </row>
    <row r="1851" spans="1:10" x14ac:dyDescent="0.25">
      <c r="A1851" s="36"/>
      <c r="B1851" t="s">
        <v>451</v>
      </c>
      <c r="C1851" s="64">
        <v>43020</v>
      </c>
      <c r="D1851">
        <v>355.68</v>
      </c>
      <c r="E1851">
        <v>100.94109874044085</v>
      </c>
      <c r="F1851" t="s">
        <v>427</v>
      </c>
      <c r="G1851" s="64">
        <v>43020</v>
      </c>
      <c r="H1851">
        <v>1000.93</v>
      </c>
      <c r="I1851">
        <v>100.88171000969099</v>
      </c>
      <c r="J1851">
        <v>100.88171000969099</v>
      </c>
    </row>
    <row r="1852" spans="1:10" x14ac:dyDescent="0.25">
      <c r="A1852" s="36"/>
      <c r="B1852" t="s">
        <v>451</v>
      </c>
      <c r="C1852" s="64">
        <v>43021</v>
      </c>
      <c r="D1852">
        <v>355.57</v>
      </c>
      <c r="E1852">
        <v>100.94108051860393</v>
      </c>
      <c r="F1852" t="s">
        <v>427</v>
      </c>
      <c r="G1852" s="64">
        <v>43021</v>
      </c>
      <c r="H1852">
        <v>1002.94</v>
      </c>
      <c r="I1852">
        <v>100.88194707559774</v>
      </c>
      <c r="J1852">
        <v>100.88194707559774</v>
      </c>
    </row>
    <row r="1853" spans="1:10" x14ac:dyDescent="0.25">
      <c r="A1853" s="36"/>
      <c r="B1853" t="s">
        <v>451</v>
      </c>
      <c r="C1853" s="64">
        <v>43024</v>
      </c>
      <c r="D1853">
        <v>350.6</v>
      </c>
      <c r="E1853">
        <v>100.94024529378208</v>
      </c>
      <c r="F1853" t="s">
        <v>427</v>
      </c>
      <c r="G1853" s="64">
        <v>43024</v>
      </c>
      <c r="H1853">
        <v>1006.34</v>
      </c>
      <c r="I1853">
        <v>100.88234592682393</v>
      </c>
      <c r="J1853">
        <v>100.88234592682393</v>
      </c>
    </row>
    <row r="1854" spans="1:10" x14ac:dyDescent="0.25">
      <c r="A1854" s="36"/>
      <c r="B1854" t="s">
        <v>451</v>
      </c>
      <c r="C1854" s="64">
        <v>43025</v>
      </c>
      <c r="D1854">
        <v>355.75</v>
      </c>
      <c r="E1854">
        <v>100.94111033028813</v>
      </c>
      <c r="F1854" t="s">
        <v>427</v>
      </c>
      <c r="G1854" s="64">
        <v>43025</v>
      </c>
      <c r="H1854">
        <v>1009.13</v>
      </c>
      <c r="I1854">
        <v>100.88267121183594</v>
      </c>
      <c r="J1854">
        <v>100.88267121183594</v>
      </c>
    </row>
    <row r="1855" spans="1:10" x14ac:dyDescent="0.25">
      <c r="A1855" s="36"/>
      <c r="B1855" t="s">
        <v>451</v>
      </c>
      <c r="C1855" s="64">
        <v>43026</v>
      </c>
      <c r="D1855">
        <v>359.65</v>
      </c>
      <c r="E1855">
        <v>100.9417489225636</v>
      </c>
      <c r="F1855" t="s">
        <v>427</v>
      </c>
      <c r="G1855" s="64">
        <v>43026</v>
      </c>
      <c r="H1855">
        <v>997</v>
      </c>
      <c r="I1855">
        <v>100.88124373119358</v>
      </c>
      <c r="J1855">
        <v>100.88124373119358</v>
      </c>
    </row>
    <row r="1856" spans="1:10" x14ac:dyDescent="0.25">
      <c r="A1856" s="36"/>
      <c r="B1856" t="s">
        <v>451</v>
      </c>
      <c r="C1856" s="64">
        <v>43027</v>
      </c>
      <c r="D1856">
        <v>351.81</v>
      </c>
      <c r="E1856">
        <v>100.94045081151758</v>
      </c>
      <c r="F1856" t="s">
        <v>427</v>
      </c>
      <c r="G1856" s="64">
        <v>43027</v>
      </c>
      <c r="H1856">
        <v>986.61</v>
      </c>
      <c r="I1856">
        <v>100.87999310771227</v>
      </c>
      <c r="J1856">
        <v>100.87999310771227</v>
      </c>
    </row>
    <row r="1857" spans="1:10" x14ac:dyDescent="0.25">
      <c r="A1857" s="36"/>
      <c r="B1857" t="s">
        <v>451</v>
      </c>
      <c r="C1857" s="64">
        <v>43028</v>
      </c>
      <c r="D1857">
        <v>345.1</v>
      </c>
      <c r="E1857">
        <v>100.93929295856273</v>
      </c>
      <c r="F1857" t="s">
        <v>427</v>
      </c>
      <c r="G1857" s="64">
        <v>43028</v>
      </c>
      <c r="H1857">
        <v>982.91</v>
      </c>
      <c r="I1857">
        <v>100.87954136187443</v>
      </c>
      <c r="J1857">
        <v>100.87954136187443</v>
      </c>
    </row>
    <row r="1858" spans="1:10" x14ac:dyDescent="0.25">
      <c r="A1858" s="36"/>
      <c r="B1858" t="s">
        <v>451</v>
      </c>
      <c r="C1858" s="64">
        <v>43031</v>
      </c>
      <c r="D1858">
        <v>337.02</v>
      </c>
      <c r="E1858">
        <v>100.9378375170613</v>
      </c>
      <c r="F1858" t="s">
        <v>427</v>
      </c>
      <c r="G1858" s="64">
        <v>43031</v>
      </c>
      <c r="H1858">
        <v>966.3</v>
      </c>
      <c r="I1858">
        <v>100.87747076477285</v>
      </c>
      <c r="J1858">
        <v>100.87747076477285</v>
      </c>
    </row>
    <row r="1859" spans="1:10" x14ac:dyDescent="0.25">
      <c r="A1859" s="36"/>
      <c r="B1859" t="s">
        <v>451</v>
      </c>
      <c r="C1859" s="64">
        <v>43032</v>
      </c>
      <c r="D1859">
        <v>337.34</v>
      </c>
      <c r="E1859">
        <v>100.9378964842592</v>
      </c>
      <c r="F1859" t="s">
        <v>427</v>
      </c>
      <c r="G1859" s="64">
        <v>43032</v>
      </c>
      <c r="H1859">
        <v>975.9</v>
      </c>
      <c r="I1859">
        <v>100.87867609386208</v>
      </c>
      <c r="J1859">
        <v>100.87867609386208</v>
      </c>
    </row>
    <row r="1860" spans="1:10" x14ac:dyDescent="0.25">
      <c r="A1860" s="36"/>
      <c r="B1860" t="s">
        <v>451</v>
      </c>
      <c r="C1860" s="64">
        <v>43033</v>
      </c>
      <c r="D1860">
        <v>325.83999999999997</v>
      </c>
      <c r="E1860">
        <v>100.93570464031427</v>
      </c>
      <c r="F1860" t="s">
        <v>427</v>
      </c>
      <c r="G1860" s="64">
        <v>43033</v>
      </c>
      <c r="H1860">
        <v>972.91</v>
      </c>
      <c r="I1860">
        <v>100.87830323462602</v>
      </c>
      <c r="J1860">
        <v>100.87830323462602</v>
      </c>
    </row>
    <row r="1861" spans="1:10" x14ac:dyDescent="0.25">
      <c r="A1861" s="36"/>
      <c r="B1861" t="s">
        <v>451</v>
      </c>
      <c r="C1861" s="64">
        <v>43034</v>
      </c>
      <c r="D1861">
        <v>326.17</v>
      </c>
      <c r="E1861">
        <v>100.93576969065211</v>
      </c>
      <c r="F1861" t="s">
        <v>427</v>
      </c>
      <c r="G1861" s="64">
        <v>43034</v>
      </c>
      <c r="H1861">
        <v>972.43</v>
      </c>
      <c r="I1861">
        <v>100.87824316403237</v>
      </c>
      <c r="J1861">
        <v>100.87824316403237</v>
      </c>
    </row>
    <row r="1862" spans="1:10" x14ac:dyDescent="0.25">
      <c r="A1862" s="36"/>
      <c r="B1862" t="s">
        <v>451</v>
      </c>
      <c r="C1862" s="64">
        <v>43035</v>
      </c>
      <c r="D1862">
        <v>320.87</v>
      </c>
      <c r="E1862">
        <v>100.93470876055723</v>
      </c>
      <c r="F1862" t="s">
        <v>427</v>
      </c>
      <c r="G1862" s="64">
        <v>43035</v>
      </c>
      <c r="H1862">
        <v>1100.95</v>
      </c>
      <c r="I1862">
        <v>100.8924565148281</v>
      </c>
      <c r="J1862">
        <v>100.8924565148281</v>
      </c>
    </row>
    <row r="1863" spans="1:10" x14ac:dyDescent="0.25">
      <c r="A1863" s="36"/>
      <c r="B1863" t="s">
        <v>451</v>
      </c>
      <c r="C1863" s="64">
        <v>43038</v>
      </c>
      <c r="D1863">
        <v>320.08</v>
      </c>
      <c r="E1863">
        <v>100.93454761309673</v>
      </c>
      <c r="F1863" t="s">
        <v>427</v>
      </c>
      <c r="G1863" s="64">
        <v>43038</v>
      </c>
      <c r="H1863">
        <v>1110.8499999999999</v>
      </c>
      <c r="I1863">
        <v>100.89341495251384</v>
      </c>
      <c r="J1863">
        <v>100.89341495251384</v>
      </c>
    </row>
    <row r="1864" spans="1:10" x14ac:dyDescent="0.25">
      <c r="A1864" s="36"/>
      <c r="B1864" t="s">
        <v>451</v>
      </c>
      <c r="C1864" s="64">
        <v>43039</v>
      </c>
      <c r="D1864">
        <v>331.53</v>
      </c>
      <c r="E1864">
        <v>100.93680813199408</v>
      </c>
      <c r="F1864" t="s">
        <v>427</v>
      </c>
      <c r="G1864" s="64">
        <v>43039</v>
      </c>
      <c r="H1864">
        <v>1105.28</v>
      </c>
      <c r="I1864">
        <v>100.89287782281413</v>
      </c>
      <c r="J1864">
        <v>100.89287782281413</v>
      </c>
    </row>
    <row r="1865" spans="1:10" x14ac:dyDescent="0.25">
      <c r="A1865" s="36"/>
      <c r="B1865" t="s">
        <v>451</v>
      </c>
      <c r="C1865" s="64">
        <v>43040</v>
      </c>
      <c r="D1865">
        <v>321.08</v>
      </c>
      <c r="E1865">
        <v>100.93475146380965</v>
      </c>
      <c r="F1865" t="s">
        <v>427</v>
      </c>
      <c r="G1865" s="64">
        <v>43040</v>
      </c>
      <c r="H1865">
        <v>1103.68</v>
      </c>
      <c r="I1865">
        <v>100.89272252826906</v>
      </c>
      <c r="J1865">
        <v>100.89272252826906</v>
      </c>
    </row>
    <row r="1866" spans="1:10" x14ac:dyDescent="0.25">
      <c r="A1866" s="36"/>
      <c r="B1866" t="s">
        <v>451</v>
      </c>
      <c r="C1866" s="64">
        <v>43041</v>
      </c>
      <c r="D1866">
        <v>299.26</v>
      </c>
      <c r="E1866">
        <v>100.92999398516341</v>
      </c>
      <c r="F1866" t="s">
        <v>427</v>
      </c>
      <c r="G1866" s="64">
        <v>43041</v>
      </c>
      <c r="H1866">
        <v>1094.22</v>
      </c>
      <c r="I1866">
        <v>100.89179506863337</v>
      </c>
      <c r="J1866">
        <v>100.89179506863337</v>
      </c>
    </row>
    <row r="1867" spans="1:10" x14ac:dyDescent="0.25">
      <c r="A1867" s="36"/>
      <c r="B1867" t="s">
        <v>451</v>
      </c>
      <c r="C1867" s="64">
        <v>43042</v>
      </c>
      <c r="D1867">
        <v>306.08999999999997</v>
      </c>
      <c r="E1867">
        <v>100.93155607827764</v>
      </c>
      <c r="F1867" t="s">
        <v>427</v>
      </c>
      <c r="G1867" s="64">
        <v>43042</v>
      </c>
      <c r="H1867">
        <v>1111.5999999999999</v>
      </c>
      <c r="I1867">
        <v>100.89348686577905</v>
      </c>
      <c r="J1867">
        <v>100.89348686577905</v>
      </c>
    </row>
    <row r="1868" spans="1:10" x14ac:dyDescent="0.25">
      <c r="A1868" s="36"/>
      <c r="B1868" t="s">
        <v>451</v>
      </c>
      <c r="C1868" s="64">
        <v>43045</v>
      </c>
      <c r="D1868">
        <v>302.77999999999997</v>
      </c>
      <c r="E1868">
        <v>100.93080784728186</v>
      </c>
      <c r="F1868" t="s">
        <v>427</v>
      </c>
      <c r="G1868" s="64">
        <v>43045</v>
      </c>
      <c r="H1868">
        <v>1120.6600000000001</v>
      </c>
      <c r="I1868">
        <v>100.89434797351561</v>
      </c>
      <c r="J1868">
        <v>100.89434797351561</v>
      </c>
    </row>
    <row r="1869" spans="1:10" x14ac:dyDescent="0.25">
      <c r="A1869" s="36"/>
      <c r="B1869" t="s">
        <v>451</v>
      </c>
      <c r="C1869" s="64">
        <v>43046</v>
      </c>
      <c r="D1869">
        <v>306.05</v>
      </c>
      <c r="E1869">
        <v>100.93154713282144</v>
      </c>
      <c r="F1869" t="s">
        <v>427</v>
      </c>
      <c r="G1869" s="64">
        <v>43046</v>
      </c>
      <c r="H1869">
        <v>1123.17</v>
      </c>
      <c r="I1869">
        <v>100.89458407899072</v>
      </c>
      <c r="J1869">
        <v>100.89458407899072</v>
      </c>
    </row>
    <row r="1870" spans="1:10" x14ac:dyDescent="0.25">
      <c r="A1870" s="36"/>
      <c r="B1870" t="s">
        <v>451</v>
      </c>
      <c r="C1870" s="64">
        <v>43047</v>
      </c>
      <c r="D1870">
        <v>304.39</v>
      </c>
      <c r="E1870">
        <v>100.93117382305594</v>
      </c>
      <c r="F1870" t="s">
        <v>427</v>
      </c>
      <c r="G1870" s="64">
        <v>43047</v>
      </c>
      <c r="H1870">
        <v>1132.8800000000001</v>
      </c>
      <c r="I1870">
        <v>100.89548760680744</v>
      </c>
      <c r="J1870">
        <v>100.89548760680744</v>
      </c>
    </row>
    <row r="1871" spans="1:10" x14ac:dyDescent="0.25">
      <c r="A1871" s="36"/>
      <c r="B1871" t="s">
        <v>451</v>
      </c>
      <c r="C1871" s="64">
        <v>43048</v>
      </c>
      <c r="D1871">
        <v>302.99</v>
      </c>
      <c r="E1871">
        <v>100.93085580382191</v>
      </c>
      <c r="F1871" t="s">
        <v>427</v>
      </c>
      <c r="G1871" s="64">
        <v>43048</v>
      </c>
      <c r="H1871">
        <v>1129.1300000000001</v>
      </c>
      <c r="I1871">
        <v>100.89514050640759</v>
      </c>
      <c r="J1871">
        <v>100.89514050640759</v>
      </c>
    </row>
    <row r="1872" spans="1:10" x14ac:dyDescent="0.25">
      <c r="A1872" s="36"/>
      <c r="B1872" t="s">
        <v>451</v>
      </c>
      <c r="C1872" s="64">
        <v>43049</v>
      </c>
      <c r="D1872">
        <v>302.99</v>
      </c>
      <c r="E1872">
        <v>100.93085580382191</v>
      </c>
      <c r="F1872" t="s">
        <v>427</v>
      </c>
      <c r="G1872" s="64">
        <v>43049</v>
      </c>
      <c r="H1872">
        <v>1125.3499999999999</v>
      </c>
      <c r="I1872">
        <v>100.89478828808815</v>
      </c>
      <c r="J1872">
        <v>100.89478828808815</v>
      </c>
    </row>
    <row r="1873" spans="1:10" x14ac:dyDescent="0.25">
      <c r="A1873" s="36"/>
      <c r="B1873" t="s">
        <v>451</v>
      </c>
      <c r="C1873" s="64">
        <v>43052</v>
      </c>
      <c r="D1873">
        <v>315.39999999999998</v>
      </c>
      <c r="E1873">
        <v>100.93357641090678</v>
      </c>
      <c r="F1873" t="s">
        <v>427</v>
      </c>
      <c r="G1873" s="64">
        <v>43052</v>
      </c>
      <c r="H1873">
        <v>1129.17</v>
      </c>
      <c r="I1873">
        <v>100.89514422097648</v>
      </c>
      <c r="J1873">
        <v>100.89514422097648</v>
      </c>
    </row>
    <row r="1874" spans="1:10" x14ac:dyDescent="0.25">
      <c r="A1874" s="36"/>
      <c r="B1874" t="s">
        <v>451</v>
      </c>
      <c r="C1874" s="64">
        <v>43053</v>
      </c>
      <c r="D1874">
        <v>308.7</v>
      </c>
      <c r="E1874">
        <v>100.93213475866537</v>
      </c>
      <c r="F1874" t="s">
        <v>427</v>
      </c>
      <c r="G1874" s="64">
        <v>43053</v>
      </c>
      <c r="H1874">
        <v>1136.8399999999999</v>
      </c>
      <c r="I1874">
        <v>100.89585165898455</v>
      </c>
      <c r="J1874">
        <v>100.89585165898455</v>
      </c>
    </row>
    <row r="1875" spans="1:10" x14ac:dyDescent="0.25">
      <c r="A1875" s="36"/>
      <c r="B1875" t="s">
        <v>451</v>
      </c>
      <c r="C1875" s="64">
        <v>43054</v>
      </c>
      <c r="D1875">
        <v>311.3</v>
      </c>
      <c r="E1875">
        <v>100.93270157404433</v>
      </c>
      <c r="F1875" t="s">
        <v>427</v>
      </c>
      <c r="G1875" s="64">
        <v>43054</v>
      </c>
      <c r="H1875">
        <v>1126.69</v>
      </c>
      <c r="I1875">
        <v>100.89491341895287</v>
      </c>
      <c r="J1875">
        <v>100.89491341895287</v>
      </c>
    </row>
    <row r="1876" spans="1:10" x14ac:dyDescent="0.25">
      <c r="A1876" s="36"/>
      <c r="B1876" t="s">
        <v>451</v>
      </c>
      <c r="C1876" s="64">
        <v>43055</v>
      </c>
      <c r="D1876">
        <v>312.5</v>
      </c>
      <c r="E1876">
        <v>100.93295999999999</v>
      </c>
      <c r="F1876" t="s">
        <v>427</v>
      </c>
      <c r="G1876" s="64">
        <v>43055</v>
      </c>
      <c r="H1876">
        <v>1137.29</v>
      </c>
      <c r="I1876">
        <v>100.8958928681339</v>
      </c>
      <c r="J1876">
        <v>100.8958928681339</v>
      </c>
    </row>
    <row r="1877" spans="1:10" x14ac:dyDescent="0.25">
      <c r="A1877" s="36"/>
      <c r="B1877" t="s">
        <v>451</v>
      </c>
      <c r="C1877" s="64">
        <v>43056</v>
      </c>
      <c r="D1877">
        <v>315.05</v>
      </c>
      <c r="E1877">
        <v>100.93350261863196</v>
      </c>
      <c r="F1877" t="s">
        <v>427</v>
      </c>
      <c r="G1877" s="64">
        <v>43056</v>
      </c>
      <c r="H1877">
        <v>1129.8800000000001</v>
      </c>
      <c r="I1877">
        <v>100.89521011080822</v>
      </c>
      <c r="J1877">
        <v>100.89521011080822</v>
      </c>
    </row>
    <row r="1878" spans="1:10" x14ac:dyDescent="0.25">
      <c r="A1878" s="36"/>
      <c r="B1878" t="s">
        <v>451</v>
      </c>
      <c r="C1878" s="64">
        <v>43059</v>
      </c>
      <c r="D1878">
        <v>308.74</v>
      </c>
      <c r="E1878">
        <v>100.93214355120814</v>
      </c>
      <c r="F1878" t="s">
        <v>427</v>
      </c>
      <c r="G1878" s="64">
        <v>43059</v>
      </c>
      <c r="H1878">
        <v>1126.31</v>
      </c>
      <c r="I1878">
        <v>100.89487796432599</v>
      </c>
      <c r="J1878">
        <v>100.89487796432599</v>
      </c>
    </row>
    <row r="1879" spans="1:10" x14ac:dyDescent="0.25">
      <c r="A1879" s="36"/>
      <c r="B1879" t="s">
        <v>451</v>
      </c>
      <c r="C1879" s="64">
        <v>43060</v>
      </c>
      <c r="D1879">
        <v>317.81</v>
      </c>
      <c r="E1879">
        <v>100.934080110758</v>
      </c>
      <c r="F1879" t="s">
        <v>427</v>
      </c>
      <c r="G1879" s="64">
        <v>43060</v>
      </c>
      <c r="H1879">
        <v>1139.49</v>
      </c>
      <c r="I1879">
        <v>100.89609386655434</v>
      </c>
      <c r="J1879">
        <v>100.89609386655434</v>
      </c>
    </row>
    <row r="1880" spans="1:10" x14ac:dyDescent="0.25">
      <c r="A1880" s="36"/>
      <c r="B1880" t="s">
        <v>451</v>
      </c>
      <c r="C1880" s="64">
        <v>43061</v>
      </c>
      <c r="D1880">
        <v>312.60000000000002</v>
      </c>
      <c r="E1880">
        <v>100.9329814459373</v>
      </c>
      <c r="F1880" t="s">
        <v>427</v>
      </c>
      <c r="G1880" s="64">
        <v>43061</v>
      </c>
      <c r="H1880">
        <v>1156.1600000000001</v>
      </c>
      <c r="I1880">
        <v>100.89759202878494</v>
      </c>
      <c r="J1880">
        <v>100.89759202878494</v>
      </c>
    </row>
    <row r="1881" spans="1:10" x14ac:dyDescent="0.25">
      <c r="A1881" s="36"/>
      <c r="B1881" t="s">
        <v>451</v>
      </c>
      <c r="C1881" s="64">
        <v>43063</v>
      </c>
      <c r="D1881">
        <v>315.55</v>
      </c>
      <c r="E1881">
        <v>100.93360798605609</v>
      </c>
      <c r="F1881" t="s">
        <v>427</v>
      </c>
      <c r="G1881" s="64">
        <v>43063</v>
      </c>
      <c r="H1881">
        <v>1186</v>
      </c>
      <c r="I1881">
        <v>100.90016863406409</v>
      </c>
      <c r="J1881">
        <v>100.90016863406409</v>
      </c>
    </row>
    <row r="1882" spans="1:10" x14ac:dyDescent="0.25">
      <c r="A1882" s="36"/>
      <c r="B1882" t="s">
        <v>451</v>
      </c>
      <c r="C1882" s="64">
        <v>43066</v>
      </c>
      <c r="D1882">
        <v>316.81</v>
      </c>
      <c r="E1882">
        <v>100.93387203686753</v>
      </c>
      <c r="F1882" t="s">
        <v>427</v>
      </c>
      <c r="G1882" s="64">
        <v>43066</v>
      </c>
      <c r="H1882">
        <v>1195.83</v>
      </c>
      <c r="I1882">
        <v>100.90098927105024</v>
      </c>
      <c r="J1882">
        <v>100.90098927105024</v>
      </c>
    </row>
    <row r="1883" spans="1:10" x14ac:dyDescent="0.25">
      <c r="A1883" s="36"/>
      <c r="B1883" t="s">
        <v>451</v>
      </c>
      <c r="C1883" s="64">
        <v>43067</v>
      </c>
      <c r="D1883">
        <v>317.55</v>
      </c>
      <c r="E1883">
        <v>100.93402613761613</v>
      </c>
      <c r="F1883" t="s">
        <v>427</v>
      </c>
      <c r="G1883" s="64">
        <v>43067</v>
      </c>
      <c r="H1883">
        <v>1193.5999999999999</v>
      </c>
      <c r="I1883">
        <v>100.90080428954424</v>
      </c>
      <c r="J1883">
        <v>100.90080428954424</v>
      </c>
    </row>
    <row r="1884" spans="1:10" x14ac:dyDescent="0.25">
      <c r="A1884" s="36"/>
      <c r="B1884" t="s">
        <v>451</v>
      </c>
      <c r="C1884" s="64">
        <v>43068</v>
      </c>
      <c r="D1884">
        <v>307.54000000000002</v>
      </c>
      <c r="E1884">
        <v>100.9318787799961</v>
      </c>
      <c r="F1884" t="s">
        <v>427</v>
      </c>
      <c r="G1884" s="64">
        <v>43068</v>
      </c>
      <c r="H1884">
        <v>1161.27</v>
      </c>
      <c r="I1884">
        <v>100.898042660191</v>
      </c>
      <c r="J1884">
        <v>100.898042660191</v>
      </c>
    </row>
    <row r="1885" spans="1:10" x14ac:dyDescent="0.25">
      <c r="A1885" s="36"/>
      <c r="B1885" t="s">
        <v>451</v>
      </c>
      <c r="C1885" s="64">
        <v>43069</v>
      </c>
      <c r="D1885">
        <v>308.85000000000002</v>
      </c>
      <c r="E1885">
        <v>100.93216771895742</v>
      </c>
      <c r="F1885" t="s">
        <v>427</v>
      </c>
      <c r="G1885" s="64">
        <v>43069</v>
      </c>
      <c r="H1885">
        <v>1176.75</v>
      </c>
      <c r="I1885">
        <v>100.89938389632462</v>
      </c>
      <c r="J1885">
        <v>100.89938389632462</v>
      </c>
    </row>
    <row r="1886" spans="1:10" x14ac:dyDescent="0.25">
      <c r="A1886" s="36"/>
      <c r="B1886" t="s">
        <v>451</v>
      </c>
      <c r="C1886" s="64">
        <v>43070</v>
      </c>
      <c r="D1886">
        <v>306.52999999999997</v>
      </c>
      <c r="E1886">
        <v>100.9316543242097</v>
      </c>
      <c r="F1886" t="s">
        <v>427</v>
      </c>
      <c r="G1886" s="64">
        <v>43070</v>
      </c>
      <c r="H1886">
        <v>1162.3499999999999</v>
      </c>
      <c r="I1886">
        <v>100.89813739407235</v>
      </c>
      <c r="J1886">
        <v>100.89813739407235</v>
      </c>
    </row>
    <row r="1887" spans="1:10" x14ac:dyDescent="0.25">
      <c r="A1887" s="36"/>
      <c r="B1887" t="s">
        <v>451</v>
      </c>
      <c r="C1887" s="64">
        <v>43073</v>
      </c>
      <c r="D1887">
        <v>305.2</v>
      </c>
      <c r="E1887">
        <v>100.93135648754915</v>
      </c>
      <c r="F1887" t="s">
        <v>427</v>
      </c>
      <c r="G1887" s="64">
        <v>43073</v>
      </c>
      <c r="H1887">
        <v>1133.95</v>
      </c>
      <c r="I1887">
        <v>100.8955862251422</v>
      </c>
      <c r="J1887">
        <v>100.8955862251422</v>
      </c>
    </row>
    <row r="1888" spans="1:10" x14ac:dyDescent="0.25">
      <c r="A1888" s="36"/>
      <c r="B1888" t="s">
        <v>451</v>
      </c>
      <c r="C1888" s="64">
        <v>43074</v>
      </c>
      <c r="D1888">
        <v>303.7</v>
      </c>
      <c r="E1888">
        <v>100.93101745143234</v>
      </c>
      <c r="F1888" t="s">
        <v>427</v>
      </c>
      <c r="G1888" s="64">
        <v>43074</v>
      </c>
      <c r="H1888">
        <v>1141.57</v>
      </c>
      <c r="I1888">
        <v>100.89628318894154</v>
      </c>
      <c r="J1888">
        <v>100.89628318894154</v>
      </c>
    </row>
    <row r="1889" spans="1:10" x14ac:dyDescent="0.25">
      <c r="A1889" s="36"/>
      <c r="B1889" t="s">
        <v>451</v>
      </c>
      <c r="C1889" s="64">
        <v>43075</v>
      </c>
      <c r="D1889">
        <v>313.26</v>
      </c>
      <c r="E1889">
        <v>100.93312264572559</v>
      </c>
      <c r="F1889" t="s">
        <v>427</v>
      </c>
      <c r="G1889" s="64">
        <v>43075</v>
      </c>
      <c r="H1889">
        <v>1152.3499999999999</v>
      </c>
      <c r="I1889">
        <v>100.89725343862541</v>
      </c>
      <c r="J1889">
        <v>100.89725343862541</v>
      </c>
    </row>
    <row r="1890" spans="1:10" x14ac:dyDescent="0.25">
      <c r="A1890" s="36"/>
      <c r="B1890" t="s">
        <v>451</v>
      </c>
      <c r="C1890" s="64">
        <v>43076</v>
      </c>
      <c r="D1890">
        <v>311.24</v>
      </c>
      <c r="E1890">
        <v>100.93268860043696</v>
      </c>
      <c r="F1890" t="s">
        <v>427</v>
      </c>
      <c r="G1890" s="64">
        <v>43076</v>
      </c>
      <c r="H1890">
        <v>1159.79</v>
      </c>
      <c r="I1890">
        <v>100.89791255313462</v>
      </c>
      <c r="J1890">
        <v>100.89791255313462</v>
      </c>
    </row>
    <row r="1891" spans="1:10" x14ac:dyDescent="0.25">
      <c r="A1891" s="36"/>
      <c r="B1891" t="s">
        <v>451</v>
      </c>
      <c r="C1891" s="64">
        <v>43077</v>
      </c>
      <c r="D1891">
        <v>315.13</v>
      </c>
      <c r="E1891">
        <v>100.93351949988893</v>
      </c>
      <c r="F1891" t="s">
        <v>427</v>
      </c>
      <c r="G1891" s="64">
        <v>43077</v>
      </c>
      <c r="H1891">
        <v>1162</v>
      </c>
      <c r="I1891">
        <v>100.89810671256454</v>
      </c>
      <c r="J1891">
        <v>100.89810671256454</v>
      </c>
    </row>
    <row r="1892" spans="1:10" x14ac:dyDescent="0.25">
      <c r="A1892" s="36"/>
      <c r="B1892" t="s">
        <v>451</v>
      </c>
      <c r="C1892" s="64">
        <v>43080</v>
      </c>
      <c r="D1892">
        <v>328.91</v>
      </c>
      <c r="E1892">
        <v>100.93630476422122</v>
      </c>
      <c r="F1892" t="s">
        <v>427</v>
      </c>
      <c r="G1892" s="64">
        <v>43080</v>
      </c>
      <c r="H1892">
        <v>1168.92</v>
      </c>
      <c r="I1892">
        <v>100.89870992026829</v>
      </c>
      <c r="J1892">
        <v>100.89870992026829</v>
      </c>
    </row>
    <row r="1893" spans="1:10" x14ac:dyDescent="0.25">
      <c r="A1893" s="36"/>
      <c r="B1893" t="s">
        <v>451</v>
      </c>
      <c r="C1893" s="64">
        <v>43081</v>
      </c>
      <c r="D1893">
        <v>341.03</v>
      </c>
      <c r="E1893">
        <v>100.93856845438818</v>
      </c>
      <c r="F1893" t="s">
        <v>427</v>
      </c>
      <c r="G1893" s="64">
        <v>43081</v>
      </c>
      <c r="H1893">
        <v>1165.08</v>
      </c>
      <c r="I1893">
        <v>100.89837607717925</v>
      </c>
      <c r="J1893">
        <v>100.89837607717925</v>
      </c>
    </row>
    <row r="1894" spans="1:10" x14ac:dyDescent="0.25">
      <c r="A1894" s="36"/>
      <c r="B1894" t="s">
        <v>451</v>
      </c>
      <c r="C1894" s="64">
        <v>43082</v>
      </c>
      <c r="D1894">
        <v>339.03</v>
      </c>
      <c r="E1894">
        <v>100.93820605846091</v>
      </c>
      <c r="F1894" t="s">
        <v>427</v>
      </c>
      <c r="G1894" s="64">
        <v>43082</v>
      </c>
      <c r="H1894">
        <v>1164.1300000000001</v>
      </c>
      <c r="I1894">
        <v>100.89829314595448</v>
      </c>
      <c r="J1894">
        <v>100.89829314595448</v>
      </c>
    </row>
    <row r="1895" spans="1:10" x14ac:dyDescent="0.25">
      <c r="A1895" s="36"/>
      <c r="B1895" t="s">
        <v>451</v>
      </c>
      <c r="C1895" s="64">
        <v>43083</v>
      </c>
      <c r="D1895">
        <v>337.89</v>
      </c>
      <c r="E1895">
        <v>100.9379975731747</v>
      </c>
      <c r="F1895" t="s">
        <v>427</v>
      </c>
      <c r="G1895" s="64">
        <v>43083</v>
      </c>
      <c r="H1895">
        <v>1174.26</v>
      </c>
      <c r="I1895">
        <v>100.89917054144738</v>
      </c>
      <c r="J1895">
        <v>100.89917054144738</v>
      </c>
    </row>
    <row r="1896" spans="1:10" x14ac:dyDescent="0.25">
      <c r="A1896" s="36"/>
      <c r="B1896" t="s">
        <v>451</v>
      </c>
      <c r="C1896" s="64">
        <v>43084</v>
      </c>
      <c r="D1896">
        <v>343.45</v>
      </c>
      <c r="E1896">
        <v>100.93900131023439</v>
      </c>
      <c r="F1896" t="s">
        <v>427</v>
      </c>
      <c r="G1896" s="64">
        <v>43084</v>
      </c>
      <c r="H1896">
        <v>1179.1400000000001</v>
      </c>
      <c r="I1896">
        <v>100.89958783520193</v>
      </c>
      <c r="J1896">
        <v>100.89958783520193</v>
      </c>
    </row>
    <row r="1897" spans="1:10" x14ac:dyDescent="0.25">
      <c r="A1897" s="36"/>
      <c r="B1897" t="s">
        <v>451</v>
      </c>
      <c r="C1897" s="64">
        <v>43087</v>
      </c>
      <c r="D1897">
        <v>338.87</v>
      </c>
      <c r="E1897">
        <v>100.93817688199015</v>
      </c>
      <c r="F1897" t="s">
        <v>427</v>
      </c>
      <c r="G1897" s="64">
        <v>43087</v>
      </c>
      <c r="H1897">
        <v>1190.58</v>
      </c>
      <c r="I1897">
        <v>100.90055267180702</v>
      </c>
      <c r="J1897">
        <v>100.90055267180702</v>
      </c>
    </row>
    <row r="1898" spans="1:10" x14ac:dyDescent="0.25">
      <c r="A1898" s="36"/>
      <c r="B1898" t="s">
        <v>451</v>
      </c>
      <c r="C1898" s="64">
        <v>43088</v>
      </c>
      <c r="D1898">
        <v>331.1</v>
      </c>
      <c r="E1898">
        <v>100.93672606463304</v>
      </c>
      <c r="F1898" t="s">
        <v>427</v>
      </c>
      <c r="G1898" s="64">
        <v>43088</v>
      </c>
      <c r="H1898">
        <v>1187.3800000000001</v>
      </c>
      <c r="I1898">
        <v>100.90028466034462</v>
      </c>
      <c r="J1898">
        <v>100.90028466034462</v>
      </c>
    </row>
    <row r="1899" spans="1:10" x14ac:dyDescent="0.25">
      <c r="A1899" s="36"/>
      <c r="B1899" t="s">
        <v>451</v>
      </c>
      <c r="C1899" s="64">
        <v>43089</v>
      </c>
      <c r="D1899">
        <v>328.98</v>
      </c>
      <c r="E1899">
        <v>100.93631831722293</v>
      </c>
      <c r="F1899" t="s">
        <v>427</v>
      </c>
      <c r="G1899" s="64">
        <v>43089</v>
      </c>
      <c r="H1899">
        <v>1177.6199999999999</v>
      </c>
      <c r="I1899">
        <v>100.89945822930997</v>
      </c>
      <c r="J1899">
        <v>100.89945822930997</v>
      </c>
    </row>
    <row r="1900" spans="1:10" x14ac:dyDescent="0.25">
      <c r="A1900" s="36"/>
      <c r="B1900" t="s">
        <v>451</v>
      </c>
      <c r="C1900" s="64">
        <v>43090</v>
      </c>
      <c r="D1900">
        <v>331.66</v>
      </c>
      <c r="E1900">
        <v>100.93683290116384</v>
      </c>
      <c r="F1900" t="s">
        <v>427</v>
      </c>
      <c r="G1900" s="64">
        <v>43090</v>
      </c>
      <c r="H1900">
        <v>1174.76</v>
      </c>
      <c r="I1900">
        <v>100.89921345636556</v>
      </c>
      <c r="J1900">
        <v>100.89921345636556</v>
      </c>
    </row>
    <row r="1901" spans="1:10" x14ac:dyDescent="0.25">
      <c r="A1901" s="36"/>
      <c r="B1901" t="s">
        <v>451</v>
      </c>
      <c r="C1901" s="64">
        <v>43091</v>
      </c>
      <c r="D1901">
        <v>325.2</v>
      </c>
      <c r="E1901">
        <v>100.93557810578106</v>
      </c>
      <c r="F1901" t="s">
        <v>427</v>
      </c>
      <c r="G1901" s="64">
        <v>43091</v>
      </c>
      <c r="H1901">
        <v>1168.3599999999999</v>
      </c>
      <c r="I1901">
        <v>100.89866137149508</v>
      </c>
      <c r="J1901">
        <v>100.89866137149508</v>
      </c>
    </row>
    <row r="1902" spans="1:10" x14ac:dyDescent="0.25">
      <c r="A1902" s="36"/>
      <c r="B1902" t="s">
        <v>451</v>
      </c>
      <c r="C1902" s="64">
        <v>43095</v>
      </c>
      <c r="D1902">
        <v>317.29000000000002</v>
      </c>
      <c r="E1902">
        <v>100.93397207601879</v>
      </c>
      <c r="F1902" t="s">
        <v>427</v>
      </c>
      <c r="G1902" s="64">
        <v>43095</v>
      </c>
      <c r="H1902">
        <v>1176.76</v>
      </c>
      <c r="I1902">
        <v>100.89938475135116</v>
      </c>
      <c r="J1902">
        <v>100.89938475135116</v>
      </c>
    </row>
    <row r="1903" spans="1:10" x14ac:dyDescent="0.25">
      <c r="A1903" s="36"/>
      <c r="B1903" t="s">
        <v>451</v>
      </c>
      <c r="C1903" s="64">
        <v>43096</v>
      </c>
      <c r="D1903">
        <v>311.64</v>
      </c>
      <c r="E1903">
        <v>100.93277499679117</v>
      </c>
      <c r="F1903" t="s">
        <v>427</v>
      </c>
      <c r="G1903" s="64">
        <v>43096</v>
      </c>
      <c r="H1903">
        <v>1182.26</v>
      </c>
      <c r="I1903">
        <v>100.89985282425185</v>
      </c>
      <c r="J1903">
        <v>100.89985282425185</v>
      </c>
    </row>
    <row r="1904" spans="1:10" x14ac:dyDescent="0.25">
      <c r="A1904" s="36"/>
      <c r="B1904" t="s">
        <v>451</v>
      </c>
      <c r="C1904" s="64">
        <v>43097</v>
      </c>
      <c r="D1904">
        <v>315.36</v>
      </c>
      <c r="E1904">
        <v>100.93356798579401</v>
      </c>
      <c r="F1904" t="s">
        <v>427</v>
      </c>
      <c r="G1904" s="64">
        <v>43097</v>
      </c>
      <c r="H1904">
        <v>1186.0999999999999</v>
      </c>
      <c r="I1904">
        <v>100.90017705083888</v>
      </c>
      <c r="J1904">
        <v>100.90017705083888</v>
      </c>
    </row>
    <row r="1905" spans="1:10" x14ac:dyDescent="0.25">
      <c r="A1905" s="36"/>
      <c r="B1905" t="s">
        <v>451</v>
      </c>
      <c r="C1905" s="64">
        <v>43098</v>
      </c>
      <c r="D1905">
        <v>311.35000000000002</v>
      </c>
      <c r="E1905">
        <v>100.93271238156416</v>
      </c>
      <c r="F1905" t="s">
        <v>427</v>
      </c>
      <c r="G1905" s="64">
        <v>43098</v>
      </c>
      <c r="H1905">
        <v>1169.47</v>
      </c>
      <c r="I1905">
        <v>100.89875755684199</v>
      </c>
      <c r="J1905">
        <v>100.89875755684199</v>
      </c>
    </row>
    <row r="1906" spans="1:10" x14ac:dyDescent="0.25">
      <c r="A1906" s="36"/>
      <c r="B1906" t="s">
        <v>451</v>
      </c>
      <c r="C1906" s="64">
        <v>43102</v>
      </c>
      <c r="D1906">
        <v>320.52999999999997</v>
      </c>
      <c r="E1906">
        <v>100.93463950332263</v>
      </c>
      <c r="F1906" t="s">
        <v>427</v>
      </c>
      <c r="G1906" s="64">
        <v>43102</v>
      </c>
      <c r="H1906">
        <v>1189.01</v>
      </c>
      <c r="I1906">
        <v>100.90042135894568</v>
      </c>
      <c r="J1906">
        <v>100.90042135894568</v>
      </c>
    </row>
    <row r="1907" spans="1:10" x14ac:dyDescent="0.25">
      <c r="A1907" s="36"/>
      <c r="B1907" t="s">
        <v>451</v>
      </c>
      <c r="C1907" s="64">
        <v>43103</v>
      </c>
      <c r="D1907">
        <v>317.25</v>
      </c>
      <c r="E1907">
        <v>100.93396375098503</v>
      </c>
      <c r="F1907" t="s">
        <v>427</v>
      </c>
      <c r="G1907" s="64">
        <v>43103</v>
      </c>
      <c r="H1907">
        <v>1204.2</v>
      </c>
      <c r="I1907">
        <v>100.90167746221557</v>
      </c>
      <c r="J1907">
        <v>100.90167746221557</v>
      </c>
    </row>
    <row r="1908" spans="1:10" x14ac:dyDescent="0.25">
      <c r="A1908" s="36"/>
      <c r="B1908" t="s">
        <v>451</v>
      </c>
      <c r="C1908" s="64">
        <v>43104</v>
      </c>
      <c r="D1908">
        <v>314.62</v>
      </c>
      <c r="E1908">
        <v>100.93341173479118</v>
      </c>
      <c r="F1908" t="s">
        <v>427</v>
      </c>
      <c r="G1908" s="64">
        <v>43104</v>
      </c>
      <c r="H1908">
        <v>1209.5899999999999</v>
      </c>
      <c r="I1908">
        <v>100.90211559288684</v>
      </c>
      <c r="J1908">
        <v>100.90211559288684</v>
      </c>
    </row>
    <row r="1909" spans="1:10" x14ac:dyDescent="0.25">
      <c r="A1909" s="36"/>
      <c r="B1909" t="s">
        <v>451</v>
      </c>
      <c r="C1909" s="64">
        <v>43105</v>
      </c>
      <c r="D1909">
        <v>316.58</v>
      </c>
      <c r="E1909">
        <v>100.93382399393518</v>
      </c>
      <c r="F1909" t="s">
        <v>427</v>
      </c>
      <c r="G1909" s="64">
        <v>43105</v>
      </c>
      <c r="H1909">
        <v>1229.1400000000001</v>
      </c>
      <c r="I1909">
        <v>100.90367248645394</v>
      </c>
      <c r="J1909">
        <v>100.90367248645394</v>
      </c>
    </row>
    <row r="1910" spans="1:10" x14ac:dyDescent="0.25">
      <c r="A1910" s="36"/>
      <c r="B1910" t="s">
        <v>451</v>
      </c>
      <c r="C1910" s="64">
        <v>43108</v>
      </c>
      <c r="D1910">
        <v>336.41</v>
      </c>
      <c r="E1910">
        <v>100.93772480009513</v>
      </c>
      <c r="F1910" t="s">
        <v>427</v>
      </c>
      <c r="G1910" s="64">
        <v>43108</v>
      </c>
      <c r="H1910">
        <v>1246.8699999999999</v>
      </c>
      <c r="I1910">
        <v>100.90504222573324</v>
      </c>
      <c r="J1910">
        <v>100.90504222573324</v>
      </c>
    </row>
    <row r="1911" spans="1:10" x14ac:dyDescent="0.25">
      <c r="A1911" s="36"/>
      <c r="B1911" t="s">
        <v>451</v>
      </c>
      <c r="C1911" s="64">
        <v>43109</v>
      </c>
      <c r="D1911">
        <v>333.69</v>
      </c>
      <c r="E1911">
        <v>100.93721717761994</v>
      </c>
      <c r="F1911" t="s">
        <v>427</v>
      </c>
      <c r="G1911" s="64">
        <v>43109</v>
      </c>
      <c r="H1911">
        <v>1252.7</v>
      </c>
      <c r="I1911">
        <v>100.90548415422687</v>
      </c>
      <c r="J1911">
        <v>100.90548415422687</v>
      </c>
    </row>
    <row r="1912" spans="1:10" x14ac:dyDescent="0.25">
      <c r="A1912" s="36"/>
      <c r="B1912" t="s">
        <v>451</v>
      </c>
      <c r="C1912" s="64">
        <v>43110</v>
      </c>
      <c r="D1912">
        <v>334.8</v>
      </c>
      <c r="E1912">
        <v>100.93742532855435</v>
      </c>
      <c r="F1912" t="s">
        <v>427</v>
      </c>
      <c r="G1912" s="64">
        <v>43110</v>
      </c>
      <c r="H1912">
        <v>1254.33</v>
      </c>
      <c r="I1912">
        <v>100.90560697743018</v>
      </c>
      <c r="J1912">
        <v>100.90560697743018</v>
      </c>
    </row>
    <row r="1913" spans="1:10" x14ac:dyDescent="0.25">
      <c r="A1913" s="36"/>
      <c r="B1913" t="s">
        <v>451</v>
      </c>
      <c r="C1913" s="64">
        <v>43111</v>
      </c>
      <c r="D1913">
        <v>337.95</v>
      </c>
      <c r="E1913">
        <v>100.93800858115105</v>
      </c>
      <c r="F1913" t="s">
        <v>427</v>
      </c>
      <c r="G1913" s="64">
        <v>43111</v>
      </c>
      <c r="H1913">
        <v>1276.68</v>
      </c>
      <c r="I1913">
        <v>100.90725945420935</v>
      </c>
      <c r="J1913">
        <v>100.90725945420935</v>
      </c>
    </row>
    <row r="1914" spans="1:10" x14ac:dyDescent="0.25">
      <c r="A1914" s="36"/>
      <c r="B1914" t="s">
        <v>451</v>
      </c>
      <c r="C1914" s="64">
        <v>43112</v>
      </c>
      <c r="D1914">
        <v>336.22</v>
      </c>
      <c r="E1914">
        <v>100.93768960799477</v>
      </c>
      <c r="F1914" t="s">
        <v>427</v>
      </c>
      <c r="G1914" s="64">
        <v>43112</v>
      </c>
      <c r="H1914">
        <v>1305.2</v>
      </c>
      <c r="I1914">
        <v>100.90928593319032</v>
      </c>
      <c r="J1914">
        <v>100.90928593319032</v>
      </c>
    </row>
    <row r="1915" spans="1:10" x14ac:dyDescent="0.25">
      <c r="A1915" s="36"/>
      <c r="B1915" t="s">
        <v>451</v>
      </c>
      <c r="C1915" s="64">
        <v>43116</v>
      </c>
      <c r="D1915">
        <v>340.06</v>
      </c>
      <c r="E1915">
        <v>100.93839322472505</v>
      </c>
      <c r="F1915" t="s">
        <v>427</v>
      </c>
      <c r="G1915" s="64">
        <v>43116</v>
      </c>
      <c r="H1915">
        <v>1304.8599999999999</v>
      </c>
      <c r="I1915">
        <v>100.9092622963383</v>
      </c>
      <c r="J1915">
        <v>100.9092622963383</v>
      </c>
    </row>
    <row r="1916" spans="1:10" x14ac:dyDescent="0.25">
      <c r="A1916" s="36"/>
      <c r="B1916" t="s">
        <v>451</v>
      </c>
      <c r="C1916" s="64">
        <v>43117</v>
      </c>
      <c r="D1916">
        <v>347.16</v>
      </c>
      <c r="E1916">
        <v>100.9396531858509</v>
      </c>
      <c r="F1916" t="s">
        <v>427</v>
      </c>
      <c r="G1916" s="64">
        <v>43117</v>
      </c>
      <c r="H1916">
        <v>1295</v>
      </c>
      <c r="I1916">
        <v>100.90857142857143</v>
      </c>
      <c r="J1916">
        <v>100.90857142857143</v>
      </c>
    </row>
    <row r="1917" spans="1:10" x14ac:dyDescent="0.25">
      <c r="A1917" s="36"/>
      <c r="B1917" t="s">
        <v>451</v>
      </c>
      <c r="C1917" s="64">
        <v>43118</v>
      </c>
      <c r="D1917">
        <v>344.57</v>
      </c>
      <c r="E1917">
        <v>100.93919958208782</v>
      </c>
      <c r="F1917" t="s">
        <v>427</v>
      </c>
      <c r="G1917" s="64">
        <v>43118</v>
      </c>
      <c r="H1917">
        <v>1293.32</v>
      </c>
      <c r="I1917">
        <v>100.90845266446046</v>
      </c>
      <c r="J1917">
        <v>100.90845266446046</v>
      </c>
    </row>
    <row r="1918" spans="1:10" x14ac:dyDescent="0.25">
      <c r="A1918" s="36"/>
      <c r="B1918" t="s">
        <v>451</v>
      </c>
      <c r="C1918" s="64">
        <v>43119</v>
      </c>
      <c r="D1918">
        <v>350.02</v>
      </c>
      <c r="E1918">
        <v>100.94014627735558</v>
      </c>
      <c r="F1918" t="s">
        <v>427</v>
      </c>
      <c r="G1918" s="64">
        <v>43119</v>
      </c>
      <c r="H1918">
        <v>1294.58</v>
      </c>
      <c r="I1918">
        <v>100.90854176644163</v>
      </c>
      <c r="J1918">
        <v>100.90854176644163</v>
      </c>
    </row>
    <row r="1919" spans="1:10" x14ac:dyDescent="0.25">
      <c r="A1919" s="36"/>
      <c r="B1919" t="s">
        <v>451</v>
      </c>
      <c r="C1919" s="64">
        <v>43122</v>
      </c>
      <c r="D1919">
        <v>351.56</v>
      </c>
      <c r="E1919">
        <v>100.94040846512686</v>
      </c>
      <c r="F1919" t="s">
        <v>427</v>
      </c>
      <c r="G1919" s="64">
        <v>43122</v>
      </c>
      <c r="H1919">
        <v>1327.31</v>
      </c>
      <c r="I1919">
        <v>100.91079702556299</v>
      </c>
      <c r="J1919">
        <v>100.91079702556299</v>
      </c>
    </row>
    <row r="1920" spans="1:10" x14ac:dyDescent="0.25">
      <c r="A1920" s="36"/>
      <c r="B1920" t="s">
        <v>451</v>
      </c>
      <c r="C1920" s="64">
        <v>43123</v>
      </c>
      <c r="D1920">
        <v>352.79</v>
      </c>
      <c r="E1920">
        <v>100.94061623061879</v>
      </c>
      <c r="F1920" t="s">
        <v>427</v>
      </c>
      <c r="G1920" s="64">
        <v>43123</v>
      </c>
      <c r="H1920">
        <v>1362.54</v>
      </c>
      <c r="I1920">
        <v>100.91310346852202</v>
      </c>
      <c r="J1920">
        <v>100.91310346852202</v>
      </c>
    </row>
    <row r="1921" spans="1:10" x14ac:dyDescent="0.25">
      <c r="A1921" s="36"/>
      <c r="B1921" t="s">
        <v>451</v>
      </c>
      <c r="C1921" s="64">
        <v>43124</v>
      </c>
      <c r="D1921">
        <v>345.89</v>
      </c>
      <c r="E1921">
        <v>100.93943161120588</v>
      </c>
      <c r="F1921" t="s">
        <v>427</v>
      </c>
      <c r="G1921" s="64">
        <v>43124</v>
      </c>
      <c r="H1921">
        <v>1357.51</v>
      </c>
      <c r="I1921">
        <v>100.91278148963912</v>
      </c>
      <c r="J1921">
        <v>100.91278148963912</v>
      </c>
    </row>
    <row r="1922" spans="1:10" x14ac:dyDescent="0.25">
      <c r="A1922" s="36"/>
      <c r="B1922" t="s">
        <v>451</v>
      </c>
      <c r="C1922" s="64">
        <v>43125</v>
      </c>
      <c r="D1922">
        <v>337.64</v>
      </c>
      <c r="E1922">
        <v>100.93795166449473</v>
      </c>
      <c r="F1922" t="s">
        <v>427</v>
      </c>
      <c r="G1922" s="64">
        <v>43125</v>
      </c>
      <c r="H1922">
        <v>1377.95</v>
      </c>
      <c r="I1922">
        <v>100.91407525672194</v>
      </c>
      <c r="J1922">
        <v>100.91407525672194</v>
      </c>
    </row>
    <row r="1923" spans="1:10" x14ac:dyDescent="0.25">
      <c r="A1923" s="36"/>
      <c r="B1923" t="s">
        <v>451</v>
      </c>
      <c r="C1923" s="64">
        <v>43126</v>
      </c>
      <c r="D1923">
        <v>342.85</v>
      </c>
      <c r="E1923">
        <v>100.93889456030334</v>
      </c>
      <c r="F1923" t="s">
        <v>427</v>
      </c>
      <c r="G1923" s="64">
        <v>43126</v>
      </c>
      <c r="H1923">
        <v>1402.05</v>
      </c>
      <c r="I1923">
        <v>100.91555222709604</v>
      </c>
      <c r="J1923">
        <v>100.91555222709604</v>
      </c>
    </row>
    <row r="1924" spans="1:10" x14ac:dyDescent="0.25">
      <c r="A1924" s="36"/>
      <c r="B1924" t="s">
        <v>451</v>
      </c>
      <c r="C1924" s="64">
        <v>43129</v>
      </c>
      <c r="D1924">
        <v>349.53</v>
      </c>
      <c r="E1924">
        <v>100.94006236946757</v>
      </c>
      <c r="F1924" t="s">
        <v>427</v>
      </c>
      <c r="G1924" s="64">
        <v>43129</v>
      </c>
      <c r="H1924">
        <v>1417.68</v>
      </c>
      <c r="I1924">
        <v>100.91648326843858</v>
      </c>
      <c r="J1924">
        <v>100.91648326843858</v>
      </c>
    </row>
    <row r="1925" spans="1:10" x14ac:dyDescent="0.25">
      <c r="A1925" s="36"/>
      <c r="B1925" t="s">
        <v>451</v>
      </c>
      <c r="C1925" s="64">
        <v>43130</v>
      </c>
      <c r="D1925">
        <v>345.82</v>
      </c>
      <c r="E1925">
        <v>100.93941935110752</v>
      </c>
      <c r="F1925" t="s">
        <v>427</v>
      </c>
      <c r="G1925" s="64">
        <v>43130</v>
      </c>
      <c r="H1925">
        <v>1437.82</v>
      </c>
      <c r="I1925">
        <v>100.91765311374164</v>
      </c>
      <c r="J1925">
        <v>100.91765311374164</v>
      </c>
    </row>
    <row r="1926" spans="1:10" x14ac:dyDescent="0.25">
      <c r="A1926" s="36"/>
      <c r="B1926" t="s">
        <v>451</v>
      </c>
      <c r="C1926" s="64">
        <v>43131</v>
      </c>
      <c r="D1926">
        <v>354.31</v>
      </c>
      <c r="E1926">
        <v>100.94087098868222</v>
      </c>
      <c r="F1926" t="s">
        <v>427</v>
      </c>
      <c r="G1926" s="64">
        <v>43131</v>
      </c>
      <c r="H1926">
        <v>1450.89</v>
      </c>
      <c r="I1926">
        <v>100.91839491622383</v>
      </c>
      <c r="J1926">
        <v>100.91839491622383</v>
      </c>
    </row>
    <row r="1927" spans="1:10" x14ac:dyDescent="0.25">
      <c r="A1927" s="36"/>
      <c r="B1927" t="s">
        <v>451</v>
      </c>
      <c r="C1927" s="64">
        <v>43132</v>
      </c>
      <c r="D1927">
        <v>349.25</v>
      </c>
      <c r="E1927">
        <v>100.94001431639226</v>
      </c>
      <c r="F1927" t="s">
        <v>427</v>
      </c>
      <c r="G1927" s="64">
        <v>43132</v>
      </c>
      <c r="H1927">
        <v>1390</v>
      </c>
      <c r="I1927">
        <v>100.9148201438849</v>
      </c>
      <c r="J1927">
        <v>100.9148201438849</v>
      </c>
    </row>
    <row r="1928" spans="1:10" x14ac:dyDescent="0.25">
      <c r="A1928" s="36"/>
      <c r="B1928" t="s">
        <v>451</v>
      </c>
      <c r="C1928" s="64">
        <v>43133</v>
      </c>
      <c r="D1928">
        <v>343.75</v>
      </c>
      <c r="E1928">
        <v>100.93905454545454</v>
      </c>
      <c r="F1928" t="s">
        <v>427</v>
      </c>
      <c r="G1928" s="64">
        <v>43133</v>
      </c>
      <c r="H1928">
        <v>1429.95</v>
      </c>
      <c r="I1928">
        <v>100.91719990209448</v>
      </c>
      <c r="J1928">
        <v>100.91719990209448</v>
      </c>
    </row>
    <row r="1929" spans="1:10" x14ac:dyDescent="0.25">
      <c r="A1929" s="36"/>
      <c r="B1929" t="s">
        <v>451</v>
      </c>
      <c r="C1929" s="64">
        <v>43136</v>
      </c>
      <c r="D1929">
        <v>333.13</v>
      </c>
      <c r="E1929">
        <v>100.93711163809924</v>
      </c>
      <c r="F1929" t="s">
        <v>427</v>
      </c>
      <c r="G1929" s="64">
        <v>43136</v>
      </c>
      <c r="H1929">
        <v>1390</v>
      </c>
      <c r="I1929">
        <v>100.9148201438849</v>
      </c>
      <c r="J1929">
        <v>100.9148201438849</v>
      </c>
    </row>
    <row r="1930" spans="1:10" x14ac:dyDescent="0.25">
      <c r="A1930" s="36"/>
      <c r="B1930" t="s">
        <v>451</v>
      </c>
      <c r="C1930" s="64">
        <v>43137</v>
      </c>
      <c r="D1930">
        <v>333.97</v>
      </c>
      <c r="E1930">
        <v>100.93726981465402</v>
      </c>
      <c r="F1930" t="s">
        <v>427</v>
      </c>
      <c r="G1930" s="64">
        <v>43137</v>
      </c>
      <c r="H1930">
        <v>1442.84</v>
      </c>
      <c r="I1930">
        <v>100.91793961908458</v>
      </c>
      <c r="J1930">
        <v>100.91793961908458</v>
      </c>
    </row>
    <row r="1931" spans="1:10" x14ac:dyDescent="0.25">
      <c r="A1931" s="36"/>
      <c r="B1931" t="s">
        <v>451</v>
      </c>
      <c r="C1931" s="64">
        <v>43138</v>
      </c>
      <c r="D1931">
        <v>345</v>
      </c>
      <c r="E1931">
        <v>100.93927536231884</v>
      </c>
      <c r="F1931" t="s">
        <v>427</v>
      </c>
      <c r="G1931" s="64">
        <v>43138</v>
      </c>
      <c r="H1931">
        <v>1416.78</v>
      </c>
      <c r="I1931">
        <v>100.91643021499456</v>
      </c>
      <c r="J1931">
        <v>100.91643021499456</v>
      </c>
    </row>
    <row r="1932" spans="1:10" x14ac:dyDescent="0.25">
      <c r="A1932" s="36"/>
      <c r="B1932" t="s">
        <v>451</v>
      </c>
      <c r="C1932" s="64">
        <v>43139</v>
      </c>
      <c r="D1932">
        <v>315.23</v>
      </c>
      <c r="E1932">
        <v>100.93354058941091</v>
      </c>
      <c r="F1932" t="s">
        <v>427</v>
      </c>
      <c r="G1932" s="64">
        <v>43139</v>
      </c>
      <c r="H1932">
        <v>1350.5</v>
      </c>
      <c r="I1932">
        <v>100.91232876712328</v>
      </c>
      <c r="J1932">
        <v>100.91232876712328</v>
      </c>
    </row>
    <row r="1933" spans="1:10" x14ac:dyDescent="0.25">
      <c r="A1933" s="36"/>
      <c r="B1933" t="s">
        <v>451</v>
      </c>
      <c r="C1933" s="64">
        <v>43140</v>
      </c>
      <c r="D1933">
        <v>310.42</v>
      </c>
      <c r="E1933">
        <v>100.93251079183042</v>
      </c>
      <c r="F1933" t="s">
        <v>427</v>
      </c>
      <c r="G1933" s="64">
        <v>43140</v>
      </c>
      <c r="H1933">
        <v>1339.6</v>
      </c>
      <c r="I1933">
        <v>100.91161540758435</v>
      </c>
      <c r="J1933">
        <v>100.91161540758435</v>
      </c>
    </row>
    <row r="1934" spans="1:10" x14ac:dyDescent="0.25">
      <c r="A1934" s="36"/>
      <c r="B1934" t="s">
        <v>451</v>
      </c>
      <c r="C1934" s="64">
        <v>43143</v>
      </c>
      <c r="D1934">
        <v>315.73</v>
      </c>
      <c r="E1934">
        <v>100.93364583663256</v>
      </c>
      <c r="F1934" t="s">
        <v>427</v>
      </c>
      <c r="G1934" s="64">
        <v>43143</v>
      </c>
      <c r="H1934">
        <v>1386.23</v>
      </c>
      <c r="I1934">
        <v>100.91458848820182</v>
      </c>
      <c r="J1934">
        <v>100.91458848820182</v>
      </c>
    </row>
    <row r="1935" spans="1:10" x14ac:dyDescent="0.25">
      <c r="A1935" s="36"/>
      <c r="B1935" t="s">
        <v>451</v>
      </c>
      <c r="C1935" s="64">
        <v>43144</v>
      </c>
      <c r="D1935">
        <v>323.66000000000003</v>
      </c>
      <c r="E1935">
        <v>100.935271581289</v>
      </c>
      <c r="F1935" t="s">
        <v>427</v>
      </c>
      <c r="G1935" s="64">
        <v>43144</v>
      </c>
      <c r="H1935">
        <v>1414.51</v>
      </c>
      <c r="I1935">
        <v>100.91629610253727</v>
      </c>
      <c r="J1935">
        <v>100.91629610253727</v>
      </c>
    </row>
    <row r="1936" spans="1:10" x14ac:dyDescent="0.25">
      <c r="A1936" s="36"/>
      <c r="B1936" t="s">
        <v>451</v>
      </c>
      <c r="C1936" s="64">
        <v>43145</v>
      </c>
      <c r="D1936">
        <v>322.31</v>
      </c>
      <c r="E1936">
        <v>100.93500046539046</v>
      </c>
      <c r="F1936" t="s">
        <v>427</v>
      </c>
      <c r="G1936" s="64">
        <v>43145</v>
      </c>
      <c r="H1936">
        <v>1451.05</v>
      </c>
      <c r="I1936">
        <v>100.91840391440681</v>
      </c>
      <c r="J1936">
        <v>100.91840391440681</v>
      </c>
    </row>
    <row r="1937" spans="1:10" x14ac:dyDescent="0.25">
      <c r="A1937" s="36"/>
      <c r="B1937" t="s">
        <v>451</v>
      </c>
      <c r="C1937" s="64">
        <v>43146</v>
      </c>
      <c r="D1937">
        <v>334.065</v>
      </c>
      <c r="E1937">
        <v>100.93728765360035</v>
      </c>
      <c r="F1937" t="s">
        <v>427</v>
      </c>
      <c r="G1937" s="64">
        <v>43146</v>
      </c>
      <c r="H1937">
        <v>1461.76</v>
      </c>
      <c r="I1937">
        <v>100.91900175131349</v>
      </c>
      <c r="J1937">
        <v>100.91900175131349</v>
      </c>
    </row>
    <row r="1938" spans="1:10" x14ac:dyDescent="0.25">
      <c r="A1938" s="36"/>
      <c r="B1938" t="s">
        <v>451</v>
      </c>
      <c r="C1938" s="64">
        <v>43147</v>
      </c>
      <c r="D1938">
        <v>335.49</v>
      </c>
      <c r="E1938">
        <v>100.9375540254553</v>
      </c>
      <c r="F1938" t="s">
        <v>427</v>
      </c>
      <c r="G1938" s="64">
        <v>43147</v>
      </c>
      <c r="H1938">
        <v>1448.69</v>
      </c>
      <c r="I1938">
        <v>100.91827098965273</v>
      </c>
      <c r="J1938">
        <v>100.91827098965273</v>
      </c>
    </row>
    <row r="1939" spans="1:10" x14ac:dyDescent="0.25">
      <c r="A1939" s="36"/>
      <c r="B1939" t="s">
        <v>451</v>
      </c>
      <c r="C1939" s="64">
        <v>43151</v>
      </c>
      <c r="D1939">
        <v>334.77</v>
      </c>
      <c r="E1939">
        <v>100.93741972100248</v>
      </c>
      <c r="F1939" t="s">
        <v>427</v>
      </c>
      <c r="G1939" s="64">
        <v>43151</v>
      </c>
      <c r="H1939">
        <v>1468.35</v>
      </c>
      <c r="I1939">
        <v>100.91936527394695</v>
      </c>
      <c r="J1939">
        <v>100.91936527394695</v>
      </c>
    </row>
    <row r="1940" spans="1:10" x14ac:dyDescent="0.25">
      <c r="A1940" s="36"/>
      <c r="B1940" t="s">
        <v>451</v>
      </c>
      <c r="C1940" s="64">
        <v>43152</v>
      </c>
      <c r="D1940">
        <v>333.3</v>
      </c>
      <c r="E1940">
        <v>100.93714371437143</v>
      </c>
      <c r="F1940" t="s">
        <v>427</v>
      </c>
      <c r="G1940" s="64">
        <v>43152</v>
      </c>
      <c r="H1940">
        <v>1482.92</v>
      </c>
      <c r="I1940">
        <v>100.92015752704124</v>
      </c>
      <c r="J1940">
        <v>100.92015752704124</v>
      </c>
    </row>
    <row r="1941" spans="1:10" x14ac:dyDescent="0.25">
      <c r="A1941" s="36"/>
      <c r="B1941" t="s">
        <v>451</v>
      </c>
      <c r="C1941" s="64">
        <v>43153</v>
      </c>
      <c r="D1941">
        <v>346.17</v>
      </c>
      <c r="E1941">
        <v>100.93948060201635</v>
      </c>
      <c r="F1941" t="s">
        <v>427</v>
      </c>
      <c r="G1941" s="64">
        <v>43153</v>
      </c>
      <c r="H1941">
        <v>1485.34</v>
      </c>
      <c r="I1941">
        <v>100.92028761091737</v>
      </c>
      <c r="J1941">
        <v>100.92028761091737</v>
      </c>
    </row>
    <row r="1942" spans="1:10" x14ac:dyDescent="0.25">
      <c r="A1942" s="36"/>
      <c r="B1942" t="s">
        <v>451</v>
      </c>
      <c r="C1942" s="64">
        <v>43154</v>
      </c>
      <c r="D1942">
        <v>352.05</v>
      </c>
      <c r="E1942">
        <v>100.94049140747053</v>
      </c>
      <c r="F1942" t="s">
        <v>427</v>
      </c>
      <c r="G1942" s="64">
        <v>43154</v>
      </c>
      <c r="H1942">
        <v>1500</v>
      </c>
      <c r="I1942">
        <v>100.92106666666666</v>
      </c>
      <c r="J1942">
        <v>100.92106666666666</v>
      </c>
    </row>
    <row r="1943" spans="1:10" x14ac:dyDescent="0.25">
      <c r="A1943" s="36"/>
      <c r="B1943" t="s">
        <v>451</v>
      </c>
      <c r="C1943" s="64">
        <v>43157</v>
      </c>
      <c r="D1943">
        <v>357.42</v>
      </c>
      <c r="E1943">
        <v>100.94138548486374</v>
      </c>
      <c r="F1943" t="s">
        <v>427</v>
      </c>
      <c r="G1943" s="64">
        <v>43157</v>
      </c>
      <c r="H1943">
        <v>1521.95</v>
      </c>
      <c r="I1943">
        <v>100.92220506586945</v>
      </c>
      <c r="J1943">
        <v>100.92220506586945</v>
      </c>
    </row>
    <row r="1944" spans="1:10" x14ac:dyDescent="0.25">
      <c r="A1944" s="36"/>
      <c r="B1944" t="s">
        <v>451</v>
      </c>
      <c r="C1944" s="64">
        <v>43158</v>
      </c>
      <c r="D1944">
        <v>350.99</v>
      </c>
      <c r="E1944">
        <v>100.94031168979173</v>
      </c>
      <c r="F1944" t="s">
        <v>427</v>
      </c>
      <c r="G1944" s="64">
        <v>43158</v>
      </c>
      <c r="H1944">
        <v>1511.98</v>
      </c>
      <c r="I1944">
        <v>100.92169208587416</v>
      </c>
      <c r="J1944">
        <v>100.92169208587416</v>
      </c>
    </row>
    <row r="1945" spans="1:10" x14ac:dyDescent="0.25">
      <c r="A1945" s="36"/>
      <c r="B1945" t="s">
        <v>451</v>
      </c>
      <c r="C1945" s="64">
        <v>43159</v>
      </c>
      <c r="D1945">
        <v>343.06</v>
      </c>
      <c r="E1945">
        <v>100.93893196525389</v>
      </c>
      <c r="F1945" t="s">
        <v>427</v>
      </c>
      <c r="G1945" s="64">
        <v>43159</v>
      </c>
      <c r="H1945">
        <v>1512.45</v>
      </c>
      <c r="I1945">
        <v>100.92171642037754</v>
      </c>
      <c r="J1945">
        <v>100.92171642037754</v>
      </c>
    </row>
    <row r="1946" spans="1:10" x14ac:dyDescent="0.25">
      <c r="A1946" s="36"/>
      <c r="B1946" t="s">
        <v>451</v>
      </c>
      <c r="C1946" s="64">
        <v>43160</v>
      </c>
      <c r="D1946">
        <v>330.93</v>
      </c>
      <c r="E1946">
        <v>100.93669356057173</v>
      </c>
      <c r="F1946" t="s">
        <v>427</v>
      </c>
      <c r="G1946" s="64">
        <v>43160</v>
      </c>
      <c r="H1946">
        <v>1493.45</v>
      </c>
      <c r="I1946">
        <v>100.92072047942683</v>
      </c>
      <c r="J1946">
        <v>100.92072047942683</v>
      </c>
    </row>
    <row r="1947" spans="1:10" x14ac:dyDescent="0.25">
      <c r="A1947" s="36"/>
      <c r="B1947" t="s">
        <v>451</v>
      </c>
      <c r="C1947" s="64">
        <v>43161</v>
      </c>
      <c r="D1947">
        <v>335.12</v>
      </c>
      <c r="E1947">
        <v>100.93748507997135</v>
      </c>
      <c r="F1947" t="s">
        <v>427</v>
      </c>
      <c r="G1947" s="64">
        <v>43161</v>
      </c>
      <c r="H1947">
        <v>1500.25</v>
      </c>
      <c r="I1947">
        <v>100.92107982003</v>
      </c>
      <c r="J1947">
        <v>100.92107982003</v>
      </c>
    </row>
    <row r="1948" spans="1:10" x14ac:dyDescent="0.25">
      <c r="A1948" s="36"/>
      <c r="B1948" t="s">
        <v>451</v>
      </c>
      <c r="C1948" s="64">
        <v>43164</v>
      </c>
      <c r="D1948">
        <v>333.35</v>
      </c>
      <c r="E1948">
        <v>100.93715314234288</v>
      </c>
      <c r="F1948" t="s">
        <v>427</v>
      </c>
      <c r="G1948" s="64">
        <v>43164</v>
      </c>
      <c r="H1948">
        <v>1523.61</v>
      </c>
      <c r="I1948">
        <v>100.92228982482393</v>
      </c>
      <c r="J1948">
        <v>100.92228982482393</v>
      </c>
    </row>
    <row r="1949" spans="1:10" x14ac:dyDescent="0.25">
      <c r="A1949" s="36"/>
      <c r="B1949" t="s">
        <v>451</v>
      </c>
      <c r="C1949" s="64">
        <v>43165</v>
      </c>
      <c r="D1949">
        <v>328.2</v>
      </c>
      <c r="E1949">
        <v>100.93616697135893</v>
      </c>
      <c r="F1949" t="s">
        <v>427</v>
      </c>
      <c r="G1949" s="64">
        <v>43165</v>
      </c>
      <c r="H1949">
        <v>1537.64</v>
      </c>
      <c r="I1949">
        <v>100.92299888140266</v>
      </c>
      <c r="J1949">
        <v>100.92299888140266</v>
      </c>
    </row>
    <row r="1950" spans="1:10" x14ac:dyDescent="0.25">
      <c r="A1950" s="36"/>
      <c r="B1950" t="s">
        <v>451</v>
      </c>
      <c r="C1950" s="64">
        <v>43166</v>
      </c>
      <c r="D1950">
        <v>332.3</v>
      </c>
      <c r="E1950">
        <v>100.93695455913331</v>
      </c>
      <c r="F1950" t="s">
        <v>427</v>
      </c>
      <c r="G1950" s="64">
        <v>43166</v>
      </c>
      <c r="H1950">
        <v>1545</v>
      </c>
      <c r="I1950">
        <v>100.92336569579288</v>
      </c>
      <c r="J1950">
        <v>100.92336569579288</v>
      </c>
    </row>
    <row r="1951" spans="1:10" x14ac:dyDescent="0.25">
      <c r="A1951" s="36"/>
      <c r="B1951" t="s">
        <v>451</v>
      </c>
      <c r="C1951" s="64">
        <v>43167</v>
      </c>
      <c r="D1951">
        <v>329.1</v>
      </c>
      <c r="E1951">
        <v>100.93634153752659</v>
      </c>
      <c r="F1951" t="s">
        <v>427</v>
      </c>
      <c r="G1951" s="64">
        <v>43167</v>
      </c>
      <c r="H1951">
        <v>1551.86</v>
      </c>
      <c r="I1951">
        <v>100.92370445787635</v>
      </c>
      <c r="J1951">
        <v>100.92370445787635</v>
      </c>
    </row>
    <row r="1952" spans="1:10" x14ac:dyDescent="0.25">
      <c r="A1952" s="36"/>
      <c r="B1952" t="s">
        <v>451</v>
      </c>
      <c r="C1952" s="64">
        <v>43168</v>
      </c>
      <c r="D1952">
        <v>327.17</v>
      </c>
      <c r="E1952">
        <v>100.93596601155363</v>
      </c>
      <c r="F1952" t="s">
        <v>427</v>
      </c>
      <c r="G1952" s="64">
        <v>43168</v>
      </c>
      <c r="H1952">
        <v>1578.89</v>
      </c>
      <c r="I1952">
        <v>100.92501060871878</v>
      </c>
      <c r="J1952">
        <v>100.92501060871878</v>
      </c>
    </row>
    <row r="1953" spans="1:10" x14ac:dyDescent="0.25">
      <c r="A1953" s="36"/>
      <c r="B1953" t="s">
        <v>451</v>
      </c>
      <c r="C1953" s="64">
        <v>43171</v>
      </c>
      <c r="D1953">
        <v>345.51</v>
      </c>
      <c r="E1953">
        <v>100.93936499667159</v>
      </c>
      <c r="F1953" t="s">
        <v>427</v>
      </c>
      <c r="G1953" s="64">
        <v>43171</v>
      </c>
      <c r="H1953">
        <v>1598.39</v>
      </c>
      <c r="I1953">
        <v>100.92592546249664</v>
      </c>
      <c r="J1953">
        <v>100.92592546249664</v>
      </c>
    </row>
    <row r="1954" spans="1:10" x14ac:dyDescent="0.25">
      <c r="A1954" s="36"/>
      <c r="B1954" t="s">
        <v>451</v>
      </c>
      <c r="C1954" s="64">
        <v>43172</v>
      </c>
      <c r="D1954">
        <v>341.84</v>
      </c>
      <c r="E1954">
        <v>100.93871401825416</v>
      </c>
      <c r="F1954" t="s">
        <v>427</v>
      </c>
      <c r="G1954" s="64">
        <v>43172</v>
      </c>
      <c r="H1954">
        <v>1588.18</v>
      </c>
      <c r="I1954">
        <v>100.92544925638151</v>
      </c>
      <c r="J1954">
        <v>100.92544925638151</v>
      </c>
    </row>
    <row r="1955" spans="1:10" x14ac:dyDescent="0.25">
      <c r="A1955" s="36"/>
      <c r="B1955" t="s">
        <v>451</v>
      </c>
      <c r="C1955" s="64">
        <v>43173</v>
      </c>
      <c r="D1955">
        <v>326.63</v>
      </c>
      <c r="E1955">
        <v>100.93586014756758</v>
      </c>
      <c r="F1955" t="s">
        <v>427</v>
      </c>
      <c r="G1955" s="64">
        <v>43173</v>
      </c>
      <c r="H1955">
        <v>1591</v>
      </c>
      <c r="I1955">
        <v>100.92558139534884</v>
      </c>
      <c r="J1955">
        <v>100.92558139534884</v>
      </c>
    </row>
    <row r="1956" spans="1:10" x14ac:dyDescent="0.25">
      <c r="A1956" s="36"/>
      <c r="B1956" t="s">
        <v>451</v>
      </c>
      <c r="C1956" s="64">
        <v>43174</v>
      </c>
      <c r="D1956">
        <v>325.60000000000002</v>
      </c>
      <c r="E1956">
        <v>100.93565724815724</v>
      </c>
      <c r="F1956" t="s">
        <v>427</v>
      </c>
      <c r="G1956" s="64">
        <v>43174</v>
      </c>
      <c r="H1956">
        <v>1582.32</v>
      </c>
      <c r="I1956">
        <v>100.92517316345619</v>
      </c>
      <c r="J1956">
        <v>100.92517316345619</v>
      </c>
    </row>
    <row r="1957" spans="1:10" x14ac:dyDescent="0.25">
      <c r="A1957" s="36"/>
      <c r="B1957" t="s">
        <v>451</v>
      </c>
      <c r="C1957" s="64">
        <v>43175</v>
      </c>
      <c r="D1957">
        <v>321.35000000000002</v>
      </c>
      <c r="E1957">
        <v>100.93480628598101</v>
      </c>
      <c r="F1957" t="s">
        <v>427</v>
      </c>
      <c r="G1957" s="64">
        <v>43175</v>
      </c>
      <c r="H1957">
        <v>1571.68</v>
      </c>
      <c r="I1957">
        <v>100.92466659879874</v>
      </c>
      <c r="J1957">
        <v>100.92466659879874</v>
      </c>
    </row>
    <row r="1958" spans="1:10" x14ac:dyDescent="0.25">
      <c r="A1958" s="36"/>
      <c r="B1958" t="s">
        <v>451</v>
      </c>
      <c r="C1958" s="64">
        <v>43178</v>
      </c>
      <c r="D1958">
        <v>313.56</v>
      </c>
      <c r="E1958">
        <v>100.93318663094783</v>
      </c>
      <c r="F1958" t="s">
        <v>427</v>
      </c>
      <c r="G1958" s="64">
        <v>43178</v>
      </c>
      <c r="H1958">
        <v>1544.93</v>
      </c>
      <c r="I1958">
        <v>100.92336222353116</v>
      </c>
      <c r="J1958">
        <v>100.92336222353116</v>
      </c>
    </row>
    <row r="1959" spans="1:10" x14ac:dyDescent="0.25">
      <c r="A1959" s="36"/>
      <c r="B1959" t="s">
        <v>451</v>
      </c>
      <c r="C1959" s="64">
        <v>43179</v>
      </c>
      <c r="D1959">
        <v>310.55</v>
      </c>
      <c r="E1959">
        <v>100.93253904363226</v>
      </c>
      <c r="F1959" t="s">
        <v>427</v>
      </c>
      <c r="G1959" s="64">
        <v>43179</v>
      </c>
      <c r="H1959">
        <v>1586.51</v>
      </c>
      <c r="I1959">
        <v>100.92537078240919</v>
      </c>
      <c r="J1959">
        <v>100.92537078240919</v>
      </c>
    </row>
    <row r="1960" spans="1:10" x14ac:dyDescent="0.25">
      <c r="A1960" s="36"/>
      <c r="B1960" t="s">
        <v>451</v>
      </c>
      <c r="C1960" s="64">
        <v>43180</v>
      </c>
      <c r="D1960">
        <v>316.52999999999997</v>
      </c>
      <c r="E1960">
        <v>100.93381354058067</v>
      </c>
      <c r="F1960" t="s">
        <v>427</v>
      </c>
      <c r="G1960" s="64">
        <v>43180</v>
      </c>
      <c r="H1960">
        <v>1581.86</v>
      </c>
      <c r="I1960">
        <v>100.92515140404335</v>
      </c>
      <c r="J1960">
        <v>100.92515140404335</v>
      </c>
    </row>
    <row r="1961" spans="1:10" x14ac:dyDescent="0.25">
      <c r="A1961" s="36"/>
      <c r="B1961" t="s">
        <v>451</v>
      </c>
      <c r="C1961" s="64">
        <v>43181</v>
      </c>
      <c r="D1961">
        <v>309.10000000000002</v>
      </c>
      <c r="E1961">
        <v>100.93222258168878</v>
      </c>
      <c r="F1961" t="s">
        <v>427</v>
      </c>
      <c r="G1961" s="64">
        <v>43181</v>
      </c>
      <c r="H1961">
        <v>1544.92</v>
      </c>
      <c r="I1961">
        <v>100.92336172746809</v>
      </c>
      <c r="J1961">
        <v>100.92336172746809</v>
      </c>
    </row>
    <row r="1962" spans="1:10" x14ac:dyDescent="0.25">
      <c r="A1962" s="36"/>
      <c r="B1962" t="s">
        <v>451</v>
      </c>
      <c r="C1962" s="64">
        <v>43182</v>
      </c>
      <c r="D1962">
        <v>301.54000000000002</v>
      </c>
      <c r="E1962">
        <v>100.93052331365656</v>
      </c>
      <c r="F1962" t="s">
        <v>427</v>
      </c>
      <c r="G1962" s="64">
        <v>43182</v>
      </c>
      <c r="H1962">
        <v>1495.56</v>
      </c>
      <c r="I1962">
        <v>100.92083233036455</v>
      </c>
      <c r="J1962">
        <v>100.92083233036455</v>
      </c>
    </row>
    <row r="1963" spans="1:10" x14ac:dyDescent="0.25">
      <c r="A1963" s="36"/>
      <c r="B1963" t="s">
        <v>451</v>
      </c>
      <c r="C1963" s="64">
        <v>43185</v>
      </c>
      <c r="D1963">
        <v>304.18</v>
      </c>
      <c r="E1963">
        <v>100.93112630679204</v>
      </c>
      <c r="F1963" t="s">
        <v>427</v>
      </c>
      <c r="G1963" s="64">
        <v>43185</v>
      </c>
      <c r="H1963">
        <v>1555.86</v>
      </c>
      <c r="I1963">
        <v>100.92390060802386</v>
      </c>
      <c r="J1963">
        <v>100.92390060802386</v>
      </c>
    </row>
    <row r="1964" spans="1:10" x14ac:dyDescent="0.25">
      <c r="A1964" s="36"/>
      <c r="B1964" t="s">
        <v>451</v>
      </c>
      <c r="C1964" s="64">
        <v>43186</v>
      </c>
      <c r="D1964">
        <v>279.18</v>
      </c>
      <c r="E1964">
        <v>100.92495880793753</v>
      </c>
      <c r="F1964" t="s">
        <v>427</v>
      </c>
      <c r="G1964" s="64">
        <v>43186</v>
      </c>
      <c r="H1964">
        <v>1497.05</v>
      </c>
      <c r="I1964">
        <v>100.92091112521292</v>
      </c>
      <c r="J1964">
        <v>100.92091112521292</v>
      </c>
    </row>
    <row r="1965" spans="1:10" x14ac:dyDescent="0.25">
      <c r="A1965" s="36"/>
      <c r="B1965" t="s">
        <v>451</v>
      </c>
      <c r="C1965" s="64">
        <v>43187</v>
      </c>
      <c r="D1965">
        <v>257.77999999999997</v>
      </c>
      <c r="E1965">
        <v>100.91872914888664</v>
      </c>
      <c r="F1965" t="s">
        <v>427</v>
      </c>
      <c r="G1965" s="64">
        <v>43187</v>
      </c>
      <c r="H1965">
        <v>1431.42</v>
      </c>
      <c r="I1965">
        <v>100.91728493384191</v>
      </c>
      <c r="J1965">
        <v>100.91728493384191</v>
      </c>
    </row>
    <row r="1966" spans="1:10" x14ac:dyDescent="0.25">
      <c r="A1966" s="36"/>
      <c r="B1966" t="s">
        <v>451</v>
      </c>
      <c r="C1966" s="64">
        <v>43188</v>
      </c>
      <c r="D1966">
        <v>266.13</v>
      </c>
      <c r="E1966">
        <v>100.92127907413671</v>
      </c>
      <c r="F1966" t="s">
        <v>427</v>
      </c>
      <c r="G1966" s="64">
        <v>43188</v>
      </c>
      <c r="H1966">
        <v>1447.34</v>
      </c>
      <c r="I1966">
        <v>100.91819475727887</v>
      </c>
      <c r="J1966">
        <v>100.91819475727887</v>
      </c>
    </row>
    <row r="1967" spans="1:10" x14ac:dyDescent="0.25">
      <c r="A1967" s="36"/>
      <c r="B1967" t="s">
        <v>451</v>
      </c>
      <c r="C1967" s="64">
        <v>43192</v>
      </c>
      <c r="D1967">
        <v>252.48</v>
      </c>
      <c r="E1967">
        <v>100.91702313054499</v>
      </c>
      <c r="F1967" t="s">
        <v>427</v>
      </c>
      <c r="G1967" s="64">
        <v>43192</v>
      </c>
      <c r="H1967">
        <v>1371.99</v>
      </c>
      <c r="I1967">
        <v>100.9137019949125</v>
      </c>
      <c r="J1967">
        <v>100.9137019949125</v>
      </c>
    </row>
    <row r="1968" spans="1:10" x14ac:dyDescent="0.25">
      <c r="A1968" s="36"/>
      <c r="B1968" t="s">
        <v>451</v>
      </c>
      <c r="C1968" s="64">
        <v>43193</v>
      </c>
      <c r="D1968">
        <v>267.52999999999997</v>
      </c>
      <c r="E1968">
        <v>100.92169102530558</v>
      </c>
      <c r="F1968" t="s">
        <v>427</v>
      </c>
      <c r="G1968" s="64">
        <v>43193</v>
      </c>
      <c r="H1968">
        <v>1392.05</v>
      </c>
      <c r="I1968">
        <v>100.91494558385115</v>
      </c>
      <c r="J1968">
        <v>100.91494558385115</v>
      </c>
    </row>
    <row r="1969" spans="1:10" x14ac:dyDescent="0.25">
      <c r="A1969" s="36"/>
      <c r="B1969" t="s">
        <v>451</v>
      </c>
      <c r="C1969" s="64">
        <v>43194</v>
      </c>
      <c r="D1969">
        <v>286.94</v>
      </c>
      <c r="E1969">
        <v>100.92698822053391</v>
      </c>
      <c r="F1969" t="s">
        <v>427</v>
      </c>
      <c r="G1969" s="64">
        <v>43194</v>
      </c>
      <c r="H1969">
        <v>1410.57</v>
      </c>
      <c r="I1969">
        <v>100.9160623010556</v>
      </c>
      <c r="J1969">
        <v>100.9160623010556</v>
      </c>
    </row>
    <row r="1970" spans="1:10" x14ac:dyDescent="0.25">
      <c r="A1970" s="36"/>
      <c r="B1970" t="s">
        <v>451</v>
      </c>
      <c r="C1970" s="64">
        <v>43195</v>
      </c>
      <c r="D1970">
        <v>305.72000000000003</v>
      </c>
      <c r="E1970">
        <v>100.93147324349077</v>
      </c>
      <c r="F1970" t="s">
        <v>427</v>
      </c>
      <c r="G1970" s="64">
        <v>43195</v>
      </c>
      <c r="H1970">
        <v>1451.75</v>
      </c>
      <c r="I1970">
        <v>100.91844325813673</v>
      </c>
      <c r="J1970">
        <v>100.91844325813673</v>
      </c>
    </row>
    <row r="1971" spans="1:10" x14ac:dyDescent="0.25">
      <c r="A1971" s="36"/>
      <c r="B1971" t="s">
        <v>451</v>
      </c>
      <c r="C1971" s="64">
        <v>43196</v>
      </c>
      <c r="D1971">
        <v>299.3</v>
      </c>
      <c r="E1971">
        <v>100.93000334112931</v>
      </c>
      <c r="F1971" t="s">
        <v>427</v>
      </c>
      <c r="G1971" s="64">
        <v>43196</v>
      </c>
      <c r="H1971">
        <v>1405.23</v>
      </c>
      <c r="I1971">
        <v>100.91574333027333</v>
      </c>
      <c r="J1971">
        <v>100.91574333027333</v>
      </c>
    </row>
    <row r="1972" spans="1:10" x14ac:dyDescent="0.25">
      <c r="A1972" s="36"/>
      <c r="B1972" t="s">
        <v>451</v>
      </c>
      <c r="C1972" s="64">
        <v>43199</v>
      </c>
      <c r="D1972">
        <v>289.66000000000003</v>
      </c>
      <c r="E1972">
        <v>100.92767382448388</v>
      </c>
      <c r="F1972" t="s">
        <v>427</v>
      </c>
      <c r="G1972" s="64">
        <v>43199</v>
      </c>
      <c r="H1972">
        <v>1406.08</v>
      </c>
      <c r="I1972">
        <v>100.91579426490669</v>
      </c>
      <c r="J1972">
        <v>100.91579426490669</v>
      </c>
    </row>
    <row r="1973" spans="1:10" x14ac:dyDescent="0.25">
      <c r="A1973" s="36"/>
      <c r="B1973" t="s">
        <v>451</v>
      </c>
      <c r="C1973" s="64">
        <v>43200</v>
      </c>
      <c r="D1973">
        <v>304.7</v>
      </c>
      <c r="E1973">
        <v>100.9312438464063</v>
      </c>
      <c r="F1973" t="s">
        <v>427</v>
      </c>
      <c r="G1973" s="64">
        <v>43200</v>
      </c>
      <c r="H1973">
        <v>1436.22</v>
      </c>
      <c r="I1973">
        <v>100.91756137639081</v>
      </c>
      <c r="J1973">
        <v>100.91756137639081</v>
      </c>
    </row>
    <row r="1974" spans="1:10" x14ac:dyDescent="0.25">
      <c r="A1974" s="36"/>
      <c r="B1974" t="s">
        <v>451</v>
      </c>
      <c r="C1974" s="64">
        <v>43201</v>
      </c>
      <c r="D1974">
        <v>300.93</v>
      </c>
      <c r="E1974">
        <v>100.93038248097564</v>
      </c>
      <c r="F1974" t="s">
        <v>427</v>
      </c>
      <c r="G1974" s="64">
        <v>43201</v>
      </c>
      <c r="H1974">
        <v>1427.05</v>
      </c>
      <c r="I1974">
        <v>100.91703163869521</v>
      </c>
      <c r="J1974">
        <v>100.91703163869521</v>
      </c>
    </row>
    <row r="1975" spans="1:10" x14ac:dyDescent="0.25">
      <c r="A1975" s="36"/>
      <c r="B1975" t="s">
        <v>451</v>
      </c>
      <c r="C1975" s="64">
        <v>43202</v>
      </c>
      <c r="D1975">
        <v>294.08</v>
      </c>
      <c r="E1975">
        <v>100.92876088139282</v>
      </c>
      <c r="F1975" t="s">
        <v>427</v>
      </c>
      <c r="G1975" s="64">
        <v>43202</v>
      </c>
      <c r="H1975">
        <v>1448.5</v>
      </c>
      <c r="I1975">
        <v>100.91826026924404</v>
      </c>
      <c r="J1975">
        <v>100.91826026924404</v>
      </c>
    </row>
    <row r="1976" spans="1:10" x14ac:dyDescent="0.25">
      <c r="A1976" s="36"/>
      <c r="B1976" t="s">
        <v>451</v>
      </c>
      <c r="C1976" s="64">
        <v>43203</v>
      </c>
      <c r="D1976">
        <v>300.33999999999997</v>
      </c>
      <c r="E1976">
        <v>100.93024572151562</v>
      </c>
      <c r="F1976" t="s">
        <v>427</v>
      </c>
      <c r="G1976" s="64">
        <v>43203</v>
      </c>
      <c r="H1976">
        <v>1430.79</v>
      </c>
      <c r="I1976">
        <v>100.91724851305922</v>
      </c>
      <c r="J1976">
        <v>100.91724851305922</v>
      </c>
    </row>
    <row r="1977" spans="1:10" x14ac:dyDescent="0.25">
      <c r="A1977" s="36"/>
      <c r="B1977" t="s">
        <v>451</v>
      </c>
      <c r="C1977" s="64">
        <v>43206</v>
      </c>
      <c r="D1977">
        <v>291.20999999999998</v>
      </c>
      <c r="E1977">
        <v>100.92805878918993</v>
      </c>
      <c r="F1977" t="s">
        <v>427</v>
      </c>
      <c r="G1977" s="64">
        <v>43206</v>
      </c>
      <c r="H1977">
        <v>1441.5</v>
      </c>
      <c r="I1977">
        <v>100.91786333680194</v>
      </c>
      <c r="J1977">
        <v>100.91786333680194</v>
      </c>
    </row>
    <row r="1978" spans="1:10" x14ac:dyDescent="0.25">
      <c r="A1978" s="36"/>
      <c r="B1978" t="s">
        <v>451</v>
      </c>
      <c r="C1978" s="64">
        <v>43207</v>
      </c>
      <c r="D1978">
        <v>287.69</v>
      </c>
      <c r="E1978">
        <v>100.92717856025583</v>
      </c>
      <c r="F1978" t="s">
        <v>427</v>
      </c>
      <c r="G1978" s="64">
        <v>43207</v>
      </c>
      <c r="H1978">
        <v>1503.83</v>
      </c>
      <c r="I1978">
        <v>100.92126769648165</v>
      </c>
      <c r="J1978">
        <v>100.92126769648165</v>
      </c>
    </row>
    <row r="1979" spans="1:10" x14ac:dyDescent="0.25">
      <c r="A1979" s="36"/>
      <c r="B1979" t="s">
        <v>451</v>
      </c>
      <c r="C1979" s="64">
        <v>43208</v>
      </c>
      <c r="D1979">
        <v>293.35000000000002</v>
      </c>
      <c r="E1979">
        <v>100.92858360320436</v>
      </c>
      <c r="F1979" t="s">
        <v>427</v>
      </c>
      <c r="G1979" s="64">
        <v>43208</v>
      </c>
      <c r="H1979">
        <v>1527.84</v>
      </c>
      <c r="I1979">
        <v>100.92250497434286</v>
      </c>
      <c r="J1979">
        <v>100.92250497434286</v>
      </c>
    </row>
    <row r="1980" spans="1:10" x14ac:dyDescent="0.25">
      <c r="A1980" s="36"/>
      <c r="B1980" t="s">
        <v>451</v>
      </c>
      <c r="C1980" s="64">
        <v>43209</v>
      </c>
      <c r="D1980">
        <v>300.08</v>
      </c>
      <c r="E1980">
        <v>100.93018528392429</v>
      </c>
      <c r="F1980" t="s">
        <v>427</v>
      </c>
      <c r="G1980" s="64">
        <v>43209</v>
      </c>
      <c r="H1980">
        <v>1556.91</v>
      </c>
      <c r="I1980">
        <v>100.9239519304263</v>
      </c>
      <c r="J1980">
        <v>100.9239519304263</v>
      </c>
    </row>
    <row r="1981" spans="1:10" x14ac:dyDescent="0.25">
      <c r="A1981" s="36"/>
      <c r="B1981" t="s">
        <v>451</v>
      </c>
      <c r="C1981" s="64">
        <v>43210</v>
      </c>
      <c r="D1981">
        <v>290.24</v>
      </c>
      <c r="E1981">
        <v>100.92781835722161</v>
      </c>
      <c r="F1981" t="s">
        <v>427</v>
      </c>
      <c r="G1981" s="64">
        <v>43210</v>
      </c>
      <c r="H1981">
        <v>1527.49</v>
      </c>
      <c r="I1981">
        <v>100.92248721759226</v>
      </c>
      <c r="J1981">
        <v>100.92248721759226</v>
      </c>
    </row>
    <row r="1982" spans="1:10" x14ac:dyDescent="0.25">
      <c r="A1982" s="36"/>
      <c r="B1982" t="s">
        <v>451</v>
      </c>
      <c r="C1982" s="64">
        <v>43213</v>
      </c>
      <c r="D1982">
        <v>283.37</v>
      </c>
      <c r="E1982">
        <v>100.92606839114939</v>
      </c>
      <c r="F1982" t="s">
        <v>427</v>
      </c>
      <c r="G1982" s="64">
        <v>43213</v>
      </c>
      <c r="H1982">
        <v>1517.86</v>
      </c>
      <c r="I1982">
        <v>100.92199544094976</v>
      </c>
      <c r="J1982">
        <v>100.92199544094976</v>
      </c>
    </row>
    <row r="1983" spans="1:10" x14ac:dyDescent="0.25">
      <c r="A1983" s="36"/>
      <c r="B1983" t="s">
        <v>451</v>
      </c>
      <c r="C1983" s="64">
        <v>43214</v>
      </c>
      <c r="D1983">
        <v>283.45999999999998</v>
      </c>
      <c r="E1983">
        <v>100.92609186481337</v>
      </c>
      <c r="F1983" t="s">
        <v>427</v>
      </c>
      <c r="G1983" s="64">
        <v>43214</v>
      </c>
      <c r="H1983">
        <v>1460.09</v>
      </c>
      <c r="I1983">
        <v>100.91890910834263</v>
      </c>
      <c r="J1983">
        <v>100.91890910834263</v>
      </c>
    </row>
    <row r="1984" spans="1:10" x14ac:dyDescent="0.25">
      <c r="A1984" s="36"/>
      <c r="B1984" t="s">
        <v>451</v>
      </c>
      <c r="C1984" s="64">
        <v>43215</v>
      </c>
      <c r="D1984">
        <v>280.69</v>
      </c>
      <c r="E1984">
        <v>100.92536249955467</v>
      </c>
      <c r="F1984" t="s">
        <v>427</v>
      </c>
      <c r="G1984" s="64">
        <v>43215</v>
      </c>
      <c r="H1984">
        <v>1460.17</v>
      </c>
      <c r="I1984">
        <v>100.91891355116185</v>
      </c>
      <c r="J1984">
        <v>100.91891355116185</v>
      </c>
    </row>
    <row r="1985" spans="1:10" x14ac:dyDescent="0.25">
      <c r="A1985" s="36"/>
      <c r="B1985" t="s">
        <v>451</v>
      </c>
      <c r="C1985" s="64">
        <v>43216</v>
      </c>
      <c r="D1985">
        <v>285.48</v>
      </c>
      <c r="E1985">
        <v>100.92661482415581</v>
      </c>
      <c r="F1985" t="s">
        <v>427</v>
      </c>
      <c r="G1985" s="64">
        <v>43216</v>
      </c>
      <c r="H1985">
        <v>1517.96</v>
      </c>
      <c r="I1985">
        <v>100.92200057972542</v>
      </c>
      <c r="J1985">
        <v>100.92200057972542</v>
      </c>
    </row>
    <row r="1986" spans="1:10" x14ac:dyDescent="0.25">
      <c r="A1986" s="36"/>
      <c r="B1986" t="s">
        <v>451</v>
      </c>
      <c r="C1986" s="64">
        <v>43217</v>
      </c>
      <c r="D1986">
        <v>294.07499999999999</v>
      </c>
      <c r="E1986">
        <v>100.92875967015217</v>
      </c>
      <c r="F1986" t="s">
        <v>427</v>
      </c>
      <c r="G1986" s="64">
        <v>43217</v>
      </c>
      <c r="H1986">
        <v>1572.62</v>
      </c>
      <c r="I1986">
        <v>100.92471162772952</v>
      </c>
      <c r="J1986">
        <v>100.92471162772952</v>
      </c>
    </row>
    <row r="1987" spans="1:10" x14ac:dyDescent="0.25">
      <c r="A1987" s="36"/>
      <c r="B1987" t="s">
        <v>451</v>
      </c>
      <c r="C1987" s="64">
        <v>43220</v>
      </c>
      <c r="D1987">
        <v>293.89999999999998</v>
      </c>
      <c r="E1987">
        <v>100.92871725076557</v>
      </c>
      <c r="F1987" t="s">
        <v>427</v>
      </c>
      <c r="G1987" s="64">
        <v>43220</v>
      </c>
      <c r="H1987">
        <v>1566.13</v>
      </c>
      <c r="I1987">
        <v>100.92439963476851</v>
      </c>
      <c r="J1987">
        <v>100.92439963476851</v>
      </c>
    </row>
    <row r="1988" spans="1:10" x14ac:dyDescent="0.25">
      <c r="A1988" s="36"/>
      <c r="B1988" t="s">
        <v>451</v>
      </c>
      <c r="C1988" s="64">
        <v>43221</v>
      </c>
      <c r="D1988">
        <v>299.92</v>
      </c>
      <c r="E1988">
        <v>100.93014803947719</v>
      </c>
      <c r="F1988" t="s">
        <v>427</v>
      </c>
      <c r="G1988" s="64">
        <v>43221</v>
      </c>
      <c r="H1988">
        <v>1582.26</v>
      </c>
      <c r="I1988">
        <v>100.92517032598941</v>
      </c>
      <c r="J1988">
        <v>100.92517032598941</v>
      </c>
    </row>
    <row r="1989" spans="1:10" x14ac:dyDescent="0.25">
      <c r="A1989" s="36"/>
      <c r="B1989" t="s">
        <v>451</v>
      </c>
      <c r="C1989" s="64">
        <v>43222</v>
      </c>
      <c r="D1989">
        <v>301.14999999999998</v>
      </c>
      <c r="E1989">
        <v>100.93043333886767</v>
      </c>
      <c r="F1989" t="s">
        <v>427</v>
      </c>
      <c r="G1989" s="64">
        <v>43222</v>
      </c>
      <c r="H1989">
        <v>1569.68</v>
      </c>
      <c r="I1989">
        <v>100.9245706131186</v>
      </c>
      <c r="J1989">
        <v>100.9245706131186</v>
      </c>
    </row>
    <row r="1990" spans="1:10" x14ac:dyDescent="0.25">
      <c r="A1990" s="36"/>
      <c r="B1990" t="s">
        <v>451</v>
      </c>
      <c r="C1990" s="64">
        <v>43223</v>
      </c>
      <c r="D1990">
        <v>284.45</v>
      </c>
      <c r="E1990">
        <v>100.92634909474424</v>
      </c>
      <c r="F1990" t="s">
        <v>427</v>
      </c>
      <c r="G1990" s="64">
        <v>43223</v>
      </c>
      <c r="H1990">
        <v>1572.075</v>
      </c>
      <c r="I1990">
        <v>100.92468552708999</v>
      </c>
      <c r="J1990">
        <v>100.92468552708999</v>
      </c>
    </row>
    <row r="1991" spans="1:10" x14ac:dyDescent="0.25">
      <c r="A1991" s="36"/>
      <c r="B1991" t="s">
        <v>451</v>
      </c>
      <c r="C1991" s="64">
        <v>43224</v>
      </c>
      <c r="D1991">
        <v>294.08999999999997</v>
      </c>
      <c r="E1991">
        <v>100.92876330375056</v>
      </c>
      <c r="F1991" t="s">
        <v>427</v>
      </c>
      <c r="G1991" s="64">
        <v>43224</v>
      </c>
      <c r="H1991">
        <v>1580.95</v>
      </c>
      <c r="I1991">
        <v>100.92510832094626</v>
      </c>
      <c r="J1991">
        <v>100.92510832094626</v>
      </c>
    </row>
    <row r="1992" spans="1:10" x14ac:dyDescent="0.25">
      <c r="A1992" s="36"/>
      <c r="B1992" t="s">
        <v>451</v>
      </c>
      <c r="C1992" s="64">
        <v>43227</v>
      </c>
      <c r="D1992">
        <v>302.77</v>
      </c>
      <c r="E1992">
        <v>100.93080556197773</v>
      </c>
      <c r="F1992" t="s">
        <v>427</v>
      </c>
      <c r="G1992" s="64">
        <v>43227</v>
      </c>
      <c r="H1992">
        <v>1600.14</v>
      </c>
      <c r="I1992">
        <v>100.92600647443349</v>
      </c>
      <c r="J1992">
        <v>100.92600647443349</v>
      </c>
    </row>
    <row r="1993" spans="1:10" x14ac:dyDescent="0.25">
      <c r="A1993" s="36"/>
      <c r="B1993" t="s">
        <v>451</v>
      </c>
      <c r="C1993" s="64">
        <v>43228</v>
      </c>
      <c r="D1993">
        <v>301.97000000000003</v>
      </c>
      <c r="E1993">
        <v>100.93062224724311</v>
      </c>
      <c r="F1993" t="s">
        <v>427</v>
      </c>
      <c r="G1993" s="64">
        <v>43228</v>
      </c>
      <c r="H1993">
        <v>1592.39</v>
      </c>
      <c r="I1993">
        <v>100.92564635547825</v>
      </c>
      <c r="J1993">
        <v>100.92564635547825</v>
      </c>
    </row>
    <row r="1994" spans="1:10" x14ac:dyDescent="0.25">
      <c r="A1994" s="36"/>
      <c r="B1994" t="s">
        <v>451</v>
      </c>
      <c r="C1994" s="64">
        <v>43229</v>
      </c>
      <c r="D1994">
        <v>306.85000000000002</v>
      </c>
      <c r="E1994">
        <v>100.93172559882679</v>
      </c>
      <c r="F1994" t="s">
        <v>427</v>
      </c>
      <c r="G1994" s="64">
        <v>43229</v>
      </c>
      <c r="H1994">
        <v>1608</v>
      </c>
      <c r="I1994">
        <v>100.92636815920397</v>
      </c>
      <c r="J1994">
        <v>100.92636815920397</v>
      </c>
    </row>
    <row r="1995" spans="1:10" x14ac:dyDescent="0.25">
      <c r="A1995" s="36"/>
      <c r="B1995" t="s">
        <v>451</v>
      </c>
      <c r="C1995" s="64">
        <v>43230</v>
      </c>
      <c r="D1995">
        <v>305.02</v>
      </c>
      <c r="E1995">
        <v>100.93131597928004</v>
      </c>
      <c r="F1995" t="s">
        <v>427</v>
      </c>
      <c r="G1995" s="64">
        <v>43230</v>
      </c>
      <c r="H1995">
        <v>1609.08</v>
      </c>
      <c r="I1995">
        <v>100.92641758023218</v>
      </c>
      <c r="J1995">
        <v>100.92641758023218</v>
      </c>
    </row>
    <row r="1996" spans="1:10" x14ac:dyDescent="0.25">
      <c r="A1996" s="36"/>
      <c r="B1996" t="s">
        <v>451</v>
      </c>
      <c r="C1996" s="64">
        <v>43231</v>
      </c>
      <c r="D1996">
        <v>301.06</v>
      </c>
      <c r="E1996">
        <v>100.93041254235037</v>
      </c>
      <c r="F1996" t="s">
        <v>427</v>
      </c>
      <c r="G1996" s="64">
        <v>43231</v>
      </c>
      <c r="H1996">
        <v>1602.91</v>
      </c>
      <c r="I1996">
        <v>100.92613434316337</v>
      </c>
      <c r="J1996">
        <v>100.92613434316337</v>
      </c>
    </row>
    <row r="1997" spans="1:10" x14ac:dyDescent="0.25">
      <c r="A1997" s="36"/>
      <c r="B1997" t="s">
        <v>451</v>
      </c>
      <c r="C1997" s="64">
        <v>43234</v>
      </c>
      <c r="D1997">
        <v>291.97000000000003</v>
      </c>
      <c r="E1997">
        <v>100.92824605267664</v>
      </c>
      <c r="F1997" t="s">
        <v>427</v>
      </c>
      <c r="G1997" s="64">
        <v>43234</v>
      </c>
      <c r="H1997">
        <v>1601.54</v>
      </c>
      <c r="I1997">
        <v>100.92607115651185</v>
      </c>
      <c r="J1997">
        <v>100.92607115651185</v>
      </c>
    </row>
    <row r="1998" spans="1:10" x14ac:dyDescent="0.25">
      <c r="A1998" s="36"/>
      <c r="B1998" t="s">
        <v>451</v>
      </c>
      <c r="C1998" s="64">
        <v>43235</v>
      </c>
      <c r="D1998">
        <v>284.18</v>
      </c>
      <c r="E1998">
        <v>100.92627911886832</v>
      </c>
      <c r="F1998" t="s">
        <v>427</v>
      </c>
      <c r="G1998" s="64">
        <v>43235</v>
      </c>
      <c r="H1998">
        <v>1576.12</v>
      </c>
      <c r="I1998">
        <v>100.92487881633379</v>
      </c>
      <c r="J1998">
        <v>100.92487881633379</v>
      </c>
    </row>
    <row r="1999" spans="1:10" x14ac:dyDescent="0.25">
      <c r="A1999" s="36"/>
      <c r="B1999" t="s">
        <v>451</v>
      </c>
      <c r="C1999" s="64">
        <v>43236</v>
      </c>
      <c r="D1999">
        <v>286.48</v>
      </c>
      <c r="E1999">
        <v>100.92687098575817</v>
      </c>
      <c r="F1999" t="s">
        <v>427</v>
      </c>
      <c r="G1999" s="64">
        <v>43236</v>
      </c>
      <c r="H1999">
        <v>1587.28</v>
      </c>
      <c r="I1999">
        <v>100.92540698553501</v>
      </c>
      <c r="J1999">
        <v>100.92540698553501</v>
      </c>
    </row>
    <row r="2000" spans="1:10" x14ac:dyDescent="0.25">
      <c r="A2000" s="36"/>
      <c r="B2000" t="s">
        <v>451</v>
      </c>
      <c r="C2000" s="64">
        <v>43237</v>
      </c>
      <c r="D2000">
        <v>284.54000000000002</v>
      </c>
      <c r="E2000">
        <v>100.92637239052506</v>
      </c>
      <c r="F2000" t="s">
        <v>427</v>
      </c>
      <c r="G2000" s="64">
        <v>43237</v>
      </c>
      <c r="H2000">
        <v>1581.76</v>
      </c>
      <c r="I2000">
        <v>100.9251466720615</v>
      </c>
      <c r="J2000">
        <v>100.9251466720615</v>
      </c>
    </row>
    <row r="2001" spans="1:10" x14ac:dyDescent="0.25">
      <c r="A2001" s="36"/>
      <c r="B2001" t="s">
        <v>451</v>
      </c>
      <c r="C2001" s="64">
        <v>43238</v>
      </c>
      <c r="D2001">
        <v>276.82</v>
      </c>
      <c r="E2001">
        <v>100.92431905209162</v>
      </c>
      <c r="F2001" t="s">
        <v>427</v>
      </c>
      <c r="G2001" s="64">
        <v>43238</v>
      </c>
      <c r="H2001">
        <v>1574.37</v>
      </c>
      <c r="I2001">
        <v>100.92479531495138</v>
      </c>
      <c r="J2001">
        <v>100.92431905209162</v>
      </c>
    </row>
    <row r="2002" spans="1:10" x14ac:dyDescent="0.25">
      <c r="A2002" s="36"/>
      <c r="B2002" t="s">
        <v>451</v>
      </c>
      <c r="C2002" s="64">
        <v>43241</v>
      </c>
      <c r="D2002">
        <v>284.49</v>
      </c>
      <c r="E2002">
        <v>100.92635945024429</v>
      </c>
      <c r="F2002" t="s">
        <v>427</v>
      </c>
      <c r="G2002" s="64">
        <v>43241</v>
      </c>
      <c r="H2002">
        <v>1585.46</v>
      </c>
      <c r="I2002">
        <v>100.92532135783937</v>
      </c>
      <c r="J2002">
        <v>100.92532135783937</v>
      </c>
    </row>
    <row r="2003" spans="1:10" x14ac:dyDescent="0.25">
      <c r="A2003" s="36"/>
      <c r="B2003" t="s">
        <v>451</v>
      </c>
      <c r="C2003" s="64">
        <v>43242</v>
      </c>
      <c r="D2003">
        <v>275.01</v>
      </c>
      <c r="E2003">
        <v>100.92382095196538</v>
      </c>
      <c r="F2003" t="s">
        <v>427</v>
      </c>
      <c r="G2003" s="64">
        <v>43242</v>
      </c>
      <c r="H2003">
        <v>1581.4</v>
      </c>
      <c r="I2003">
        <v>100.92512963197167</v>
      </c>
      <c r="J2003">
        <v>100.92382095196538</v>
      </c>
    </row>
    <row r="2004" spans="1:10" x14ac:dyDescent="0.25">
      <c r="A2004" s="36"/>
      <c r="B2004" t="s">
        <v>451</v>
      </c>
      <c r="C2004" s="64">
        <v>43243</v>
      </c>
      <c r="D2004">
        <v>279.07</v>
      </c>
      <c r="E2004">
        <v>100.92492922922564</v>
      </c>
      <c r="F2004" t="s">
        <v>427</v>
      </c>
      <c r="G2004" s="64">
        <v>43243</v>
      </c>
      <c r="H2004">
        <v>1601.86</v>
      </c>
      <c r="I2004">
        <v>100.92608592511206</v>
      </c>
      <c r="J2004">
        <v>100.92492922922564</v>
      </c>
    </row>
    <row r="2005" spans="1:10" x14ac:dyDescent="0.25">
      <c r="A2005" s="36"/>
      <c r="B2005" t="s">
        <v>451</v>
      </c>
      <c r="C2005" s="64">
        <v>43244</v>
      </c>
      <c r="D2005">
        <v>277.85000000000002</v>
      </c>
      <c r="E2005">
        <v>100.92459960410294</v>
      </c>
      <c r="F2005" t="s">
        <v>427</v>
      </c>
      <c r="G2005" s="64">
        <v>43244</v>
      </c>
      <c r="H2005">
        <v>1603.07</v>
      </c>
      <c r="I2005">
        <v>100.92614171558323</v>
      </c>
      <c r="J2005">
        <v>100.92459960410294</v>
      </c>
    </row>
    <row r="2006" spans="1:10" x14ac:dyDescent="0.25">
      <c r="A2006" s="36"/>
      <c r="B2006" t="s">
        <v>451</v>
      </c>
      <c r="C2006" s="64">
        <v>43245</v>
      </c>
      <c r="D2006">
        <v>278.85000000000002</v>
      </c>
      <c r="E2006">
        <v>100.92487000179308</v>
      </c>
      <c r="F2006" t="s">
        <v>427</v>
      </c>
      <c r="G2006" s="64">
        <v>43245</v>
      </c>
      <c r="H2006">
        <v>1610.15</v>
      </c>
      <c r="I2006">
        <v>100.92646647827843</v>
      </c>
      <c r="J2006">
        <v>100.92487000179308</v>
      </c>
    </row>
    <row r="2007" spans="1:10" x14ac:dyDescent="0.25">
      <c r="A2007" s="36"/>
      <c r="B2007" t="s">
        <v>451</v>
      </c>
      <c r="C2007" s="64">
        <v>43249</v>
      </c>
      <c r="D2007">
        <v>283.76</v>
      </c>
      <c r="E2007">
        <v>100.92617000281929</v>
      </c>
      <c r="F2007" t="s">
        <v>427</v>
      </c>
      <c r="G2007" s="64">
        <v>43249</v>
      </c>
      <c r="H2007">
        <v>1612.87</v>
      </c>
      <c r="I2007">
        <v>100.92659048776405</v>
      </c>
      <c r="J2007">
        <v>100.92617000281929</v>
      </c>
    </row>
    <row r="2008" spans="1:10" x14ac:dyDescent="0.25">
      <c r="A2008" s="36"/>
      <c r="B2008" t="s">
        <v>451</v>
      </c>
      <c r="C2008" s="64">
        <v>43250</v>
      </c>
      <c r="D2008">
        <v>291.72000000000003</v>
      </c>
      <c r="E2008">
        <v>100.9281845605375</v>
      </c>
      <c r="F2008" t="s">
        <v>427</v>
      </c>
      <c r="G2008" s="64">
        <v>43250</v>
      </c>
      <c r="H2008">
        <v>1624.89</v>
      </c>
      <c r="I2008">
        <v>100.92713352903888</v>
      </c>
      <c r="J2008">
        <v>100.92713352903888</v>
      </c>
    </row>
    <row r="2009" spans="1:10" x14ac:dyDescent="0.25">
      <c r="A2009" s="36"/>
      <c r="B2009" t="s">
        <v>451</v>
      </c>
      <c r="C2009" s="64">
        <v>43251</v>
      </c>
      <c r="D2009">
        <v>284.73</v>
      </c>
      <c r="E2009">
        <v>100.92642152214378</v>
      </c>
      <c r="F2009" t="s">
        <v>427</v>
      </c>
      <c r="G2009" s="64">
        <v>43251</v>
      </c>
      <c r="H2009">
        <v>1629.62</v>
      </c>
      <c r="I2009">
        <v>100.9273450252206</v>
      </c>
      <c r="J2009">
        <v>100.92642152214378</v>
      </c>
    </row>
    <row r="2010" spans="1:10" x14ac:dyDescent="0.25">
      <c r="A2010" s="36"/>
      <c r="B2010" t="s">
        <v>451</v>
      </c>
      <c r="C2010" s="64">
        <v>43252</v>
      </c>
      <c r="D2010">
        <v>291.82</v>
      </c>
      <c r="E2010">
        <v>100.92820917003633</v>
      </c>
      <c r="F2010" t="s">
        <v>427</v>
      </c>
      <c r="G2010" s="64">
        <v>43252</v>
      </c>
      <c r="H2010">
        <v>1641.54</v>
      </c>
      <c r="I2010">
        <v>100.92787260742961</v>
      </c>
      <c r="J2010">
        <v>100.92787260742961</v>
      </c>
    </row>
    <row r="2011" spans="1:10" x14ac:dyDescent="0.25">
      <c r="A2011" s="36"/>
      <c r="B2011" t="s">
        <v>451</v>
      </c>
      <c r="C2011" s="64">
        <v>43255</v>
      </c>
      <c r="D2011">
        <v>296.74</v>
      </c>
      <c r="E2011">
        <v>100.92939947428725</v>
      </c>
      <c r="F2011" t="s">
        <v>427</v>
      </c>
      <c r="G2011" s="64">
        <v>43255</v>
      </c>
      <c r="H2011">
        <v>1665.27</v>
      </c>
      <c r="I2011">
        <v>100.92890041855074</v>
      </c>
      <c r="J2011">
        <v>100.92890041855074</v>
      </c>
    </row>
    <row r="2012" spans="1:10" x14ac:dyDescent="0.25">
      <c r="A2012" s="36"/>
      <c r="B2012" t="s">
        <v>451</v>
      </c>
      <c r="C2012" s="64">
        <v>43256</v>
      </c>
      <c r="D2012">
        <v>291.13</v>
      </c>
      <c r="E2012">
        <v>100.92803902036891</v>
      </c>
      <c r="F2012" t="s">
        <v>427</v>
      </c>
      <c r="G2012" s="64">
        <v>43256</v>
      </c>
      <c r="H2012">
        <v>1696.35</v>
      </c>
      <c r="I2012">
        <v>100.93020308309016</v>
      </c>
      <c r="J2012">
        <v>100.92803902036891</v>
      </c>
    </row>
    <row r="2013" spans="1:10" x14ac:dyDescent="0.25">
      <c r="A2013" s="36"/>
      <c r="B2013" t="s">
        <v>451</v>
      </c>
      <c r="C2013" s="64">
        <v>43257</v>
      </c>
      <c r="D2013">
        <v>319.5</v>
      </c>
      <c r="E2013">
        <v>100.93442879499217</v>
      </c>
      <c r="F2013" t="s">
        <v>427</v>
      </c>
      <c r="G2013" s="64">
        <v>43257</v>
      </c>
      <c r="H2013">
        <v>1695.75</v>
      </c>
      <c r="I2013">
        <v>100.93017838714434</v>
      </c>
      <c r="J2013">
        <v>100.93017838714434</v>
      </c>
    </row>
    <row r="2014" spans="1:10" x14ac:dyDescent="0.25">
      <c r="A2014" s="36"/>
      <c r="B2014" t="s">
        <v>451</v>
      </c>
      <c r="C2014" s="64">
        <v>43258</v>
      </c>
      <c r="D2014">
        <v>316.08999999999997</v>
      </c>
      <c r="E2014">
        <v>100.93372140845962</v>
      </c>
      <c r="F2014" t="s">
        <v>427</v>
      </c>
      <c r="G2014" s="64">
        <v>43258</v>
      </c>
      <c r="H2014">
        <v>1689.3</v>
      </c>
      <c r="I2014">
        <v>100.92991179778606</v>
      </c>
      <c r="J2014">
        <v>100.92991179778606</v>
      </c>
    </row>
    <row r="2015" spans="1:10" x14ac:dyDescent="0.25">
      <c r="A2015" s="36"/>
      <c r="B2015" t="s">
        <v>451</v>
      </c>
      <c r="C2015" s="64">
        <v>43259</v>
      </c>
      <c r="D2015">
        <v>317.66000000000003</v>
      </c>
      <c r="E2015">
        <v>100.93404898318957</v>
      </c>
      <c r="F2015" t="s">
        <v>427</v>
      </c>
      <c r="G2015" s="64">
        <v>43259</v>
      </c>
      <c r="H2015">
        <v>1683.99</v>
      </c>
      <c r="I2015">
        <v>100.92969079388833</v>
      </c>
      <c r="J2015">
        <v>100.92969079388833</v>
      </c>
    </row>
    <row r="2016" spans="1:10" x14ac:dyDescent="0.25">
      <c r="A2016" s="36"/>
      <c r="B2016" t="s">
        <v>451</v>
      </c>
      <c r="C2016" s="64">
        <v>43262</v>
      </c>
      <c r="D2016">
        <v>332.1</v>
      </c>
      <c r="E2016">
        <v>100.93691659138814</v>
      </c>
      <c r="F2016" t="s">
        <v>427</v>
      </c>
      <c r="G2016" s="64">
        <v>43262</v>
      </c>
      <c r="H2016">
        <v>1689.12</v>
      </c>
      <c r="I2016">
        <v>100.92990432888131</v>
      </c>
      <c r="J2016">
        <v>100.92990432888131</v>
      </c>
    </row>
    <row r="2017" spans="1:10" x14ac:dyDescent="0.25">
      <c r="A2017" s="36"/>
      <c r="B2017" t="s">
        <v>451</v>
      </c>
      <c r="C2017" s="64">
        <v>43263</v>
      </c>
      <c r="D2017">
        <v>342.77</v>
      </c>
      <c r="E2017">
        <v>100.9388802987426</v>
      </c>
      <c r="F2017" t="s">
        <v>427</v>
      </c>
      <c r="G2017" s="64">
        <v>43263</v>
      </c>
      <c r="H2017">
        <v>1698.75</v>
      </c>
      <c r="I2017">
        <v>100.9303016924209</v>
      </c>
      <c r="J2017">
        <v>100.9303016924209</v>
      </c>
    </row>
    <row r="2018" spans="1:10" x14ac:dyDescent="0.25">
      <c r="A2018" s="36"/>
      <c r="B2018" t="s">
        <v>451</v>
      </c>
      <c r="C2018" s="64">
        <v>43264</v>
      </c>
      <c r="D2018">
        <v>344.78</v>
      </c>
      <c r="E2018">
        <v>100.93923661465283</v>
      </c>
      <c r="F2018" t="s">
        <v>427</v>
      </c>
      <c r="G2018" s="64">
        <v>43264</v>
      </c>
      <c r="H2018">
        <v>1704.86</v>
      </c>
      <c r="I2018">
        <v>100.93055148223314</v>
      </c>
      <c r="J2018">
        <v>100.93055148223314</v>
      </c>
    </row>
    <row r="2019" spans="1:10" x14ac:dyDescent="0.25">
      <c r="A2019" s="36"/>
      <c r="B2019" t="s">
        <v>451</v>
      </c>
      <c r="C2019" s="64">
        <v>43265</v>
      </c>
      <c r="D2019">
        <v>357.72</v>
      </c>
      <c r="E2019">
        <v>100.94143464161914</v>
      </c>
      <c r="F2019" t="s">
        <v>427</v>
      </c>
      <c r="G2019" s="64">
        <v>43265</v>
      </c>
      <c r="H2019">
        <v>1723.86</v>
      </c>
      <c r="I2019">
        <v>100.93131692828884</v>
      </c>
      <c r="J2019">
        <v>100.93131692828884</v>
      </c>
    </row>
    <row r="2020" spans="1:10" x14ac:dyDescent="0.25">
      <c r="A2020" s="36"/>
      <c r="B2020" t="s">
        <v>451</v>
      </c>
      <c r="C2020" s="64">
        <v>43266</v>
      </c>
      <c r="D2020">
        <v>358.17</v>
      </c>
      <c r="E2020">
        <v>100.94150822235251</v>
      </c>
      <c r="F2020" t="s">
        <v>427</v>
      </c>
      <c r="G2020" s="64">
        <v>43266</v>
      </c>
      <c r="H2020">
        <v>1715.97</v>
      </c>
      <c r="I2020">
        <v>100.93100112472828</v>
      </c>
      <c r="J2020">
        <v>100.93100112472828</v>
      </c>
    </row>
    <row r="2021" spans="1:10" x14ac:dyDescent="0.25">
      <c r="A2021" s="36"/>
      <c r="B2021" t="s">
        <v>451</v>
      </c>
      <c r="C2021" s="64">
        <v>43269</v>
      </c>
      <c r="D2021">
        <v>370.83</v>
      </c>
      <c r="E2021">
        <v>100.9435051101583</v>
      </c>
      <c r="F2021" t="s">
        <v>427</v>
      </c>
      <c r="G2021" s="64">
        <v>43269</v>
      </c>
      <c r="H2021">
        <v>1723.79</v>
      </c>
      <c r="I2021">
        <v>100.93131413919329</v>
      </c>
      <c r="J2021">
        <v>100.93131413919329</v>
      </c>
    </row>
    <row r="2022" spans="1:10" x14ac:dyDescent="0.25">
      <c r="A2022" s="36"/>
      <c r="B2022" t="s">
        <v>451</v>
      </c>
      <c r="C2022" s="64">
        <v>43270</v>
      </c>
      <c r="D2022">
        <v>352.55</v>
      </c>
      <c r="E2022">
        <v>100.94057580485038</v>
      </c>
      <c r="F2022" t="s">
        <v>427</v>
      </c>
      <c r="G2022" s="64">
        <v>43270</v>
      </c>
      <c r="H2022">
        <v>1734.78</v>
      </c>
      <c r="I2022">
        <v>100.93174927080091</v>
      </c>
      <c r="J2022">
        <v>100.93174927080091</v>
      </c>
    </row>
    <row r="2023" spans="1:10" x14ac:dyDescent="0.25">
      <c r="A2023" s="36"/>
      <c r="B2023" t="s">
        <v>451</v>
      </c>
      <c r="C2023" s="64">
        <v>43271</v>
      </c>
      <c r="D2023">
        <v>362.22</v>
      </c>
      <c r="E2023">
        <v>100.94216222185412</v>
      </c>
      <c r="F2023" t="s">
        <v>427</v>
      </c>
      <c r="G2023" s="64">
        <v>43271</v>
      </c>
      <c r="H2023">
        <v>1750.08</v>
      </c>
      <c r="I2023">
        <v>100.93234594989943</v>
      </c>
      <c r="J2023">
        <v>100.93234594989943</v>
      </c>
    </row>
    <row r="2024" spans="1:10" x14ac:dyDescent="0.25">
      <c r="A2024" s="36"/>
      <c r="B2024" t="s">
        <v>451</v>
      </c>
      <c r="C2024" s="64">
        <v>43272</v>
      </c>
      <c r="D2024">
        <v>347.51</v>
      </c>
      <c r="E2024">
        <v>100.93971396506575</v>
      </c>
      <c r="F2024" t="s">
        <v>427</v>
      </c>
      <c r="G2024" s="64">
        <v>43272</v>
      </c>
      <c r="H2024">
        <v>1730.22</v>
      </c>
      <c r="I2024">
        <v>100.93156939579937</v>
      </c>
      <c r="J2024">
        <v>100.93156939579937</v>
      </c>
    </row>
    <row r="2025" spans="1:10" x14ac:dyDescent="0.25">
      <c r="A2025" s="36"/>
      <c r="B2025" t="s">
        <v>451</v>
      </c>
      <c r="C2025" s="64">
        <v>43273</v>
      </c>
      <c r="D2025">
        <v>333.63</v>
      </c>
      <c r="E2025">
        <v>100.93720588676078</v>
      </c>
      <c r="F2025" t="s">
        <v>427</v>
      </c>
      <c r="G2025" s="64">
        <v>43273</v>
      </c>
      <c r="H2025">
        <v>1715.67</v>
      </c>
      <c r="I2025">
        <v>100.93098905966765</v>
      </c>
      <c r="J2025">
        <v>100.93098905966765</v>
      </c>
    </row>
    <row r="2026" spans="1:10" x14ac:dyDescent="0.25">
      <c r="A2026" s="36"/>
      <c r="B2026" t="s">
        <v>451</v>
      </c>
      <c r="C2026" s="64">
        <v>43276</v>
      </c>
      <c r="D2026">
        <v>333.01</v>
      </c>
      <c r="E2026">
        <v>100.93708897630702</v>
      </c>
      <c r="F2026" t="s">
        <v>427</v>
      </c>
      <c r="G2026" s="64">
        <v>43276</v>
      </c>
      <c r="H2026">
        <v>1663.15</v>
      </c>
      <c r="I2026">
        <v>100.92880978865406</v>
      </c>
      <c r="J2026">
        <v>100.92880978865406</v>
      </c>
    </row>
    <row r="2027" spans="1:10" x14ac:dyDescent="0.25">
      <c r="A2027" s="36"/>
      <c r="B2027" t="s">
        <v>451</v>
      </c>
      <c r="C2027" s="64">
        <v>43277</v>
      </c>
      <c r="D2027">
        <v>342</v>
      </c>
      <c r="E2027">
        <v>100.93874269005848</v>
      </c>
      <c r="F2027" t="s">
        <v>427</v>
      </c>
      <c r="G2027" s="64">
        <v>43277</v>
      </c>
      <c r="H2027">
        <v>1691.09</v>
      </c>
      <c r="I2027">
        <v>100.92998598537038</v>
      </c>
      <c r="J2027">
        <v>100.92998598537038</v>
      </c>
    </row>
    <row r="2028" spans="1:10" x14ac:dyDescent="0.25">
      <c r="A2028" s="36"/>
      <c r="B2028" t="s">
        <v>451</v>
      </c>
      <c r="C2028" s="64">
        <v>43278</v>
      </c>
      <c r="D2028">
        <v>344.5</v>
      </c>
      <c r="E2028">
        <v>100.93918722786647</v>
      </c>
      <c r="F2028" t="s">
        <v>427</v>
      </c>
      <c r="G2028" s="64">
        <v>43278</v>
      </c>
      <c r="H2028">
        <v>1660.51</v>
      </c>
      <c r="I2028">
        <v>100.92869660525983</v>
      </c>
      <c r="J2028">
        <v>100.92869660525983</v>
      </c>
    </row>
    <row r="2029" spans="1:10" x14ac:dyDescent="0.25">
      <c r="A2029" s="36"/>
      <c r="B2029" t="s">
        <v>451</v>
      </c>
      <c r="C2029" s="64">
        <v>43279</v>
      </c>
      <c r="D2029">
        <v>349.93</v>
      </c>
      <c r="E2029">
        <v>100.94013088331953</v>
      </c>
      <c r="F2029" t="s">
        <v>427</v>
      </c>
      <c r="G2029" s="64">
        <v>43279</v>
      </c>
      <c r="H2029">
        <v>1701.45</v>
      </c>
      <c r="I2029">
        <v>100.9304122953951</v>
      </c>
      <c r="J2029">
        <v>100.9304122953951</v>
      </c>
    </row>
    <row r="2030" spans="1:10" x14ac:dyDescent="0.25">
      <c r="A2030" s="36"/>
      <c r="B2030" t="s">
        <v>451</v>
      </c>
      <c r="C2030" s="64">
        <v>43280</v>
      </c>
      <c r="D2030">
        <v>342.95</v>
      </c>
      <c r="E2030">
        <v>100.93891237789765</v>
      </c>
      <c r="F2030" t="s">
        <v>427</v>
      </c>
      <c r="G2030" s="64">
        <v>43280</v>
      </c>
      <c r="H2030">
        <v>1699.8</v>
      </c>
      <c r="I2030">
        <v>100.93034474644075</v>
      </c>
      <c r="J2030">
        <v>100.93034474644075</v>
      </c>
    </row>
    <row r="2031" spans="1:10" x14ac:dyDescent="0.25">
      <c r="A2031" s="36"/>
      <c r="B2031" t="s">
        <v>451</v>
      </c>
      <c r="C2031" s="64">
        <v>43283</v>
      </c>
      <c r="D2031">
        <v>335.07</v>
      </c>
      <c r="E2031">
        <v>100.93747575133554</v>
      </c>
      <c r="F2031" t="s">
        <v>427</v>
      </c>
      <c r="G2031" s="64">
        <v>43283</v>
      </c>
      <c r="H2031">
        <v>1713.78</v>
      </c>
      <c r="I2031">
        <v>100.93091295265437</v>
      </c>
      <c r="J2031">
        <v>100.93091295265437</v>
      </c>
    </row>
    <row r="2032" spans="1:10" x14ac:dyDescent="0.25">
      <c r="A2032" s="36"/>
      <c r="B2032" t="s">
        <v>451</v>
      </c>
      <c r="C2032" s="64">
        <v>43284</v>
      </c>
      <c r="D2032">
        <v>310.86</v>
      </c>
      <c r="E2032">
        <v>100.93260631795664</v>
      </c>
      <c r="F2032" t="s">
        <v>427</v>
      </c>
      <c r="G2032" s="64">
        <v>43284</v>
      </c>
      <c r="H2032">
        <v>1693.96</v>
      </c>
      <c r="I2032">
        <v>100.93010460695648</v>
      </c>
      <c r="J2032">
        <v>100.93010460695648</v>
      </c>
    </row>
    <row r="2033" spans="1:10" x14ac:dyDescent="0.25">
      <c r="A2033" s="36"/>
      <c r="B2033" t="s">
        <v>451</v>
      </c>
      <c r="C2033" s="64">
        <v>43286</v>
      </c>
      <c r="D2033">
        <v>309.16000000000003</v>
      </c>
      <c r="E2033">
        <v>100.93223573554147</v>
      </c>
      <c r="F2033" t="s">
        <v>427</v>
      </c>
      <c r="G2033" s="64">
        <v>43286</v>
      </c>
      <c r="H2033">
        <v>1699.73</v>
      </c>
      <c r="I2033">
        <v>100.93034187782766</v>
      </c>
      <c r="J2033">
        <v>100.93034187782766</v>
      </c>
    </row>
    <row r="2034" spans="1:10" x14ac:dyDescent="0.25">
      <c r="A2034" s="36"/>
      <c r="B2034" t="s">
        <v>451</v>
      </c>
      <c r="C2034" s="64">
        <v>43287</v>
      </c>
      <c r="D2034">
        <v>308.89999999999998</v>
      </c>
      <c r="E2034">
        <v>100.93217869860797</v>
      </c>
      <c r="F2034" t="s">
        <v>427</v>
      </c>
      <c r="G2034" s="64">
        <v>43287</v>
      </c>
      <c r="H2034">
        <v>1710.63</v>
      </c>
      <c r="I2034">
        <v>100.93078573391089</v>
      </c>
      <c r="J2034">
        <v>100.93078573391089</v>
      </c>
    </row>
    <row r="2035" spans="1:10" x14ac:dyDescent="0.25">
      <c r="A2035" s="36"/>
      <c r="B2035" t="s">
        <v>451</v>
      </c>
      <c r="C2035" s="64">
        <v>43290</v>
      </c>
      <c r="D2035">
        <v>318.51</v>
      </c>
      <c r="E2035">
        <v>100.93422498508681</v>
      </c>
      <c r="F2035" t="s">
        <v>427</v>
      </c>
      <c r="G2035" s="64">
        <v>43290</v>
      </c>
      <c r="H2035">
        <v>1739.02</v>
      </c>
      <c r="I2035">
        <v>100.93191567664547</v>
      </c>
      <c r="J2035">
        <v>100.93191567664547</v>
      </c>
    </row>
    <row r="2036" spans="1:10" x14ac:dyDescent="0.25">
      <c r="A2036" s="36"/>
      <c r="B2036" t="s">
        <v>451</v>
      </c>
      <c r="C2036" s="64">
        <v>43291</v>
      </c>
      <c r="D2036">
        <v>322.47000000000003</v>
      </c>
      <c r="E2036">
        <v>100.93503271622167</v>
      </c>
      <c r="F2036" t="s">
        <v>427</v>
      </c>
      <c r="G2036" s="64">
        <v>43291</v>
      </c>
      <c r="H2036">
        <v>1743.07</v>
      </c>
      <c r="I2036">
        <v>100.93207386966674</v>
      </c>
      <c r="J2036">
        <v>100.93207386966674</v>
      </c>
    </row>
    <row r="2037" spans="1:10" x14ac:dyDescent="0.25">
      <c r="A2037" s="36"/>
      <c r="B2037" t="s">
        <v>451</v>
      </c>
      <c r="C2037" s="64">
        <v>43292</v>
      </c>
      <c r="D2037">
        <v>318.95999999999998</v>
      </c>
      <c r="E2037">
        <v>100.93431778279408</v>
      </c>
      <c r="F2037" t="s">
        <v>427</v>
      </c>
      <c r="G2037" s="64">
        <v>43292</v>
      </c>
      <c r="H2037">
        <v>1755</v>
      </c>
      <c r="I2037">
        <v>100.93253561253562</v>
      </c>
      <c r="J2037">
        <v>100.93253561253562</v>
      </c>
    </row>
    <row r="2038" spans="1:10" x14ac:dyDescent="0.25">
      <c r="A2038" s="36"/>
      <c r="B2038" t="s">
        <v>451</v>
      </c>
      <c r="C2038" s="64">
        <v>43293</v>
      </c>
      <c r="D2038">
        <v>316.70999999999998</v>
      </c>
      <c r="E2038">
        <v>100.93385115721007</v>
      </c>
      <c r="F2038" t="s">
        <v>427</v>
      </c>
      <c r="G2038" s="64">
        <v>43293</v>
      </c>
      <c r="H2038">
        <v>1796.62</v>
      </c>
      <c r="I2038">
        <v>100.9340984738008</v>
      </c>
      <c r="J2038">
        <v>100.93385115721007</v>
      </c>
    </row>
    <row r="2039" spans="1:10" x14ac:dyDescent="0.25">
      <c r="A2039" s="36"/>
      <c r="B2039" t="s">
        <v>451</v>
      </c>
      <c r="C2039" s="64">
        <v>43294</v>
      </c>
      <c r="D2039">
        <v>318.87</v>
      </c>
      <c r="E2039">
        <v>100.9342992442061</v>
      </c>
      <c r="F2039" t="s">
        <v>427</v>
      </c>
      <c r="G2039" s="64">
        <v>43294</v>
      </c>
      <c r="H2039">
        <v>1813.03</v>
      </c>
      <c r="I2039">
        <v>100.93469495816396</v>
      </c>
      <c r="J2039">
        <v>100.9342992442061</v>
      </c>
    </row>
    <row r="2040" spans="1:10" x14ac:dyDescent="0.25">
      <c r="A2040" s="36"/>
      <c r="B2040" t="s">
        <v>451</v>
      </c>
      <c r="C2040" s="64">
        <v>43297</v>
      </c>
      <c r="D2040">
        <v>310.10000000000002</v>
      </c>
      <c r="E2040">
        <v>100.93244114801676</v>
      </c>
      <c r="F2040" t="s">
        <v>427</v>
      </c>
      <c r="G2040" s="64">
        <v>43297</v>
      </c>
      <c r="H2040">
        <v>1822.49</v>
      </c>
      <c r="I2040">
        <v>100.93503393708608</v>
      </c>
      <c r="J2040">
        <v>100.93244114801676</v>
      </c>
    </row>
    <row r="2041" spans="1:10" x14ac:dyDescent="0.25">
      <c r="A2041" s="36"/>
      <c r="B2041" t="s">
        <v>451</v>
      </c>
      <c r="C2041" s="64">
        <v>43298</v>
      </c>
      <c r="D2041">
        <v>322.69</v>
      </c>
      <c r="E2041">
        <v>100.93507700889398</v>
      </c>
      <c r="F2041" t="s">
        <v>427</v>
      </c>
      <c r="G2041" s="64">
        <v>43298</v>
      </c>
      <c r="H2041">
        <v>1843.93</v>
      </c>
      <c r="I2041">
        <v>100.93578931955118</v>
      </c>
      <c r="J2041">
        <v>100.93507700889398</v>
      </c>
    </row>
    <row r="2042" spans="1:10" x14ac:dyDescent="0.25">
      <c r="A2042" s="36"/>
      <c r="B2042" t="s">
        <v>451</v>
      </c>
      <c r="C2042" s="64">
        <v>43299</v>
      </c>
      <c r="D2042">
        <v>323.85000000000002</v>
      </c>
      <c r="E2042">
        <v>100.93530955689363</v>
      </c>
      <c r="F2042" t="s">
        <v>427</v>
      </c>
      <c r="G2042" s="64">
        <v>43299</v>
      </c>
      <c r="H2042">
        <v>1842.92</v>
      </c>
      <c r="I2042">
        <v>100.93575412931652</v>
      </c>
      <c r="J2042">
        <v>100.93530955689363</v>
      </c>
    </row>
    <row r="2043" spans="1:10" x14ac:dyDescent="0.25">
      <c r="A2043" s="36"/>
      <c r="B2043" t="s">
        <v>451</v>
      </c>
      <c r="C2043" s="64">
        <v>43300</v>
      </c>
      <c r="D2043">
        <v>320.23</v>
      </c>
      <c r="E2043">
        <v>100.9345782718671</v>
      </c>
      <c r="F2043" t="s">
        <v>427</v>
      </c>
      <c r="G2043" s="64">
        <v>43300</v>
      </c>
      <c r="H2043">
        <v>1812.97</v>
      </c>
      <c r="I2043">
        <v>100.93469279690233</v>
      </c>
      <c r="J2043">
        <v>100.9345782718671</v>
      </c>
    </row>
    <row r="2044" spans="1:10" x14ac:dyDescent="0.25">
      <c r="A2044" s="36"/>
      <c r="B2044" t="s">
        <v>451</v>
      </c>
      <c r="C2044" s="64">
        <v>43301</v>
      </c>
      <c r="D2044">
        <v>313.58</v>
      </c>
      <c r="E2044">
        <v>100.93319089227629</v>
      </c>
      <c r="F2044" t="s">
        <v>427</v>
      </c>
      <c r="G2044" s="64">
        <v>43301</v>
      </c>
      <c r="H2044">
        <v>1813.7</v>
      </c>
      <c r="I2044">
        <v>100.93471908253846</v>
      </c>
      <c r="J2044">
        <v>100.93319089227629</v>
      </c>
    </row>
    <row r="2045" spans="1:10" x14ac:dyDescent="0.25">
      <c r="A2045" s="36"/>
      <c r="B2045" t="s">
        <v>451</v>
      </c>
      <c r="C2045" s="64">
        <v>43304</v>
      </c>
      <c r="D2045">
        <v>303.2</v>
      </c>
      <c r="E2045">
        <v>100.9309036939314</v>
      </c>
      <c r="F2045" t="s">
        <v>427</v>
      </c>
      <c r="G2045" s="64">
        <v>43304</v>
      </c>
      <c r="H2045">
        <v>1802</v>
      </c>
      <c r="I2045">
        <v>100.93429522752497</v>
      </c>
      <c r="J2045">
        <v>100.9309036939314</v>
      </c>
    </row>
    <row r="2046" spans="1:10" x14ac:dyDescent="0.25">
      <c r="A2046" s="36"/>
      <c r="B2046" t="s">
        <v>451</v>
      </c>
      <c r="C2046" s="64">
        <v>43305</v>
      </c>
      <c r="D2046">
        <v>297.43</v>
      </c>
      <c r="E2046">
        <v>100.92956325858185</v>
      </c>
      <c r="F2046" t="s">
        <v>427</v>
      </c>
      <c r="G2046" s="64">
        <v>43305</v>
      </c>
      <c r="H2046">
        <v>1829.24</v>
      </c>
      <c r="I2046">
        <v>100.93527366556603</v>
      </c>
      <c r="J2046">
        <v>100.92956325858185</v>
      </c>
    </row>
    <row r="2047" spans="1:10" x14ac:dyDescent="0.25">
      <c r="A2047" s="36"/>
      <c r="B2047" t="s">
        <v>451</v>
      </c>
      <c r="C2047" s="64">
        <v>43306</v>
      </c>
      <c r="D2047">
        <v>308.74</v>
      </c>
      <c r="E2047">
        <v>100.93214355120814</v>
      </c>
      <c r="F2047" t="s">
        <v>427</v>
      </c>
      <c r="G2047" s="64">
        <v>43306</v>
      </c>
      <c r="H2047">
        <v>1863.61</v>
      </c>
      <c r="I2047">
        <v>100.93646739392899</v>
      </c>
      <c r="J2047">
        <v>100.93214355120814</v>
      </c>
    </row>
    <row r="2048" spans="1:10" x14ac:dyDescent="0.25">
      <c r="A2048" s="36"/>
      <c r="B2048" t="s">
        <v>451</v>
      </c>
      <c r="C2048" s="64">
        <v>43307</v>
      </c>
      <c r="D2048">
        <v>306.64999999999998</v>
      </c>
      <c r="E2048">
        <v>100.93168106962335</v>
      </c>
      <c r="F2048" t="s">
        <v>427</v>
      </c>
      <c r="G2048" s="64">
        <v>43307</v>
      </c>
      <c r="H2048">
        <v>1808</v>
      </c>
      <c r="I2048">
        <v>100.93451327433628</v>
      </c>
      <c r="J2048">
        <v>100.93168106962335</v>
      </c>
    </row>
    <row r="2049" spans="1:10" x14ac:dyDescent="0.25">
      <c r="A2049" s="36"/>
      <c r="B2049" t="s">
        <v>451</v>
      </c>
      <c r="C2049" s="64">
        <v>43308</v>
      </c>
      <c r="D2049">
        <v>297.18</v>
      </c>
      <c r="E2049">
        <v>100.92950400430715</v>
      </c>
      <c r="F2049" t="s">
        <v>427</v>
      </c>
      <c r="G2049" s="64">
        <v>43308</v>
      </c>
      <c r="H2049">
        <v>1817.27</v>
      </c>
      <c r="I2049">
        <v>100.93484732593396</v>
      </c>
      <c r="J2049">
        <v>100.92950400430715</v>
      </c>
    </row>
    <row r="2050" spans="1:10" x14ac:dyDescent="0.25">
      <c r="A2050" s="36"/>
      <c r="B2050" t="s">
        <v>451</v>
      </c>
      <c r="C2050" s="64">
        <v>43311</v>
      </c>
      <c r="D2050">
        <v>290.17</v>
      </c>
      <c r="E2050">
        <v>100.92780094427404</v>
      </c>
      <c r="F2050" t="s">
        <v>427</v>
      </c>
      <c r="G2050" s="64">
        <v>43311</v>
      </c>
      <c r="H2050">
        <v>1779.22</v>
      </c>
      <c r="I2050">
        <v>100.93345398545431</v>
      </c>
      <c r="J2050">
        <v>100.92780094427404</v>
      </c>
    </row>
    <row r="2051" spans="1:10" x14ac:dyDescent="0.25">
      <c r="A2051" s="36"/>
      <c r="B2051" t="s">
        <v>451</v>
      </c>
      <c r="C2051" s="64">
        <v>43312</v>
      </c>
      <c r="D2051">
        <v>298.14</v>
      </c>
      <c r="E2051">
        <v>100.9297309988596</v>
      </c>
      <c r="F2051" t="s">
        <v>427</v>
      </c>
      <c r="G2051" s="64">
        <v>43312</v>
      </c>
      <c r="H2051">
        <v>1777.44</v>
      </c>
      <c r="I2051">
        <v>100.93338734359529</v>
      </c>
      <c r="J2051">
        <v>100.9297309988596</v>
      </c>
    </row>
    <row r="2052" spans="1:10" x14ac:dyDescent="0.25">
      <c r="A2052" s="36"/>
      <c r="B2052" t="s">
        <v>451</v>
      </c>
      <c r="C2052" s="64">
        <v>43313</v>
      </c>
      <c r="D2052">
        <v>300.83999999999997</v>
      </c>
      <c r="E2052">
        <v>100.93036165403537</v>
      </c>
      <c r="F2052" t="s">
        <v>427</v>
      </c>
      <c r="G2052" s="64">
        <v>43313</v>
      </c>
      <c r="H2052">
        <v>1797.17</v>
      </c>
      <c r="I2052">
        <v>100.93411864208728</v>
      </c>
      <c r="J2052">
        <v>100.93036165403537</v>
      </c>
    </row>
    <row r="2053" spans="1:10" x14ac:dyDescent="0.25">
      <c r="A2053" s="36"/>
      <c r="B2053" t="s">
        <v>451</v>
      </c>
      <c r="C2053" s="64">
        <v>43314</v>
      </c>
      <c r="D2053">
        <v>349.54</v>
      </c>
      <c r="E2053">
        <v>100.94006408422499</v>
      </c>
      <c r="F2053" t="s">
        <v>427</v>
      </c>
      <c r="G2053" s="64">
        <v>43314</v>
      </c>
      <c r="H2053">
        <v>1834.33</v>
      </c>
      <c r="I2053">
        <v>100.9354532717668</v>
      </c>
      <c r="J2053">
        <v>100.9354532717668</v>
      </c>
    </row>
    <row r="2054" spans="1:10" x14ac:dyDescent="0.25">
      <c r="A2054" s="36"/>
      <c r="B2054" t="s">
        <v>451</v>
      </c>
      <c r="C2054" s="64">
        <v>43315</v>
      </c>
      <c r="D2054">
        <v>348.17</v>
      </c>
      <c r="E2054">
        <v>100.93982824482293</v>
      </c>
      <c r="F2054" t="s">
        <v>427</v>
      </c>
      <c r="G2054" s="64">
        <v>43315</v>
      </c>
      <c r="H2054">
        <v>1823.29</v>
      </c>
      <c r="I2054">
        <v>100.93506244206901</v>
      </c>
      <c r="J2054">
        <v>100.93506244206901</v>
      </c>
    </row>
    <row r="2055" spans="1:10" x14ac:dyDescent="0.25">
      <c r="A2055" s="36"/>
      <c r="B2055" t="s">
        <v>451</v>
      </c>
      <c r="C2055" s="64">
        <v>43318</v>
      </c>
      <c r="D2055">
        <v>341.99</v>
      </c>
      <c r="E2055">
        <v>100.93874089885669</v>
      </c>
      <c r="F2055" t="s">
        <v>427</v>
      </c>
      <c r="G2055" s="64">
        <v>43318</v>
      </c>
      <c r="H2055">
        <v>1847.75</v>
      </c>
      <c r="I2055">
        <v>100.93592206737924</v>
      </c>
      <c r="J2055">
        <v>100.93592206737924</v>
      </c>
    </row>
    <row r="2056" spans="1:10" x14ac:dyDescent="0.25">
      <c r="A2056" s="36"/>
      <c r="B2056" t="s">
        <v>451</v>
      </c>
      <c r="C2056" s="64">
        <v>43319</v>
      </c>
      <c r="D2056">
        <v>379.57</v>
      </c>
      <c r="E2056">
        <v>100.9448059646442</v>
      </c>
      <c r="F2056" t="s">
        <v>427</v>
      </c>
      <c r="G2056" s="64">
        <v>43319</v>
      </c>
      <c r="H2056">
        <v>1862.48</v>
      </c>
      <c r="I2056">
        <v>100.93642884755809</v>
      </c>
      <c r="J2056">
        <v>100.93642884755809</v>
      </c>
    </row>
    <row r="2057" spans="1:10" x14ac:dyDescent="0.25">
      <c r="A2057" s="36"/>
      <c r="B2057" t="s">
        <v>451</v>
      </c>
      <c r="C2057" s="64">
        <v>43320</v>
      </c>
      <c r="D2057">
        <v>370.34</v>
      </c>
      <c r="E2057">
        <v>100.94343036128963</v>
      </c>
      <c r="F2057" t="s">
        <v>427</v>
      </c>
      <c r="G2057" s="64">
        <v>43320</v>
      </c>
      <c r="H2057">
        <v>1886.52</v>
      </c>
      <c r="I2057">
        <v>100.93723893730255</v>
      </c>
      <c r="J2057">
        <v>100.93723893730255</v>
      </c>
    </row>
    <row r="2058" spans="1:10" x14ac:dyDescent="0.25">
      <c r="A2058" s="36"/>
      <c r="B2058" t="s">
        <v>451</v>
      </c>
      <c r="C2058" s="64">
        <v>43321</v>
      </c>
      <c r="D2058">
        <v>352.45</v>
      </c>
      <c r="E2058">
        <v>100.94055894453113</v>
      </c>
      <c r="F2058" t="s">
        <v>427</v>
      </c>
      <c r="G2058" s="64">
        <v>43321</v>
      </c>
      <c r="H2058">
        <v>1898.52</v>
      </c>
      <c r="I2058">
        <v>100.93763563196595</v>
      </c>
      <c r="J2058">
        <v>100.93763563196595</v>
      </c>
    </row>
    <row r="2059" spans="1:10" x14ac:dyDescent="0.25">
      <c r="A2059" s="36"/>
      <c r="B2059" t="s">
        <v>451</v>
      </c>
      <c r="C2059" s="64">
        <v>43322</v>
      </c>
      <c r="D2059">
        <v>355.49</v>
      </c>
      <c r="E2059">
        <v>100.94106725927593</v>
      </c>
      <c r="F2059" t="s">
        <v>427</v>
      </c>
      <c r="G2059" s="64">
        <v>43322</v>
      </c>
      <c r="H2059">
        <v>1886.3</v>
      </c>
      <c r="I2059">
        <v>100.93723161745216</v>
      </c>
      <c r="J2059">
        <v>100.93723161745216</v>
      </c>
    </row>
    <row r="2060" spans="1:10" x14ac:dyDescent="0.25">
      <c r="A2060" s="36"/>
      <c r="B2060" t="s">
        <v>451</v>
      </c>
      <c r="C2060" s="64">
        <v>43325</v>
      </c>
      <c r="D2060">
        <v>356.41</v>
      </c>
      <c r="E2060">
        <v>100.94121938217222</v>
      </c>
      <c r="F2060" t="s">
        <v>427</v>
      </c>
      <c r="G2060" s="64">
        <v>43325</v>
      </c>
      <c r="H2060">
        <v>1896.2</v>
      </c>
      <c r="I2060">
        <v>100.93755932918468</v>
      </c>
      <c r="J2060">
        <v>100.93755932918468</v>
      </c>
    </row>
    <row r="2061" spans="1:10" x14ac:dyDescent="0.25">
      <c r="A2061" s="36"/>
      <c r="B2061" t="s">
        <v>451</v>
      </c>
      <c r="C2061" s="64">
        <v>43326</v>
      </c>
      <c r="D2061">
        <v>347.64</v>
      </c>
      <c r="E2061">
        <v>100.93973650903233</v>
      </c>
      <c r="F2061" t="s">
        <v>427</v>
      </c>
      <c r="G2061" s="64">
        <v>43326</v>
      </c>
      <c r="H2061">
        <v>1919.65</v>
      </c>
      <c r="I2061">
        <v>100.93832208996432</v>
      </c>
      <c r="J2061">
        <v>100.93832208996432</v>
      </c>
    </row>
    <row r="2062" spans="1:10" x14ac:dyDescent="0.25">
      <c r="A2062" s="36"/>
      <c r="B2062" t="s">
        <v>451</v>
      </c>
      <c r="C2062" s="64">
        <v>43327</v>
      </c>
      <c r="D2062">
        <v>338.69</v>
      </c>
      <c r="E2062">
        <v>100.93814402551006</v>
      </c>
      <c r="F2062" t="s">
        <v>427</v>
      </c>
      <c r="G2062" s="64">
        <v>43327</v>
      </c>
      <c r="H2062">
        <v>1882.62</v>
      </c>
      <c r="I2062">
        <v>100.9371089226716</v>
      </c>
      <c r="J2062">
        <v>100.9371089226716</v>
      </c>
    </row>
    <row r="2063" spans="1:10" x14ac:dyDescent="0.25">
      <c r="A2063" s="36"/>
      <c r="B2063" t="s">
        <v>451</v>
      </c>
      <c r="C2063" s="64">
        <v>43328</v>
      </c>
      <c r="D2063">
        <v>335.45</v>
      </c>
      <c r="E2063">
        <v>100.93754657922194</v>
      </c>
      <c r="F2063" t="s">
        <v>427</v>
      </c>
      <c r="G2063" s="64">
        <v>43328</v>
      </c>
      <c r="H2063">
        <v>1886.52</v>
      </c>
      <c r="I2063">
        <v>100.93723893730255</v>
      </c>
      <c r="J2063">
        <v>100.93723893730255</v>
      </c>
    </row>
    <row r="2064" spans="1:10" x14ac:dyDescent="0.25">
      <c r="A2064" s="36"/>
      <c r="B2064" t="s">
        <v>451</v>
      </c>
      <c r="C2064" s="64">
        <v>43329</v>
      </c>
      <c r="D2064">
        <v>305.5</v>
      </c>
      <c r="E2064">
        <v>100.93142389525369</v>
      </c>
      <c r="F2064" t="s">
        <v>427</v>
      </c>
      <c r="G2064" s="64">
        <v>43329</v>
      </c>
      <c r="H2064">
        <v>1882.22</v>
      </c>
      <c r="I2064">
        <v>100.93709555737374</v>
      </c>
      <c r="J2064">
        <v>100.93142389525369</v>
      </c>
    </row>
    <row r="2065" spans="1:10" x14ac:dyDescent="0.25">
      <c r="A2065" s="36"/>
      <c r="B2065" t="s">
        <v>451</v>
      </c>
      <c r="C2065" s="64">
        <v>43332</v>
      </c>
      <c r="D2065">
        <v>308.44</v>
      </c>
      <c r="E2065">
        <v>100.93207755154974</v>
      </c>
      <c r="F2065" t="s">
        <v>427</v>
      </c>
      <c r="G2065" s="64">
        <v>43332</v>
      </c>
      <c r="H2065">
        <v>1876.71</v>
      </c>
      <c r="I2065">
        <v>100.93691087061933</v>
      </c>
      <c r="J2065">
        <v>100.93207755154974</v>
      </c>
    </row>
    <row r="2066" spans="1:10" x14ac:dyDescent="0.25">
      <c r="A2066" s="36"/>
      <c r="B2066" t="s">
        <v>451</v>
      </c>
      <c r="C2066" s="64">
        <v>43333</v>
      </c>
      <c r="D2066">
        <v>321.89999999999998</v>
      </c>
      <c r="E2066">
        <v>100.93491767629699</v>
      </c>
      <c r="F2066" t="s">
        <v>427</v>
      </c>
      <c r="G2066" s="64">
        <v>43333</v>
      </c>
      <c r="H2066">
        <v>1883.42</v>
      </c>
      <c r="I2066">
        <v>100.93713563623621</v>
      </c>
      <c r="J2066">
        <v>100.93491767629699</v>
      </c>
    </row>
    <row r="2067" spans="1:10" x14ac:dyDescent="0.25">
      <c r="A2067" s="36"/>
      <c r="B2067" t="s">
        <v>451</v>
      </c>
      <c r="C2067" s="64">
        <v>43334</v>
      </c>
      <c r="D2067">
        <v>321.64</v>
      </c>
      <c r="E2067">
        <v>100.93486506653402</v>
      </c>
      <c r="F2067" t="s">
        <v>427</v>
      </c>
      <c r="G2067" s="64">
        <v>43334</v>
      </c>
      <c r="H2067">
        <v>1904.9</v>
      </c>
      <c r="I2067">
        <v>100.93784450627329</v>
      </c>
      <c r="J2067">
        <v>100.93486506653402</v>
      </c>
    </row>
    <row r="2068" spans="1:10" x14ac:dyDescent="0.25">
      <c r="A2068" s="36"/>
      <c r="B2068" t="s">
        <v>451</v>
      </c>
      <c r="C2068" s="64">
        <v>43335</v>
      </c>
      <c r="D2068">
        <v>320.10000000000002</v>
      </c>
      <c r="E2068">
        <v>100.93455170259294</v>
      </c>
      <c r="F2068" t="s">
        <v>427</v>
      </c>
      <c r="G2068" s="64">
        <v>43335</v>
      </c>
      <c r="H2068">
        <v>1902.9</v>
      </c>
      <c r="I2068">
        <v>100.93777917914761</v>
      </c>
      <c r="J2068">
        <v>100.93455170259294</v>
      </c>
    </row>
    <row r="2069" spans="1:10" x14ac:dyDescent="0.25">
      <c r="A2069" s="36"/>
      <c r="B2069" t="s">
        <v>451</v>
      </c>
      <c r="C2069" s="64">
        <v>43336</v>
      </c>
      <c r="D2069">
        <v>322.82</v>
      </c>
      <c r="E2069">
        <v>100.93510315346013</v>
      </c>
      <c r="F2069" t="s">
        <v>427</v>
      </c>
      <c r="G2069" s="64">
        <v>43336</v>
      </c>
      <c r="H2069">
        <v>1905.39</v>
      </c>
      <c r="I2069">
        <v>100.93786049050325</v>
      </c>
      <c r="J2069">
        <v>100.93510315346013</v>
      </c>
    </row>
    <row r="2070" spans="1:10" x14ac:dyDescent="0.25">
      <c r="A2070" s="36"/>
      <c r="B2070" t="s">
        <v>451</v>
      </c>
      <c r="C2070" s="64">
        <v>43339</v>
      </c>
      <c r="D2070">
        <v>319.27</v>
      </c>
      <c r="E2070">
        <v>100.93438155792903</v>
      </c>
      <c r="F2070" t="s">
        <v>427</v>
      </c>
      <c r="G2070" s="64">
        <v>43339</v>
      </c>
      <c r="H2070">
        <v>1927.68</v>
      </c>
      <c r="I2070">
        <v>100.93857901726427</v>
      </c>
      <c r="J2070">
        <v>100.93438155792903</v>
      </c>
    </row>
    <row r="2071" spans="1:10" x14ac:dyDescent="0.25">
      <c r="A2071" s="36"/>
      <c r="B2071" t="s">
        <v>451</v>
      </c>
      <c r="C2071" s="64">
        <v>43340</v>
      </c>
      <c r="D2071">
        <v>311.86</v>
      </c>
      <c r="E2071">
        <v>100.93282242031681</v>
      </c>
      <c r="F2071" t="s">
        <v>427</v>
      </c>
      <c r="G2071" s="64">
        <v>43340</v>
      </c>
      <c r="H2071">
        <v>1932.82</v>
      </c>
      <c r="I2071">
        <v>100.93874235572893</v>
      </c>
      <c r="J2071">
        <v>100.93282242031681</v>
      </c>
    </row>
    <row r="2072" spans="1:10" x14ac:dyDescent="0.25">
      <c r="A2072" s="36"/>
      <c r="B2072" t="s">
        <v>451</v>
      </c>
      <c r="C2072" s="64">
        <v>43341</v>
      </c>
      <c r="D2072">
        <v>305.01</v>
      </c>
      <c r="E2072">
        <v>100.93131372741877</v>
      </c>
      <c r="F2072" t="s">
        <v>427</v>
      </c>
      <c r="G2072" s="64">
        <v>43341</v>
      </c>
      <c r="H2072">
        <v>1998.1</v>
      </c>
      <c r="I2072">
        <v>100.94074370652119</v>
      </c>
      <c r="J2072">
        <v>100.93131372741877</v>
      </c>
    </row>
    <row r="2073" spans="1:10" x14ac:dyDescent="0.25">
      <c r="A2073" s="36"/>
      <c r="B2073" t="s">
        <v>451</v>
      </c>
      <c r="C2073" s="64">
        <v>43342</v>
      </c>
      <c r="D2073">
        <v>303.14999999999998</v>
      </c>
      <c r="E2073">
        <v>100.93089229754247</v>
      </c>
      <c r="F2073" t="s">
        <v>427</v>
      </c>
      <c r="G2073" s="64">
        <v>43342</v>
      </c>
      <c r="H2073">
        <v>2002.38</v>
      </c>
      <c r="I2073">
        <v>100.94087036426652</v>
      </c>
      <c r="J2073">
        <v>100.93089229754247</v>
      </c>
    </row>
    <row r="2074" spans="1:10" x14ac:dyDescent="0.25">
      <c r="A2074" s="36"/>
      <c r="B2074" t="s">
        <v>451</v>
      </c>
      <c r="C2074" s="64">
        <v>43343</v>
      </c>
      <c r="D2074">
        <v>301.66000000000003</v>
      </c>
      <c r="E2074">
        <v>100.93055095140224</v>
      </c>
      <c r="F2074" t="s">
        <v>427</v>
      </c>
      <c r="G2074" s="64">
        <v>43343</v>
      </c>
      <c r="H2074">
        <v>2012.71</v>
      </c>
      <c r="I2074">
        <v>100.94117384024524</v>
      </c>
      <c r="J2074">
        <v>100.93055095140224</v>
      </c>
    </row>
    <row r="2075" spans="1:10" x14ac:dyDescent="0.25">
      <c r="A2075" s="36"/>
      <c r="B2075" t="s">
        <v>451</v>
      </c>
      <c r="C2075" s="64">
        <v>43347</v>
      </c>
      <c r="D2075">
        <v>288.95</v>
      </c>
      <c r="E2075">
        <v>100.92749610659284</v>
      </c>
      <c r="F2075" t="s">
        <v>427</v>
      </c>
      <c r="G2075" s="64">
        <v>43347</v>
      </c>
      <c r="H2075">
        <v>2039.51</v>
      </c>
      <c r="I2075">
        <v>100.94194684017239</v>
      </c>
      <c r="J2075">
        <v>100.92749610659284</v>
      </c>
    </row>
    <row r="2076" spans="1:10" x14ac:dyDescent="0.25">
      <c r="A2076" s="36"/>
      <c r="B2076" t="s">
        <v>451</v>
      </c>
      <c r="C2076" s="64">
        <v>43348</v>
      </c>
      <c r="D2076">
        <v>280.74</v>
      </c>
      <c r="E2076">
        <v>100.92537579254827</v>
      </c>
      <c r="F2076" t="s">
        <v>427</v>
      </c>
      <c r="G2076" s="64">
        <v>43348</v>
      </c>
      <c r="H2076">
        <v>1994.82</v>
      </c>
      <c r="I2076">
        <v>100.94064627384927</v>
      </c>
      <c r="J2076">
        <v>100.92537579254827</v>
      </c>
    </row>
    <row r="2077" spans="1:10" x14ac:dyDescent="0.25">
      <c r="A2077" s="36"/>
      <c r="B2077" t="s">
        <v>451</v>
      </c>
      <c r="C2077" s="64">
        <v>43349</v>
      </c>
      <c r="D2077">
        <v>280.95</v>
      </c>
      <c r="E2077">
        <v>100.925431571454</v>
      </c>
      <c r="F2077" t="s">
        <v>427</v>
      </c>
      <c r="G2077" s="64">
        <v>43349</v>
      </c>
      <c r="H2077">
        <v>1958.31</v>
      </c>
      <c r="I2077">
        <v>100.93953970515393</v>
      </c>
      <c r="J2077">
        <v>100.925431571454</v>
      </c>
    </row>
    <row r="2078" spans="1:10" x14ac:dyDescent="0.25">
      <c r="A2078" s="36"/>
      <c r="B2078" t="s">
        <v>451</v>
      </c>
      <c r="C2078" s="64">
        <v>43350</v>
      </c>
      <c r="D2078">
        <v>263.24</v>
      </c>
      <c r="E2078">
        <v>100.92041483057287</v>
      </c>
      <c r="F2078" t="s">
        <v>427</v>
      </c>
      <c r="G2078" s="64">
        <v>43350</v>
      </c>
      <c r="H2078">
        <v>1952.07</v>
      </c>
      <c r="I2078">
        <v>100.93934643737161</v>
      </c>
      <c r="J2078">
        <v>100.92041483057287</v>
      </c>
    </row>
    <row r="2079" spans="1:10" x14ac:dyDescent="0.25">
      <c r="A2079" s="36"/>
      <c r="B2079" t="s">
        <v>451</v>
      </c>
      <c r="C2079" s="64">
        <v>43353</v>
      </c>
      <c r="D2079">
        <v>285.5</v>
      </c>
      <c r="E2079">
        <v>100.92661996497372</v>
      </c>
      <c r="F2079" t="s">
        <v>427</v>
      </c>
      <c r="G2079" s="64">
        <v>43353</v>
      </c>
      <c r="H2079">
        <v>1939.01</v>
      </c>
      <c r="I2079">
        <v>100.93893791161469</v>
      </c>
      <c r="J2079">
        <v>100.92661996497372</v>
      </c>
    </row>
    <row r="2080" spans="1:10" x14ac:dyDescent="0.25">
      <c r="A2080" s="36"/>
      <c r="B2080" t="s">
        <v>451</v>
      </c>
      <c r="C2080" s="64">
        <v>43354</v>
      </c>
      <c r="D2080">
        <v>279.44</v>
      </c>
      <c r="E2080">
        <v>100.92502862868594</v>
      </c>
      <c r="F2080" t="s">
        <v>427</v>
      </c>
      <c r="G2080" s="64">
        <v>43354</v>
      </c>
      <c r="H2080">
        <v>1987.15</v>
      </c>
      <c r="I2080">
        <v>100.94041718038396</v>
      </c>
      <c r="J2080">
        <v>100.92502862868594</v>
      </c>
    </row>
    <row r="2081" spans="1:10" x14ac:dyDescent="0.25">
      <c r="A2081" s="36"/>
      <c r="B2081" t="s">
        <v>451</v>
      </c>
      <c r="C2081" s="64">
        <v>43355</v>
      </c>
      <c r="D2081">
        <v>290.54000000000002</v>
      </c>
      <c r="E2081">
        <v>100.92789288910305</v>
      </c>
      <c r="F2081" t="s">
        <v>427</v>
      </c>
      <c r="G2081" s="64">
        <v>43355</v>
      </c>
      <c r="H2081">
        <v>1990</v>
      </c>
      <c r="I2081">
        <v>100.94050251256282</v>
      </c>
      <c r="J2081">
        <v>100.92789288910305</v>
      </c>
    </row>
    <row r="2082" spans="1:10" x14ac:dyDescent="0.25">
      <c r="A2082" s="36"/>
      <c r="B2082" t="s">
        <v>451</v>
      </c>
      <c r="C2082" s="64">
        <v>43356</v>
      </c>
      <c r="D2082">
        <v>289.45999999999998</v>
      </c>
      <c r="E2082">
        <v>100.92762385130933</v>
      </c>
      <c r="F2082" t="s">
        <v>427</v>
      </c>
      <c r="G2082" s="64">
        <v>43356</v>
      </c>
      <c r="H2082">
        <v>1989.87</v>
      </c>
      <c r="I2082">
        <v>100.94049862553835</v>
      </c>
      <c r="J2082">
        <v>100.92762385130933</v>
      </c>
    </row>
    <row r="2083" spans="1:10" x14ac:dyDescent="0.25">
      <c r="A2083" s="36"/>
      <c r="B2083" t="s">
        <v>451</v>
      </c>
      <c r="C2083" s="64">
        <v>43357</v>
      </c>
      <c r="D2083">
        <v>295.2</v>
      </c>
      <c r="E2083">
        <v>100.92903116531166</v>
      </c>
      <c r="F2083" t="s">
        <v>427</v>
      </c>
      <c r="G2083" s="64">
        <v>43357</v>
      </c>
      <c r="H2083">
        <v>1970.19</v>
      </c>
      <c r="I2083">
        <v>100.93990427319193</v>
      </c>
      <c r="J2083">
        <v>100.92903116531166</v>
      </c>
    </row>
    <row r="2084" spans="1:10" x14ac:dyDescent="0.25">
      <c r="A2084" s="36"/>
      <c r="B2084" t="s">
        <v>451</v>
      </c>
      <c r="C2084" s="64">
        <v>43360</v>
      </c>
      <c r="D2084">
        <v>294.83999999999997</v>
      </c>
      <c r="E2084">
        <v>100.92894451227785</v>
      </c>
      <c r="F2084" t="s">
        <v>427</v>
      </c>
      <c r="G2084" s="64">
        <v>43360</v>
      </c>
      <c r="H2084">
        <v>1908.03</v>
      </c>
      <c r="I2084">
        <v>100.93794646834694</v>
      </c>
      <c r="J2084">
        <v>100.92894451227785</v>
      </c>
    </row>
    <row r="2085" spans="1:10" x14ac:dyDescent="0.25">
      <c r="A2085" s="36"/>
      <c r="B2085" t="s">
        <v>451</v>
      </c>
      <c r="C2085" s="64">
        <v>43361</v>
      </c>
      <c r="D2085">
        <v>284.95999999999998</v>
      </c>
      <c r="E2085">
        <v>100.92648090960135</v>
      </c>
      <c r="F2085" t="s">
        <v>427</v>
      </c>
      <c r="G2085" s="64">
        <v>43361</v>
      </c>
      <c r="H2085">
        <v>1941.05</v>
      </c>
      <c r="I2085">
        <v>100.93900208649957</v>
      </c>
      <c r="J2085">
        <v>100.92648090960135</v>
      </c>
    </row>
    <row r="2086" spans="1:10" x14ac:dyDescent="0.25">
      <c r="A2086" s="36"/>
      <c r="B2086" t="s">
        <v>451</v>
      </c>
      <c r="C2086" s="64">
        <v>43362</v>
      </c>
      <c r="D2086">
        <v>299.02</v>
      </c>
      <c r="E2086">
        <v>100.92993779680289</v>
      </c>
      <c r="F2086" t="s">
        <v>427</v>
      </c>
      <c r="G2086" s="64">
        <v>43362</v>
      </c>
      <c r="H2086">
        <v>1926.42</v>
      </c>
      <c r="I2086">
        <v>100.93853884407346</v>
      </c>
      <c r="J2086">
        <v>100.92993779680289</v>
      </c>
    </row>
    <row r="2087" spans="1:10" x14ac:dyDescent="0.25">
      <c r="A2087" s="36"/>
      <c r="B2087" t="s">
        <v>451</v>
      </c>
      <c r="C2087" s="64">
        <v>43363</v>
      </c>
      <c r="D2087">
        <v>298.33</v>
      </c>
      <c r="E2087">
        <v>100.92977575168437</v>
      </c>
      <c r="F2087" t="s">
        <v>427</v>
      </c>
      <c r="G2087" s="64">
        <v>43363</v>
      </c>
      <c r="H2087">
        <v>1944.3</v>
      </c>
      <c r="I2087">
        <v>100.93910404772926</v>
      </c>
      <c r="J2087">
        <v>100.92977575168437</v>
      </c>
    </row>
    <row r="2088" spans="1:10" x14ac:dyDescent="0.25">
      <c r="A2088" s="36"/>
      <c r="B2088" t="s">
        <v>451</v>
      </c>
      <c r="C2088" s="64">
        <v>43364</v>
      </c>
      <c r="D2088">
        <v>299.10000000000002</v>
      </c>
      <c r="E2088">
        <v>100.9299565362755</v>
      </c>
      <c r="F2088" t="s">
        <v>427</v>
      </c>
      <c r="G2088" s="64">
        <v>43364</v>
      </c>
      <c r="H2088">
        <v>1915.01</v>
      </c>
      <c r="I2088">
        <v>100.93817264661803</v>
      </c>
      <c r="J2088">
        <v>100.9299565362755</v>
      </c>
    </row>
    <row r="2089" spans="1:10" x14ac:dyDescent="0.25">
      <c r="A2089" s="36"/>
      <c r="B2089" t="s">
        <v>451</v>
      </c>
      <c r="C2089" s="64">
        <v>43367</v>
      </c>
      <c r="D2089">
        <v>299.68</v>
      </c>
      <c r="E2089">
        <v>100.93009209823812</v>
      </c>
      <c r="F2089" t="s">
        <v>427</v>
      </c>
      <c r="G2089" s="64">
        <v>43367</v>
      </c>
      <c r="H2089">
        <v>1934.36</v>
      </c>
      <c r="I2089">
        <v>100.93879112471308</v>
      </c>
      <c r="J2089">
        <v>100.93009209823812</v>
      </c>
    </row>
    <row r="2090" spans="1:10" x14ac:dyDescent="0.25">
      <c r="A2090" s="36"/>
      <c r="B2090" t="s">
        <v>451</v>
      </c>
      <c r="C2090" s="64">
        <v>43368</v>
      </c>
      <c r="D2090">
        <v>300.99</v>
      </c>
      <c r="E2090">
        <v>100.93039635868301</v>
      </c>
      <c r="F2090" t="s">
        <v>427</v>
      </c>
      <c r="G2090" s="64">
        <v>43368</v>
      </c>
      <c r="H2090">
        <v>1974.55</v>
      </c>
      <c r="I2090">
        <v>100.94003697044896</v>
      </c>
      <c r="J2090">
        <v>100.93039635868301</v>
      </c>
    </row>
    <row r="2091" spans="1:10" x14ac:dyDescent="0.25">
      <c r="A2091" s="36"/>
      <c r="B2091" t="s">
        <v>451</v>
      </c>
      <c r="C2091" s="64">
        <v>43369</v>
      </c>
      <c r="D2091">
        <v>309.58</v>
      </c>
      <c r="E2091">
        <v>100.9323276697461</v>
      </c>
      <c r="F2091" t="s">
        <v>427</v>
      </c>
      <c r="G2091" s="64">
        <v>43369</v>
      </c>
      <c r="H2091">
        <v>1974.85</v>
      </c>
      <c r="I2091">
        <v>100.94004607944908</v>
      </c>
      <c r="J2091">
        <v>100.9323276697461</v>
      </c>
    </row>
    <row r="2092" spans="1:10" x14ac:dyDescent="0.25">
      <c r="A2092" s="36"/>
      <c r="B2092" t="s">
        <v>451</v>
      </c>
      <c r="C2092" s="64">
        <v>43370</v>
      </c>
      <c r="D2092">
        <v>307.52</v>
      </c>
      <c r="E2092">
        <v>100.93187434963579</v>
      </c>
      <c r="F2092" t="s">
        <v>427</v>
      </c>
      <c r="G2092" s="64">
        <v>43370</v>
      </c>
      <c r="H2092">
        <v>2012.98</v>
      </c>
      <c r="I2092">
        <v>100.94118173056862</v>
      </c>
      <c r="J2092">
        <v>100.93187434963579</v>
      </c>
    </row>
    <row r="2093" spans="1:10" x14ac:dyDescent="0.25">
      <c r="A2093" s="36"/>
      <c r="B2093" t="s">
        <v>451</v>
      </c>
      <c r="C2093" s="64">
        <v>43371</v>
      </c>
      <c r="D2093">
        <v>264.77</v>
      </c>
      <c r="E2093">
        <v>100.92087472145636</v>
      </c>
      <c r="F2093" t="s">
        <v>427</v>
      </c>
      <c r="G2093" s="64">
        <v>43371</v>
      </c>
      <c r="H2093">
        <v>2003</v>
      </c>
      <c r="I2093">
        <v>100.9408886669995</v>
      </c>
      <c r="J2093">
        <v>100.92087472145636</v>
      </c>
    </row>
    <row r="2094" spans="1:10" x14ac:dyDescent="0.25">
      <c r="A2094" s="36"/>
      <c r="B2094" t="s">
        <v>451</v>
      </c>
      <c r="C2094" s="64">
        <v>43374</v>
      </c>
      <c r="D2094">
        <v>310.7</v>
      </c>
      <c r="E2094">
        <v>100.93257161248793</v>
      </c>
      <c r="F2094" t="s">
        <v>427</v>
      </c>
      <c r="G2094" s="64">
        <v>43374</v>
      </c>
      <c r="H2094">
        <v>2004.36</v>
      </c>
      <c r="I2094">
        <v>100.94092877526991</v>
      </c>
      <c r="J2094">
        <v>100.93257161248793</v>
      </c>
    </row>
    <row r="2095" spans="1:10" x14ac:dyDescent="0.25">
      <c r="A2095" s="36"/>
      <c r="B2095" t="s">
        <v>451</v>
      </c>
      <c r="C2095" s="64">
        <v>43375</v>
      </c>
      <c r="D2095">
        <v>301.02</v>
      </c>
      <c r="E2095">
        <v>100.9304032954621</v>
      </c>
      <c r="F2095" t="s">
        <v>427</v>
      </c>
      <c r="G2095" s="64">
        <v>43375</v>
      </c>
      <c r="H2095">
        <v>1971.31</v>
      </c>
      <c r="I2095">
        <v>100.93993841658593</v>
      </c>
      <c r="J2095">
        <v>100.9304032954621</v>
      </c>
    </row>
    <row r="2096" spans="1:10" x14ac:dyDescent="0.25">
      <c r="A2096" s="36"/>
      <c r="B2096" t="s">
        <v>451</v>
      </c>
      <c r="C2096" s="64">
        <v>43376</v>
      </c>
      <c r="D2096">
        <v>294.8</v>
      </c>
      <c r="E2096">
        <v>100.92893487109905</v>
      </c>
      <c r="F2096" t="s">
        <v>427</v>
      </c>
      <c r="G2096" s="64">
        <v>43376</v>
      </c>
      <c r="H2096">
        <v>1952.76</v>
      </c>
      <c r="I2096">
        <v>100.93936786906737</v>
      </c>
      <c r="J2096">
        <v>100.92893487109905</v>
      </c>
    </row>
    <row r="2097" spans="1:10" x14ac:dyDescent="0.25">
      <c r="A2097" s="36"/>
      <c r="B2097" t="s">
        <v>451</v>
      </c>
      <c r="C2097" s="64">
        <v>43377</v>
      </c>
      <c r="D2097">
        <v>281.83</v>
      </c>
      <c r="E2097">
        <v>100.92566440762161</v>
      </c>
      <c r="F2097" t="s">
        <v>427</v>
      </c>
      <c r="G2097" s="64">
        <v>43377</v>
      </c>
      <c r="H2097">
        <v>1909.42</v>
      </c>
      <c r="I2097">
        <v>100.93799164144086</v>
      </c>
      <c r="J2097">
        <v>100.92566440762161</v>
      </c>
    </row>
    <row r="2098" spans="1:10" x14ac:dyDescent="0.25">
      <c r="A2098" s="36"/>
      <c r="B2098" t="s">
        <v>451</v>
      </c>
      <c r="C2098" s="64">
        <v>43378</v>
      </c>
      <c r="D2098">
        <v>261.95</v>
      </c>
      <c r="E2098">
        <v>100.92002290513457</v>
      </c>
      <c r="F2098" t="s">
        <v>427</v>
      </c>
      <c r="G2098" s="64">
        <v>43378</v>
      </c>
      <c r="H2098">
        <v>1889.65</v>
      </c>
      <c r="I2098">
        <v>100.93734289418676</v>
      </c>
      <c r="J2098">
        <v>100.92002290513457</v>
      </c>
    </row>
    <row r="2099" spans="1:10" x14ac:dyDescent="0.25">
      <c r="A2099" s="36"/>
      <c r="B2099" t="s">
        <v>451</v>
      </c>
      <c r="C2099" s="64">
        <v>43381</v>
      </c>
      <c r="D2099">
        <v>250.56</v>
      </c>
      <c r="E2099">
        <v>100.91638729246488</v>
      </c>
      <c r="F2099" t="s">
        <v>427</v>
      </c>
      <c r="G2099" s="64">
        <v>43381</v>
      </c>
      <c r="H2099">
        <v>1864.42</v>
      </c>
      <c r="I2099">
        <v>100.93649499576276</v>
      </c>
      <c r="J2099">
        <v>100.91638729246488</v>
      </c>
    </row>
    <row r="2100" spans="1:10" x14ac:dyDescent="0.25">
      <c r="A2100" s="36"/>
      <c r="B2100" t="s">
        <v>451</v>
      </c>
      <c r="C2100" s="64">
        <v>43382</v>
      </c>
      <c r="D2100">
        <v>262.8</v>
      </c>
      <c r="E2100">
        <v>100.92028158295281</v>
      </c>
      <c r="F2100" t="s">
        <v>427</v>
      </c>
      <c r="G2100" s="64">
        <v>43382</v>
      </c>
      <c r="H2100">
        <v>1870.32</v>
      </c>
      <c r="I2100">
        <v>100.93669532486419</v>
      </c>
      <c r="J2100">
        <v>100.92028158295281</v>
      </c>
    </row>
    <row r="2101" spans="1:10" x14ac:dyDescent="0.25">
      <c r="A2101" s="36"/>
      <c r="B2101" t="s">
        <v>451</v>
      </c>
      <c r="C2101" s="64">
        <v>43383</v>
      </c>
      <c r="D2101">
        <v>256.88</v>
      </c>
      <c r="E2101">
        <v>100.91844440984117</v>
      </c>
      <c r="F2101" t="s">
        <v>427</v>
      </c>
      <c r="G2101" s="64">
        <v>43383</v>
      </c>
      <c r="H2101">
        <v>1755.25</v>
      </c>
      <c r="I2101">
        <v>100.93254522147842</v>
      </c>
      <c r="J2101">
        <v>100.91844440984117</v>
      </c>
    </row>
    <row r="2102" spans="1:10" x14ac:dyDescent="0.25">
      <c r="A2102" s="36"/>
      <c r="B2102" t="s">
        <v>451</v>
      </c>
      <c r="C2102" s="64">
        <v>43384</v>
      </c>
      <c r="D2102">
        <v>252.23</v>
      </c>
      <c r="E2102">
        <v>100.91694088728542</v>
      </c>
      <c r="F2102" t="s">
        <v>427</v>
      </c>
      <c r="G2102" s="64">
        <v>43384</v>
      </c>
      <c r="H2102">
        <v>1719.36</v>
      </c>
      <c r="I2102">
        <v>100.93113716731807</v>
      </c>
      <c r="J2102">
        <v>100.91694088728542</v>
      </c>
    </row>
    <row r="2103" spans="1:10" x14ac:dyDescent="0.25">
      <c r="A2103" s="36"/>
      <c r="B2103" t="s">
        <v>451</v>
      </c>
      <c r="C2103" s="64">
        <v>43385</v>
      </c>
      <c r="D2103">
        <v>258.77999999999997</v>
      </c>
      <c r="E2103">
        <v>100.91904320272046</v>
      </c>
      <c r="F2103" t="s">
        <v>427</v>
      </c>
      <c r="G2103" s="64">
        <v>43385</v>
      </c>
      <c r="H2103">
        <v>1788.61</v>
      </c>
      <c r="I2103">
        <v>100.93380334449657</v>
      </c>
      <c r="J2103">
        <v>100.91904320272046</v>
      </c>
    </row>
    <row r="2104" spans="1:10" x14ac:dyDescent="0.25">
      <c r="A2104" s="36"/>
      <c r="B2104" t="s">
        <v>451</v>
      </c>
      <c r="C2104" s="64">
        <v>43388</v>
      </c>
      <c r="D2104">
        <v>259.58999999999997</v>
      </c>
      <c r="E2104">
        <v>100.91929581262761</v>
      </c>
      <c r="F2104" t="s">
        <v>427</v>
      </c>
      <c r="G2104" s="64">
        <v>43388</v>
      </c>
      <c r="H2104">
        <v>1760.95</v>
      </c>
      <c r="I2104">
        <v>100.93276356512109</v>
      </c>
      <c r="J2104">
        <v>100.91929581262761</v>
      </c>
    </row>
    <row r="2105" spans="1:10" x14ac:dyDescent="0.25">
      <c r="A2105" s="36"/>
      <c r="B2105" t="s">
        <v>451</v>
      </c>
      <c r="C2105" s="64">
        <v>43389</v>
      </c>
      <c r="D2105">
        <v>276.58999999999997</v>
      </c>
      <c r="E2105">
        <v>100.92425611916555</v>
      </c>
      <c r="F2105" t="s">
        <v>427</v>
      </c>
      <c r="G2105" s="64">
        <v>43389</v>
      </c>
      <c r="H2105">
        <v>1819.96</v>
      </c>
      <c r="I2105">
        <v>100.93494362513462</v>
      </c>
      <c r="J2105">
        <v>100.92425611916555</v>
      </c>
    </row>
    <row r="2106" spans="1:10" x14ac:dyDescent="0.25">
      <c r="A2106" s="36"/>
      <c r="B2106" t="s">
        <v>451</v>
      </c>
      <c r="C2106" s="64">
        <v>43390</v>
      </c>
      <c r="D2106">
        <v>271.77999999999997</v>
      </c>
      <c r="E2106">
        <v>100.92291559349474</v>
      </c>
      <c r="F2106" t="s">
        <v>427</v>
      </c>
      <c r="G2106" s="64">
        <v>43390</v>
      </c>
      <c r="H2106">
        <v>1831.73</v>
      </c>
      <c r="I2106">
        <v>100.93536165264531</v>
      </c>
      <c r="J2106">
        <v>100.92291559349474</v>
      </c>
    </row>
    <row r="2107" spans="1:10" x14ac:dyDescent="0.25">
      <c r="A2107" s="36"/>
      <c r="B2107" t="s">
        <v>451</v>
      </c>
      <c r="C2107" s="64">
        <v>43391</v>
      </c>
      <c r="D2107">
        <v>263.91000000000003</v>
      </c>
      <c r="E2107">
        <v>100.92061687696564</v>
      </c>
      <c r="F2107" t="s">
        <v>427</v>
      </c>
      <c r="G2107" s="64">
        <v>43391</v>
      </c>
      <c r="H2107">
        <v>1770.72</v>
      </c>
      <c r="I2107">
        <v>100.93313454414023</v>
      </c>
      <c r="J2107">
        <v>100.92061687696564</v>
      </c>
    </row>
    <row r="2108" spans="1:10" x14ac:dyDescent="0.25">
      <c r="A2108" s="36"/>
      <c r="B2108" t="s">
        <v>451</v>
      </c>
      <c r="C2108" s="64">
        <v>43392</v>
      </c>
      <c r="D2108">
        <v>260</v>
      </c>
      <c r="E2108">
        <v>100.91942307692308</v>
      </c>
      <c r="F2108" t="s">
        <v>427</v>
      </c>
      <c r="G2108" s="64">
        <v>43392</v>
      </c>
      <c r="H2108">
        <v>1764.03</v>
      </c>
      <c r="I2108">
        <v>100.93288096007437</v>
      </c>
      <c r="J2108">
        <v>100.91942307692308</v>
      </c>
    </row>
    <row r="2109" spans="1:10" x14ac:dyDescent="0.25">
      <c r="A2109" s="36"/>
      <c r="B2109" t="s">
        <v>451</v>
      </c>
      <c r="C2109" s="64">
        <v>43395</v>
      </c>
      <c r="D2109">
        <v>260.95</v>
      </c>
      <c r="E2109">
        <v>100.91971642077026</v>
      </c>
      <c r="F2109" t="s">
        <v>427</v>
      </c>
      <c r="G2109" s="64">
        <v>43395</v>
      </c>
      <c r="H2109">
        <v>1789.3</v>
      </c>
      <c r="I2109">
        <v>100.93382887162578</v>
      </c>
      <c r="J2109">
        <v>100.91971642077026</v>
      </c>
    </row>
    <row r="2110" spans="1:10" x14ac:dyDescent="0.25">
      <c r="A2110" s="36"/>
      <c r="B2110" t="s">
        <v>451</v>
      </c>
      <c r="C2110" s="64">
        <v>43396</v>
      </c>
      <c r="D2110">
        <v>294.14</v>
      </c>
      <c r="E2110">
        <v>100.92877541306861</v>
      </c>
      <c r="F2110" t="s">
        <v>427</v>
      </c>
      <c r="G2110" s="64">
        <v>43396</v>
      </c>
      <c r="H2110">
        <v>1768.7</v>
      </c>
      <c r="I2110">
        <v>100.93305817832307</v>
      </c>
      <c r="J2110">
        <v>100.92877541306861</v>
      </c>
    </row>
    <row r="2111" spans="1:10" x14ac:dyDescent="0.25">
      <c r="A2111" s="36"/>
      <c r="B2111" t="s">
        <v>451</v>
      </c>
      <c r="C2111" s="64">
        <v>43397</v>
      </c>
      <c r="D2111">
        <v>288.5</v>
      </c>
      <c r="E2111">
        <v>100.92738301559793</v>
      </c>
      <c r="F2111" t="s">
        <v>427</v>
      </c>
      <c r="G2111" s="64">
        <v>43397</v>
      </c>
      <c r="H2111">
        <v>1664.2</v>
      </c>
      <c r="I2111">
        <v>100.92885470496334</v>
      </c>
      <c r="J2111">
        <v>100.92738301559793</v>
      </c>
    </row>
    <row r="2112" spans="1:10" x14ac:dyDescent="0.25">
      <c r="A2112" s="36"/>
      <c r="B2112" t="s">
        <v>451</v>
      </c>
      <c r="C2112" s="64">
        <v>43398</v>
      </c>
      <c r="D2112">
        <v>314.86</v>
      </c>
      <c r="E2112">
        <v>100.93346249126596</v>
      </c>
      <c r="F2112" t="s">
        <v>427</v>
      </c>
      <c r="G2112" s="64">
        <v>43398</v>
      </c>
      <c r="H2112">
        <v>1782.17</v>
      </c>
      <c r="I2112">
        <v>100.9335641381013</v>
      </c>
      <c r="J2112">
        <v>100.93346249126596</v>
      </c>
    </row>
    <row r="2113" spans="1:10" x14ac:dyDescent="0.25">
      <c r="A2113" s="36"/>
      <c r="B2113" t="s">
        <v>451</v>
      </c>
      <c r="C2113" s="64">
        <v>43399</v>
      </c>
      <c r="D2113">
        <v>330.9</v>
      </c>
      <c r="E2113">
        <v>100.93668782109398</v>
      </c>
      <c r="F2113" t="s">
        <v>427</v>
      </c>
      <c r="G2113" s="64">
        <v>43399</v>
      </c>
      <c r="H2113">
        <v>1642.81</v>
      </c>
      <c r="I2113">
        <v>100.92792836664009</v>
      </c>
      <c r="J2113">
        <v>100.92792836664009</v>
      </c>
    </row>
    <row r="2114" spans="1:10" x14ac:dyDescent="0.25">
      <c r="A2114" s="36"/>
      <c r="B2114" t="s">
        <v>451</v>
      </c>
      <c r="C2114" s="64">
        <v>43402</v>
      </c>
      <c r="D2114">
        <v>334.85</v>
      </c>
      <c r="E2114">
        <v>100.9374346722413</v>
      </c>
      <c r="F2114" t="s">
        <v>427</v>
      </c>
      <c r="G2114" s="64">
        <v>43402</v>
      </c>
      <c r="H2114">
        <v>1538.88</v>
      </c>
      <c r="I2114">
        <v>100.92306092742774</v>
      </c>
      <c r="J2114">
        <v>100.92306092742774</v>
      </c>
    </row>
    <row r="2115" spans="1:10" x14ac:dyDescent="0.25">
      <c r="A2115" s="36"/>
      <c r="B2115" t="s">
        <v>451</v>
      </c>
      <c r="C2115" s="64">
        <v>43403</v>
      </c>
      <c r="D2115">
        <v>329.9</v>
      </c>
      <c r="E2115">
        <v>100.93649590785087</v>
      </c>
      <c r="F2115" t="s">
        <v>427</v>
      </c>
      <c r="G2115" s="64">
        <v>43403</v>
      </c>
      <c r="H2115">
        <v>1530.42</v>
      </c>
      <c r="I2115">
        <v>100.92263561636675</v>
      </c>
      <c r="J2115">
        <v>100.92263561636675</v>
      </c>
    </row>
    <row r="2116" spans="1:10" x14ac:dyDescent="0.25">
      <c r="A2116" s="36"/>
      <c r="B2116" t="s">
        <v>451</v>
      </c>
      <c r="C2116" s="64">
        <v>43404</v>
      </c>
      <c r="D2116">
        <v>337.32</v>
      </c>
      <c r="E2116">
        <v>100.93789280208703</v>
      </c>
      <c r="F2116" t="s">
        <v>427</v>
      </c>
      <c r="G2116" s="64">
        <v>43404</v>
      </c>
      <c r="H2116">
        <v>1598.01</v>
      </c>
      <c r="I2116">
        <v>100.92590784788581</v>
      </c>
      <c r="J2116">
        <v>100.92590784788581</v>
      </c>
    </row>
    <row r="2117" spans="1:10" x14ac:dyDescent="0.25">
      <c r="A2117" s="36"/>
      <c r="B2117" t="s">
        <v>451</v>
      </c>
      <c r="C2117" s="64">
        <v>43405</v>
      </c>
      <c r="D2117">
        <v>344.28</v>
      </c>
      <c r="E2117">
        <v>100.93914836760776</v>
      </c>
      <c r="F2117" t="s">
        <v>427</v>
      </c>
      <c r="G2117" s="64">
        <v>43405</v>
      </c>
      <c r="H2117">
        <v>1665.53</v>
      </c>
      <c r="I2117">
        <v>100.92891151765504</v>
      </c>
      <c r="J2117">
        <v>100.92891151765504</v>
      </c>
    </row>
    <row r="2118" spans="1:10" x14ac:dyDescent="0.25">
      <c r="A2118" s="36"/>
      <c r="B2118" t="s">
        <v>451</v>
      </c>
      <c r="C2118" s="64">
        <v>43406</v>
      </c>
      <c r="D2118">
        <v>346.41</v>
      </c>
      <c r="E2118">
        <v>100.93952253110476</v>
      </c>
      <c r="F2118" t="s">
        <v>427</v>
      </c>
      <c r="G2118" s="64">
        <v>43406</v>
      </c>
      <c r="H2118">
        <v>1665.53</v>
      </c>
      <c r="I2118">
        <v>100.92891151765504</v>
      </c>
      <c r="J2118">
        <v>100.92891151765504</v>
      </c>
    </row>
    <row r="2119" spans="1:10" x14ac:dyDescent="0.25">
      <c r="A2119" s="36"/>
      <c r="B2119" t="s">
        <v>451</v>
      </c>
      <c r="C2119" s="64">
        <v>43409</v>
      </c>
      <c r="D2119">
        <v>341.4</v>
      </c>
      <c r="E2119">
        <v>100.93863503222028</v>
      </c>
      <c r="F2119" t="s">
        <v>427</v>
      </c>
      <c r="G2119" s="64">
        <v>43409</v>
      </c>
      <c r="H2119">
        <v>1627.8</v>
      </c>
      <c r="I2119">
        <v>100.92726379162059</v>
      </c>
      <c r="J2119">
        <v>100.92726379162059</v>
      </c>
    </row>
    <row r="2120" spans="1:10" x14ac:dyDescent="0.25">
      <c r="A2120" s="36"/>
      <c r="B2120" t="s">
        <v>451</v>
      </c>
      <c r="C2120" s="64">
        <v>43410</v>
      </c>
      <c r="D2120">
        <v>341.06</v>
      </c>
      <c r="E2120">
        <v>100.9385738579722</v>
      </c>
      <c r="F2120" t="s">
        <v>427</v>
      </c>
      <c r="G2120" s="64">
        <v>43410</v>
      </c>
      <c r="H2120">
        <v>1642.81</v>
      </c>
      <c r="I2120">
        <v>100.92792836664009</v>
      </c>
      <c r="J2120">
        <v>100.92792836664009</v>
      </c>
    </row>
    <row r="2121" spans="1:10" x14ac:dyDescent="0.25">
      <c r="A2121" s="36"/>
      <c r="B2121" t="s">
        <v>451</v>
      </c>
      <c r="C2121" s="64">
        <v>43411</v>
      </c>
      <c r="D2121">
        <v>348.16</v>
      </c>
      <c r="E2121">
        <v>100.93982651654412</v>
      </c>
      <c r="F2121" t="s">
        <v>427</v>
      </c>
      <c r="G2121" s="64">
        <v>43411</v>
      </c>
      <c r="H2121">
        <v>1755.49</v>
      </c>
      <c r="I2121">
        <v>100.93255444348871</v>
      </c>
      <c r="J2121">
        <v>100.93255444348871</v>
      </c>
    </row>
    <row r="2122" spans="1:10" x14ac:dyDescent="0.25">
      <c r="A2122" s="36"/>
      <c r="B2122" t="s">
        <v>451</v>
      </c>
      <c r="C2122" s="64">
        <v>43412</v>
      </c>
      <c r="D2122">
        <v>351.4</v>
      </c>
      <c r="E2122">
        <v>100.9403813318156</v>
      </c>
      <c r="F2122" t="s">
        <v>427</v>
      </c>
      <c r="G2122" s="64">
        <v>43412</v>
      </c>
      <c r="H2122">
        <v>1754.91</v>
      </c>
      <c r="I2122">
        <v>100.932532152646</v>
      </c>
      <c r="J2122">
        <v>100.932532152646</v>
      </c>
    </row>
    <row r="2123" spans="1:10" x14ac:dyDescent="0.25">
      <c r="A2123" s="36"/>
      <c r="B2123" t="s">
        <v>451</v>
      </c>
      <c r="C2123" s="64">
        <v>43413</v>
      </c>
      <c r="D2123">
        <v>350.51</v>
      </c>
      <c r="E2123">
        <v>100.94022995064334</v>
      </c>
      <c r="F2123" t="s">
        <v>427</v>
      </c>
      <c r="G2123" s="64">
        <v>43413</v>
      </c>
      <c r="H2123">
        <v>1712.43</v>
      </c>
      <c r="I2123">
        <v>100.9308584876462</v>
      </c>
      <c r="J2123">
        <v>100.9308584876462</v>
      </c>
    </row>
    <row r="2124" spans="1:10" x14ac:dyDescent="0.25">
      <c r="A2124" s="36"/>
      <c r="B2124" t="s">
        <v>451</v>
      </c>
      <c r="C2124" s="64">
        <v>43416</v>
      </c>
      <c r="D2124">
        <v>331.28</v>
      </c>
      <c r="E2124">
        <v>100.93676044433711</v>
      </c>
      <c r="F2124" t="s">
        <v>427</v>
      </c>
      <c r="G2124" s="64">
        <v>43416</v>
      </c>
      <c r="H2124">
        <v>1636.85</v>
      </c>
      <c r="I2124">
        <v>100.92766594373339</v>
      </c>
      <c r="J2124">
        <v>100.92766594373339</v>
      </c>
    </row>
    <row r="2125" spans="1:10" x14ac:dyDescent="0.25">
      <c r="A2125" s="36"/>
      <c r="B2125" t="s">
        <v>451</v>
      </c>
      <c r="C2125" s="64">
        <v>43417</v>
      </c>
      <c r="D2125">
        <v>338.73</v>
      </c>
      <c r="E2125">
        <v>100.93815132996782</v>
      </c>
      <c r="F2125" t="s">
        <v>427</v>
      </c>
      <c r="G2125" s="64">
        <v>43417</v>
      </c>
      <c r="H2125">
        <v>1631.17</v>
      </c>
      <c r="I2125">
        <v>100.92741406475106</v>
      </c>
      <c r="J2125">
        <v>100.92741406475106</v>
      </c>
    </row>
    <row r="2126" spans="1:10" x14ac:dyDescent="0.25">
      <c r="A2126" s="36"/>
      <c r="B2126" t="s">
        <v>451</v>
      </c>
      <c r="C2126" s="64">
        <v>43418</v>
      </c>
      <c r="D2126">
        <v>344</v>
      </c>
      <c r="E2126">
        <v>100.9390988372093</v>
      </c>
      <c r="F2126" t="s">
        <v>427</v>
      </c>
      <c r="G2126" s="64">
        <v>43418</v>
      </c>
      <c r="H2126">
        <v>1599.01</v>
      </c>
      <c r="I2126">
        <v>100.92595418415145</v>
      </c>
      <c r="J2126">
        <v>100.92595418415145</v>
      </c>
    </row>
    <row r="2127" spans="1:10" x14ac:dyDescent="0.25">
      <c r="A2127" s="36"/>
      <c r="B2127" t="s">
        <v>451</v>
      </c>
      <c r="C2127" s="64">
        <v>43419</v>
      </c>
      <c r="D2127">
        <v>348.44</v>
      </c>
      <c r="E2127">
        <v>100.93987487085295</v>
      </c>
      <c r="F2127" t="s">
        <v>427</v>
      </c>
      <c r="G2127" s="64">
        <v>43419</v>
      </c>
      <c r="H2127">
        <v>1619.44</v>
      </c>
      <c r="I2127">
        <v>100.92688830706911</v>
      </c>
      <c r="J2127">
        <v>100.92688830706911</v>
      </c>
    </row>
    <row r="2128" spans="1:10" x14ac:dyDescent="0.25">
      <c r="A2128" s="36"/>
      <c r="B2128" t="s">
        <v>451</v>
      </c>
      <c r="C2128" s="64">
        <v>43420</v>
      </c>
      <c r="D2128">
        <v>354.31</v>
      </c>
      <c r="E2128">
        <v>100.94087098868222</v>
      </c>
      <c r="F2128" t="s">
        <v>427</v>
      </c>
      <c r="G2128" s="64">
        <v>43420</v>
      </c>
      <c r="H2128">
        <v>1593.41</v>
      </c>
      <c r="I2128">
        <v>100.92569395196466</v>
      </c>
      <c r="J2128">
        <v>100.92569395196466</v>
      </c>
    </row>
    <row r="2129" spans="1:10" x14ac:dyDescent="0.25">
      <c r="A2129" s="36"/>
      <c r="B2129" t="s">
        <v>451</v>
      </c>
      <c r="C2129" s="64">
        <v>43423</v>
      </c>
      <c r="D2129">
        <v>353.47</v>
      </c>
      <c r="E2129">
        <v>100.94073047217586</v>
      </c>
      <c r="F2129" t="s">
        <v>427</v>
      </c>
      <c r="G2129" s="64">
        <v>43423</v>
      </c>
      <c r="H2129">
        <v>1512.29</v>
      </c>
      <c r="I2129">
        <v>100.92170813798941</v>
      </c>
      <c r="J2129">
        <v>100.92170813798941</v>
      </c>
    </row>
    <row r="2130" spans="1:10" x14ac:dyDescent="0.25">
      <c r="A2130" s="36"/>
      <c r="B2130" t="s">
        <v>451</v>
      </c>
      <c r="C2130" s="64">
        <v>43424</v>
      </c>
      <c r="D2130">
        <v>347.49</v>
      </c>
      <c r="E2130">
        <v>100.93971049526606</v>
      </c>
      <c r="F2130" t="s">
        <v>427</v>
      </c>
      <c r="G2130" s="64">
        <v>43424</v>
      </c>
      <c r="H2130">
        <v>1495.46</v>
      </c>
      <c r="I2130">
        <v>100.92082703649713</v>
      </c>
      <c r="J2130">
        <v>100.92082703649713</v>
      </c>
    </row>
    <row r="2131" spans="1:10" x14ac:dyDescent="0.25">
      <c r="A2131" s="36"/>
      <c r="B2131" t="s">
        <v>451</v>
      </c>
      <c r="C2131" s="64">
        <v>43425</v>
      </c>
      <c r="D2131">
        <v>338.19</v>
      </c>
      <c r="E2131">
        <v>100.93805257399687</v>
      </c>
      <c r="F2131" t="s">
        <v>427</v>
      </c>
      <c r="G2131" s="64">
        <v>43425</v>
      </c>
      <c r="H2131">
        <v>1516.73</v>
      </c>
      <c r="I2131">
        <v>100.92193732569409</v>
      </c>
      <c r="J2131">
        <v>100.92193732569409</v>
      </c>
    </row>
    <row r="2132" spans="1:10" x14ac:dyDescent="0.25">
      <c r="A2132" s="36"/>
      <c r="B2132" t="s">
        <v>451</v>
      </c>
      <c r="C2132" s="64">
        <v>43427</v>
      </c>
      <c r="D2132">
        <v>325.83</v>
      </c>
      <c r="E2132">
        <v>100.93570266703496</v>
      </c>
      <c r="F2132" t="s">
        <v>427</v>
      </c>
      <c r="G2132" s="64">
        <v>43427</v>
      </c>
      <c r="H2132">
        <v>1502.06</v>
      </c>
      <c r="I2132">
        <v>100.92117491977685</v>
      </c>
      <c r="J2132">
        <v>100.92117491977685</v>
      </c>
    </row>
    <row r="2133" spans="1:10" x14ac:dyDescent="0.25">
      <c r="A2133" s="36"/>
      <c r="B2133" t="s">
        <v>451</v>
      </c>
      <c r="C2133" s="64">
        <v>43430</v>
      </c>
      <c r="D2133">
        <v>346</v>
      </c>
      <c r="E2133">
        <v>100.93945086705202</v>
      </c>
      <c r="F2133" t="s">
        <v>427</v>
      </c>
      <c r="G2133" s="64">
        <v>43430</v>
      </c>
      <c r="H2133">
        <v>1581.33</v>
      </c>
      <c r="I2133">
        <v>100.9251263177199</v>
      </c>
      <c r="J2133">
        <v>100.9251263177199</v>
      </c>
    </row>
    <row r="2134" spans="1:10" x14ac:dyDescent="0.25">
      <c r="A2134" s="36"/>
      <c r="B2134" t="s">
        <v>451</v>
      </c>
      <c r="C2134" s="64">
        <v>43431</v>
      </c>
      <c r="D2134">
        <v>343.92</v>
      </c>
      <c r="E2134">
        <v>100.93908467085369</v>
      </c>
      <c r="F2134" t="s">
        <v>427</v>
      </c>
      <c r="G2134" s="64">
        <v>43431</v>
      </c>
      <c r="H2134">
        <v>1581.42</v>
      </c>
      <c r="I2134">
        <v>100.92513057884686</v>
      </c>
      <c r="J2134">
        <v>100.92513057884686</v>
      </c>
    </row>
    <row r="2135" spans="1:10" x14ac:dyDescent="0.25">
      <c r="A2135" s="36"/>
      <c r="B2135" t="s">
        <v>451</v>
      </c>
      <c r="C2135" s="64">
        <v>43432</v>
      </c>
      <c r="D2135">
        <v>347.87</v>
      </c>
      <c r="E2135">
        <v>100.9397763532354</v>
      </c>
      <c r="F2135" t="s">
        <v>427</v>
      </c>
      <c r="G2135" s="64">
        <v>43432</v>
      </c>
      <c r="H2135">
        <v>1677.75</v>
      </c>
      <c r="I2135">
        <v>100.92942929518701</v>
      </c>
      <c r="J2135">
        <v>100.92942929518701</v>
      </c>
    </row>
    <row r="2136" spans="1:10" x14ac:dyDescent="0.25">
      <c r="A2136" s="36"/>
      <c r="B2136" t="s">
        <v>451</v>
      </c>
      <c r="C2136" s="64">
        <v>43433</v>
      </c>
      <c r="D2136">
        <v>341.17</v>
      </c>
      <c r="E2136">
        <v>100.93859366298327</v>
      </c>
      <c r="F2136" t="s">
        <v>427</v>
      </c>
      <c r="G2136" s="64">
        <v>43433</v>
      </c>
      <c r="H2136">
        <v>1673.57</v>
      </c>
      <c r="I2136">
        <v>100.92925303393345</v>
      </c>
      <c r="J2136">
        <v>100.92925303393345</v>
      </c>
    </row>
    <row r="2137" spans="1:10" x14ac:dyDescent="0.25">
      <c r="A2137" s="36"/>
      <c r="B2137" t="s">
        <v>451</v>
      </c>
      <c r="C2137" s="64">
        <v>43434</v>
      </c>
      <c r="D2137">
        <v>350.48</v>
      </c>
      <c r="E2137">
        <v>100.94022483451266</v>
      </c>
      <c r="F2137" t="s">
        <v>427</v>
      </c>
      <c r="G2137" s="64">
        <v>43434</v>
      </c>
      <c r="H2137">
        <v>1690.17</v>
      </c>
      <c r="I2137">
        <v>100.92994787506582</v>
      </c>
      <c r="J2137">
        <v>100.92994787506582</v>
      </c>
    </row>
    <row r="2138" spans="1:10" x14ac:dyDescent="0.25">
      <c r="A2138" s="36"/>
      <c r="B2138" t="s">
        <v>451</v>
      </c>
      <c r="C2138" s="64">
        <v>43437</v>
      </c>
      <c r="D2138">
        <v>358.49</v>
      </c>
      <c r="E2138">
        <v>100.94156043404278</v>
      </c>
      <c r="F2138" t="s">
        <v>427</v>
      </c>
      <c r="G2138" s="64">
        <v>43437</v>
      </c>
      <c r="H2138">
        <v>1772.36</v>
      </c>
      <c r="I2138">
        <v>100.933196416078</v>
      </c>
      <c r="J2138">
        <v>100.933196416078</v>
      </c>
    </row>
    <row r="2139" spans="1:10" x14ac:dyDescent="0.25">
      <c r="A2139" s="36"/>
      <c r="B2139" t="s">
        <v>451</v>
      </c>
      <c r="C2139" s="64">
        <v>43438</v>
      </c>
      <c r="D2139">
        <v>359.7</v>
      </c>
      <c r="E2139">
        <v>100.94175701973867</v>
      </c>
      <c r="F2139" t="s">
        <v>427</v>
      </c>
      <c r="G2139" s="64">
        <v>43438</v>
      </c>
      <c r="H2139">
        <v>1668.4</v>
      </c>
      <c r="I2139">
        <v>100.92903380484296</v>
      </c>
      <c r="J2139">
        <v>100.92903380484296</v>
      </c>
    </row>
    <row r="2140" spans="1:10" x14ac:dyDescent="0.25">
      <c r="A2140" s="36"/>
      <c r="B2140" t="s">
        <v>451</v>
      </c>
      <c r="C2140" s="64">
        <v>43440</v>
      </c>
      <c r="D2140">
        <v>363.06</v>
      </c>
      <c r="E2140">
        <v>100.94229603922217</v>
      </c>
      <c r="F2140" t="s">
        <v>427</v>
      </c>
      <c r="G2140" s="64">
        <v>43440</v>
      </c>
      <c r="H2140">
        <v>1699.19</v>
      </c>
      <c r="I2140">
        <v>100.93031974058228</v>
      </c>
      <c r="J2140">
        <v>100.93031974058228</v>
      </c>
    </row>
    <row r="2141" spans="1:10" x14ac:dyDescent="0.25">
      <c r="A2141" s="36"/>
      <c r="B2141" t="s">
        <v>451</v>
      </c>
      <c r="C2141" s="64">
        <v>43441</v>
      </c>
      <c r="D2141">
        <v>357.96499999999997</v>
      </c>
      <c r="E2141">
        <v>100.94147472518263</v>
      </c>
      <c r="F2141" t="s">
        <v>427</v>
      </c>
      <c r="G2141" s="64">
        <v>43441</v>
      </c>
      <c r="H2141">
        <v>1629.13</v>
      </c>
      <c r="I2141">
        <v>100.92732317249084</v>
      </c>
      <c r="J2141">
        <v>100.92732317249084</v>
      </c>
    </row>
    <row r="2142" spans="1:10" x14ac:dyDescent="0.25">
      <c r="A2142" s="36"/>
      <c r="B2142" t="s">
        <v>451</v>
      </c>
      <c r="C2142" s="64">
        <v>43444</v>
      </c>
      <c r="D2142">
        <v>365.15</v>
      </c>
      <c r="E2142">
        <v>100.94262631795152</v>
      </c>
      <c r="F2142" t="s">
        <v>427</v>
      </c>
      <c r="G2142" s="64">
        <v>43444</v>
      </c>
      <c r="H2142">
        <v>1641.03</v>
      </c>
      <c r="I2142">
        <v>100.92785019164793</v>
      </c>
      <c r="J2142">
        <v>100.92785019164793</v>
      </c>
    </row>
    <row r="2143" spans="1:10" x14ac:dyDescent="0.25">
      <c r="A2143" s="36"/>
      <c r="B2143" t="s">
        <v>451</v>
      </c>
      <c r="C2143" s="64">
        <v>43445</v>
      </c>
      <c r="D2143">
        <v>366.76</v>
      </c>
      <c r="E2143">
        <v>100.94287817646418</v>
      </c>
      <c r="F2143" t="s">
        <v>427</v>
      </c>
      <c r="G2143" s="64">
        <v>43445</v>
      </c>
      <c r="H2143">
        <v>1643.24</v>
      </c>
      <c r="I2143">
        <v>100.92794722621163</v>
      </c>
      <c r="J2143">
        <v>100.92794722621163</v>
      </c>
    </row>
    <row r="2144" spans="1:10" x14ac:dyDescent="0.25">
      <c r="A2144" s="36"/>
      <c r="B2144" t="s">
        <v>451</v>
      </c>
      <c r="C2144" s="64">
        <v>43446</v>
      </c>
      <c r="D2144">
        <v>366.6</v>
      </c>
      <c r="E2144">
        <v>100.94285324604473</v>
      </c>
      <c r="F2144" t="s">
        <v>427</v>
      </c>
      <c r="G2144" s="64">
        <v>43446</v>
      </c>
      <c r="H2144">
        <v>1663.54</v>
      </c>
      <c r="I2144">
        <v>100.92882647847361</v>
      </c>
      <c r="J2144">
        <v>100.92882647847361</v>
      </c>
    </row>
    <row r="2145" spans="1:10" x14ac:dyDescent="0.25">
      <c r="A2145" s="36"/>
      <c r="B2145" t="s">
        <v>451</v>
      </c>
      <c r="C2145" s="64">
        <v>43447</v>
      </c>
      <c r="D2145">
        <v>376.79</v>
      </c>
      <c r="E2145">
        <v>100.94439873669684</v>
      </c>
      <c r="F2145" t="s">
        <v>427</v>
      </c>
      <c r="G2145" s="64">
        <v>43447</v>
      </c>
      <c r="H2145">
        <v>1658.38</v>
      </c>
      <c r="I2145">
        <v>100.92860502418023</v>
      </c>
      <c r="J2145">
        <v>100.92860502418023</v>
      </c>
    </row>
    <row r="2146" spans="1:10" x14ac:dyDescent="0.25">
      <c r="A2146" s="36"/>
      <c r="B2146" t="s">
        <v>451</v>
      </c>
      <c r="C2146" s="64">
        <v>43448</v>
      </c>
      <c r="D2146">
        <v>365.71</v>
      </c>
      <c r="E2146">
        <v>100.94271417243171</v>
      </c>
      <c r="F2146" t="s">
        <v>427</v>
      </c>
      <c r="G2146" s="64">
        <v>43448</v>
      </c>
      <c r="H2146">
        <v>1591.91</v>
      </c>
      <c r="I2146">
        <v>100.92562393602654</v>
      </c>
      <c r="J2146">
        <v>100.92562393602654</v>
      </c>
    </row>
    <row r="2147" spans="1:10" x14ac:dyDescent="0.25">
      <c r="A2147" s="36"/>
      <c r="B2147" t="s">
        <v>451</v>
      </c>
      <c r="C2147" s="64">
        <v>43451</v>
      </c>
      <c r="D2147">
        <v>348.42</v>
      </c>
      <c r="E2147">
        <v>100.93987141955111</v>
      </c>
      <c r="F2147" t="s">
        <v>427</v>
      </c>
      <c r="G2147" s="64">
        <v>43451</v>
      </c>
      <c r="H2147">
        <v>1520.91</v>
      </c>
      <c r="I2147">
        <v>100.92215186960438</v>
      </c>
      <c r="J2147">
        <v>100.92215186960438</v>
      </c>
    </row>
    <row r="2148" spans="1:10" x14ac:dyDescent="0.25">
      <c r="A2148" s="36"/>
      <c r="B2148" t="s">
        <v>451</v>
      </c>
      <c r="C2148" s="64">
        <v>43452</v>
      </c>
      <c r="D2148">
        <v>337.03</v>
      </c>
      <c r="E2148">
        <v>100.93783936148117</v>
      </c>
      <c r="F2148" t="s">
        <v>427</v>
      </c>
      <c r="G2148" s="64">
        <v>43452</v>
      </c>
      <c r="H2148">
        <v>1551.48</v>
      </c>
      <c r="I2148">
        <v>100.92368577100575</v>
      </c>
      <c r="J2148">
        <v>100.92368577100575</v>
      </c>
    </row>
    <row r="2149" spans="1:10" x14ac:dyDescent="0.25">
      <c r="A2149" s="36"/>
      <c r="B2149" t="s">
        <v>451</v>
      </c>
      <c r="C2149" s="64">
        <v>43453</v>
      </c>
      <c r="D2149">
        <v>332.97</v>
      </c>
      <c r="E2149">
        <v>100.93708141874643</v>
      </c>
      <c r="F2149" t="s">
        <v>427</v>
      </c>
      <c r="G2149" s="64">
        <v>43453</v>
      </c>
      <c r="H2149">
        <v>1495.08</v>
      </c>
      <c r="I2149">
        <v>100.92080691334243</v>
      </c>
      <c r="J2149">
        <v>100.92080691334243</v>
      </c>
    </row>
    <row r="2150" spans="1:10" x14ac:dyDescent="0.25">
      <c r="A2150" s="36"/>
      <c r="B2150" t="s">
        <v>451</v>
      </c>
      <c r="C2150" s="64">
        <v>43454</v>
      </c>
      <c r="D2150">
        <v>315.38</v>
      </c>
      <c r="E2150">
        <v>100.93357219861754</v>
      </c>
      <c r="F2150" t="s">
        <v>427</v>
      </c>
      <c r="G2150" s="64">
        <v>43454</v>
      </c>
      <c r="H2150">
        <v>1460.83</v>
      </c>
      <c r="I2150">
        <v>100.91895018585325</v>
      </c>
      <c r="J2150">
        <v>100.91895018585325</v>
      </c>
    </row>
    <row r="2151" spans="1:10" x14ac:dyDescent="0.25">
      <c r="A2151" s="36"/>
      <c r="B2151" t="s">
        <v>451</v>
      </c>
      <c r="C2151" s="64">
        <v>43455</v>
      </c>
      <c r="D2151">
        <v>319.77</v>
      </c>
      <c r="E2151">
        <v>100.93448416049036</v>
      </c>
      <c r="F2151" t="s">
        <v>427</v>
      </c>
      <c r="G2151" s="64">
        <v>43455</v>
      </c>
      <c r="H2151">
        <v>1377.45</v>
      </c>
      <c r="I2151">
        <v>100.91404406693528</v>
      </c>
      <c r="J2151">
        <v>100.91404406693528</v>
      </c>
    </row>
    <row r="2152" spans="1:10" x14ac:dyDescent="0.25">
      <c r="A2152" s="36"/>
      <c r="B2152" t="s">
        <v>451</v>
      </c>
      <c r="C2152" s="64">
        <v>43458</v>
      </c>
      <c r="D2152">
        <v>295.39</v>
      </c>
      <c r="E2152">
        <v>100.92907681370392</v>
      </c>
      <c r="F2152" t="s">
        <v>427</v>
      </c>
      <c r="G2152" s="64">
        <v>43458</v>
      </c>
      <c r="H2152">
        <v>1343.96</v>
      </c>
      <c r="I2152">
        <v>100.91190213994464</v>
      </c>
      <c r="J2152">
        <v>100.91190213994464</v>
      </c>
    </row>
    <row r="2153" spans="1:10" x14ac:dyDescent="0.25">
      <c r="A2153" s="36"/>
      <c r="B2153" t="s">
        <v>451</v>
      </c>
      <c r="C2153" s="64">
        <v>43460</v>
      </c>
      <c r="D2153">
        <v>326.08999999999997</v>
      </c>
      <c r="E2153">
        <v>100.93575393296329</v>
      </c>
      <c r="F2153" t="s">
        <v>427</v>
      </c>
      <c r="G2153" s="64">
        <v>43460</v>
      </c>
      <c r="H2153">
        <v>1470.9</v>
      </c>
      <c r="I2153">
        <v>100.91950506492624</v>
      </c>
      <c r="J2153">
        <v>100.91950506492624</v>
      </c>
    </row>
    <row r="2154" spans="1:10" x14ac:dyDescent="0.25">
      <c r="A2154" s="36"/>
      <c r="B2154" t="s">
        <v>451</v>
      </c>
      <c r="C2154" s="64">
        <v>43461</v>
      </c>
      <c r="D2154">
        <v>316.13</v>
      </c>
      <c r="E2154">
        <v>100.9337297947047</v>
      </c>
      <c r="F2154" t="s">
        <v>427</v>
      </c>
      <c r="G2154" s="64">
        <v>43461</v>
      </c>
      <c r="H2154">
        <v>1461.64</v>
      </c>
      <c r="I2154">
        <v>100.91899510139295</v>
      </c>
      <c r="J2154">
        <v>100.91899510139295</v>
      </c>
    </row>
    <row r="2155" spans="1:10" x14ac:dyDescent="0.25">
      <c r="A2155" s="36"/>
      <c r="B2155" t="s">
        <v>451</v>
      </c>
      <c r="C2155" s="64">
        <v>43462</v>
      </c>
      <c r="D2155">
        <v>333.87</v>
      </c>
      <c r="E2155">
        <v>100.93725102584838</v>
      </c>
      <c r="F2155" t="s">
        <v>427</v>
      </c>
      <c r="G2155" s="64">
        <v>43462</v>
      </c>
      <c r="H2155">
        <v>1478.02</v>
      </c>
      <c r="I2155">
        <v>100.91989282959635</v>
      </c>
      <c r="J2155">
        <v>100.91989282959635</v>
      </c>
    </row>
    <row r="2156" spans="1:10" x14ac:dyDescent="0.25">
      <c r="A2156" s="36"/>
      <c r="B2156" t="s">
        <v>451</v>
      </c>
      <c r="C2156" s="64">
        <v>43465</v>
      </c>
      <c r="D2156">
        <v>332.8</v>
      </c>
      <c r="E2156">
        <v>100.93704927884616</v>
      </c>
      <c r="F2156" t="s">
        <v>427</v>
      </c>
      <c r="G2156" s="64">
        <v>43465</v>
      </c>
      <c r="H2156">
        <v>1501.97</v>
      </c>
      <c r="I2156">
        <v>100.9211701964753</v>
      </c>
      <c r="J2156">
        <v>100.9211701964753</v>
      </c>
    </row>
    <row r="2157" spans="1:10" x14ac:dyDescent="0.25">
      <c r="A2157" s="36"/>
      <c r="B2157" t="s">
        <v>451</v>
      </c>
      <c r="C2157" s="64">
        <v>43467</v>
      </c>
      <c r="D2157">
        <v>310.12</v>
      </c>
      <c r="E2157">
        <v>100.93244550496581</v>
      </c>
      <c r="F2157" t="s">
        <v>427</v>
      </c>
      <c r="G2157" s="64">
        <v>43467</v>
      </c>
      <c r="H2157">
        <v>1539.13</v>
      </c>
      <c r="I2157">
        <v>100.92307342459701</v>
      </c>
      <c r="J2157">
        <v>100.92307342459701</v>
      </c>
    </row>
    <row r="2158" spans="1:10" x14ac:dyDescent="0.25">
      <c r="A2158" s="36"/>
      <c r="B2158" t="s">
        <v>451</v>
      </c>
      <c r="C2158" s="64">
        <v>43468</v>
      </c>
      <c r="D2158">
        <v>300.36</v>
      </c>
      <c r="E2158">
        <v>100.9302503662272</v>
      </c>
      <c r="F2158" t="s">
        <v>427</v>
      </c>
      <c r="G2158" s="64">
        <v>43468</v>
      </c>
      <c r="H2158">
        <v>1500.28</v>
      </c>
      <c r="I2158">
        <v>100.92108139813901</v>
      </c>
      <c r="J2158">
        <v>100.92108139813901</v>
      </c>
    </row>
    <row r="2159" spans="1:10" x14ac:dyDescent="0.25">
      <c r="A2159" s="36"/>
      <c r="B2159" t="s">
        <v>451</v>
      </c>
      <c r="C2159" s="64">
        <v>43469</v>
      </c>
      <c r="D2159">
        <v>317.69</v>
      </c>
      <c r="E2159">
        <v>100.9340552110548</v>
      </c>
      <c r="F2159" t="s">
        <v>427</v>
      </c>
      <c r="G2159" s="64">
        <v>43469</v>
      </c>
      <c r="H2159">
        <v>1575.39</v>
      </c>
      <c r="I2159">
        <v>100.92484400688083</v>
      </c>
      <c r="J2159">
        <v>100.92484400688083</v>
      </c>
    </row>
    <row r="2160" spans="1:10" x14ac:dyDescent="0.25">
      <c r="A2160" s="36"/>
      <c r="B2160" t="s">
        <v>451</v>
      </c>
      <c r="C2160" s="64">
        <v>43472</v>
      </c>
      <c r="D2160">
        <v>334.96</v>
      </c>
      <c r="E2160">
        <v>100.93745521853356</v>
      </c>
      <c r="F2160" t="s">
        <v>427</v>
      </c>
      <c r="G2160" s="64">
        <v>43472</v>
      </c>
      <c r="H2160">
        <v>1629.51</v>
      </c>
      <c r="I2160">
        <v>100.92734012064976</v>
      </c>
      <c r="J2160">
        <v>100.92734012064976</v>
      </c>
    </row>
    <row r="2161" spans="1:10" x14ac:dyDescent="0.25">
      <c r="A2161" s="36"/>
      <c r="B2161" t="s">
        <v>451</v>
      </c>
      <c r="C2161" s="64">
        <v>43473</v>
      </c>
      <c r="D2161">
        <v>335.35</v>
      </c>
      <c r="E2161">
        <v>100.93752795586701</v>
      </c>
      <c r="F2161" t="s">
        <v>427</v>
      </c>
      <c r="G2161" s="64">
        <v>43473</v>
      </c>
      <c r="H2161">
        <v>1656.58</v>
      </c>
      <c r="I2161">
        <v>100.928527448116</v>
      </c>
      <c r="J2161">
        <v>100.928527448116</v>
      </c>
    </row>
    <row r="2162" spans="1:10" x14ac:dyDescent="0.25">
      <c r="A2162" s="36"/>
      <c r="B2162" t="s">
        <v>451</v>
      </c>
      <c r="C2162" s="64">
        <v>43474</v>
      </c>
      <c r="D2162">
        <v>338.53</v>
      </c>
      <c r="E2162">
        <v>100.93811479041739</v>
      </c>
      <c r="F2162" t="s">
        <v>427</v>
      </c>
      <c r="G2162" s="64">
        <v>43474</v>
      </c>
      <c r="H2162">
        <v>1659.42</v>
      </c>
      <c r="I2162">
        <v>100.92864976919647</v>
      </c>
      <c r="J2162">
        <v>100.92864976919647</v>
      </c>
    </row>
    <row r="2163" spans="1:10" x14ac:dyDescent="0.25">
      <c r="A2163" s="36"/>
      <c r="B2163" t="s">
        <v>451</v>
      </c>
      <c r="C2163" s="64">
        <v>43475</v>
      </c>
      <c r="D2163">
        <v>344.97</v>
      </c>
      <c r="E2163">
        <v>100.93927008145636</v>
      </c>
      <c r="F2163" t="s">
        <v>427</v>
      </c>
      <c r="G2163" s="64">
        <v>43475</v>
      </c>
      <c r="H2163">
        <v>1656.22</v>
      </c>
      <c r="I2163">
        <v>100.92851191266861</v>
      </c>
      <c r="J2163">
        <v>100.92851191266861</v>
      </c>
    </row>
    <row r="2164" spans="1:10" x14ac:dyDescent="0.25">
      <c r="A2164" s="36"/>
      <c r="B2164" t="s">
        <v>451</v>
      </c>
      <c r="C2164" s="64">
        <v>43476</v>
      </c>
      <c r="D2164">
        <v>347.26</v>
      </c>
      <c r="E2164">
        <v>100.93967056384265</v>
      </c>
      <c r="F2164" t="s">
        <v>427</v>
      </c>
      <c r="G2164" s="64">
        <v>43476</v>
      </c>
      <c r="H2164">
        <v>1640.56</v>
      </c>
      <c r="I2164">
        <v>100.92782952162676</v>
      </c>
      <c r="J2164">
        <v>100.92782952162676</v>
      </c>
    </row>
    <row r="2165" spans="1:10" x14ac:dyDescent="0.25">
      <c r="A2165" s="36"/>
      <c r="B2165" t="s">
        <v>451</v>
      </c>
      <c r="C2165" s="64">
        <v>43479</v>
      </c>
      <c r="D2165">
        <v>334.4</v>
      </c>
      <c r="E2165">
        <v>100.9373504784689</v>
      </c>
      <c r="F2165" t="s">
        <v>427</v>
      </c>
      <c r="G2165" s="64">
        <v>43479</v>
      </c>
      <c r="H2165">
        <v>1617.21</v>
      </c>
      <c r="I2165">
        <v>100.92678749203876</v>
      </c>
      <c r="J2165">
        <v>100.92678749203876</v>
      </c>
    </row>
    <row r="2166" spans="1:10" x14ac:dyDescent="0.25">
      <c r="A2166" s="36"/>
      <c r="B2166" t="s">
        <v>451</v>
      </c>
      <c r="C2166" s="64">
        <v>43480</v>
      </c>
      <c r="D2166">
        <v>344.43</v>
      </c>
      <c r="E2166">
        <v>100.93917486862352</v>
      </c>
      <c r="F2166" t="s">
        <v>427</v>
      </c>
      <c r="G2166" s="64">
        <v>43480</v>
      </c>
      <c r="H2166">
        <v>1674.56</v>
      </c>
      <c r="I2166">
        <v>100.92929485954519</v>
      </c>
      <c r="J2166">
        <v>100.92929485954519</v>
      </c>
    </row>
    <row r="2167" spans="1:10" x14ac:dyDescent="0.25">
      <c r="A2167" s="36"/>
      <c r="B2167" t="s">
        <v>451</v>
      </c>
      <c r="C2167" s="64">
        <v>43481</v>
      </c>
      <c r="D2167">
        <v>346.05</v>
      </c>
      <c r="E2167">
        <v>100.93945961566247</v>
      </c>
      <c r="F2167" t="s">
        <v>427</v>
      </c>
      <c r="G2167" s="64">
        <v>43481</v>
      </c>
      <c r="H2167">
        <v>1683.78</v>
      </c>
      <c r="I2167">
        <v>100.92968202496763</v>
      </c>
      <c r="J2167">
        <v>100.92968202496763</v>
      </c>
    </row>
    <row r="2168" spans="1:10" x14ac:dyDescent="0.25">
      <c r="A2168" s="36"/>
      <c r="B2168" t="s">
        <v>451</v>
      </c>
      <c r="C2168" s="64">
        <v>43482</v>
      </c>
      <c r="D2168">
        <v>347.31</v>
      </c>
      <c r="E2168">
        <v>100.93967924908583</v>
      </c>
      <c r="F2168" t="s">
        <v>427</v>
      </c>
      <c r="G2168" s="64">
        <v>43482</v>
      </c>
      <c r="H2168">
        <v>1693.22</v>
      </c>
      <c r="I2168">
        <v>100.93007406007489</v>
      </c>
      <c r="J2168">
        <v>100.93007406007489</v>
      </c>
    </row>
    <row r="2169" spans="1:10" x14ac:dyDescent="0.25">
      <c r="A2169" s="36"/>
      <c r="B2169" t="s">
        <v>451</v>
      </c>
      <c r="C2169" s="64">
        <v>43483</v>
      </c>
      <c r="D2169">
        <v>302.26</v>
      </c>
      <c r="E2169">
        <v>100.93068881095745</v>
      </c>
      <c r="F2169" t="s">
        <v>427</v>
      </c>
      <c r="G2169" s="64">
        <v>43483</v>
      </c>
      <c r="H2169">
        <v>1696.2</v>
      </c>
      <c r="I2169">
        <v>100.93019691074166</v>
      </c>
      <c r="J2169">
        <v>100.93019691074166</v>
      </c>
    </row>
    <row r="2170" spans="1:10" x14ac:dyDescent="0.25">
      <c r="A2170" s="36"/>
      <c r="B2170" t="s">
        <v>451</v>
      </c>
      <c r="C2170" s="64">
        <v>43487</v>
      </c>
      <c r="D2170">
        <v>298.92</v>
      </c>
      <c r="E2170">
        <v>100.92991435835675</v>
      </c>
      <c r="F2170" t="s">
        <v>427</v>
      </c>
      <c r="G2170" s="64">
        <v>43487</v>
      </c>
      <c r="H2170">
        <v>1632.17</v>
      </c>
      <c r="I2170">
        <v>100.92745853679457</v>
      </c>
      <c r="J2170">
        <v>100.92745853679457</v>
      </c>
    </row>
    <row r="2171" spans="1:10" x14ac:dyDescent="0.25">
      <c r="A2171" s="36"/>
      <c r="B2171" t="s">
        <v>451</v>
      </c>
      <c r="C2171" s="64">
        <v>43488</v>
      </c>
      <c r="D2171">
        <v>287.58999999999997</v>
      </c>
      <c r="E2171">
        <v>100.92715323898605</v>
      </c>
      <c r="F2171" t="s">
        <v>427</v>
      </c>
      <c r="G2171" s="64">
        <v>43488</v>
      </c>
      <c r="H2171">
        <v>1640.02</v>
      </c>
      <c r="I2171">
        <v>100.92780575846636</v>
      </c>
      <c r="J2171">
        <v>100.92715323898605</v>
      </c>
    </row>
    <row r="2172" spans="1:10" x14ac:dyDescent="0.25">
      <c r="A2172" s="36"/>
      <c r="B2172" t="s">
        <v>451</v>
      </c>
      <c r="C2172" s="64">
        <v>43489</v>
      </c>
      <c r="D2172">
        <v>291.51</v>
      </c>
      <c r="E2172">
        <v>100.92813282563205</v>
      </c>
      <c r="F2172" t="s">
        <v>427</v>
      </c>
      <c r="G2172" s="64">
        <v>43489</v>
      </c>
      <c r="H2172">
        <v>1654.93</v>
      </c>
      <c r="I2172">
        <v>100.92845618847927</v>
      </c>
      <c r="J2172">
        <v>100.92813282563205</v>
      </c>
    </row>
    <row r="2173" spans="1:10" x14ac:dyDescent="0.25">
      <c r="A2173" s="36"/>
    </row>
    <row r="2174" spans="1:10" x14ac:dyDescent="0.25">
      <c r="A2174" s="36"/>
    </row>
    <row r="2175" spans="1:10" x14ac:dyDescent="0.25">
      <c r="A2175" s="36"/>
    </row>
    <row r="2176" spans="1:10" x14ac:dyDescent="0.25">
      <c r="A2176" s="36"/>
    </row>
    <row r="2177" spans="1:1" x14ac:dyDescent="0.25">
      <c r="A2177" s="36"/>
    </row>
    <row r="2178" spans="1:1" x14ac:dyDescent="0.25">
      <c r="A2178" s="36"/>
    </row>
    <row r="2179" spans="1:1" x14ac:dyDescent="0.25">
      <c r="A2179" s="36"/>
    </row>
    <row r="2180" spans="1:1" x14ac:dyDescent="0.25">
      <c r="A2180" s="36"/>
    </row>
    <row r="2181" spans="1:1" x14ac:dyDescent="0.25">
      <c r="A2181" s="36"/>
    </row>
    <row r="2182" spans="1:1" x14ac:dyDescent="0.25">
      <c r="A2182" s="36"/>
    </row>
    <row r="2183" spans="1:1" x14ac:dyDescent="0.25">
      <c r="A2183" s="36"/>
    </row>
    <row r="2184" spans="1:1" x14ac:dyDescent="0.25">
      <c r="A2184" s="36"/>
    </row>
    <row r="2185" spans="1:1" x14ac:dyDescent="0.25">
      <c r="A2185" s="36"/>
    </row>
    <row r="2186" spans="1:1" x14ac:dyDescent="0.25">
      <c r="A2186" s="36"/>
    </row>
    <row r="2187" spans="1:1" x14ac:dyDescent="0.25">
      <c r="A2187" s="36"/>
    </row>
    <row r="2188" spans="1:1" x14ac:dyDescent="0.25">
      <c r="A2188" s="36"/>
    </row>
    <row r="2189" spans="1:1" x14ac:dyDescent="0.25">
      <c r="A2189" s="36"/>
    </row>
    <row r="2190" spans="1:1" x14ac:dyDescent="0.25">
      <c r="A2190" s="36"/>
    </row>
    <row r="2191" spans="1:1" x14ac:dyDescent="0.25">
      <c r="A2191" s="36"/>
    </row>
    <row r="2192" spans="1:1" x14ac:dyDescent="0.25">
      <c r="A2192" s="36"/>
    </row>
    <row r="2193" spans="1:1" x14ac:dyDescent="0.25">
      <c r="A2193" s="36"/>
    </row>
    <row r="2194" spans="1:1" x14ac:dyDescent="0.25">
      <c r="A2194" s="36"/>
    </row>
    <row r="2195" spans="1:1" x14ac:dyDescent="0.25">
      <c r="A2195" s="36"/>
    </row>
    <row r="2196" spans="1:1" x14ac:dyDescent="0.25">
      <c r="A2196" s="36"/>
    </row>
    <row r="2197" spans="1:1" x14ac:dyDescent="0.25">
      <c r="A2197" s="36"/>
    </row>
    <row r="2198" spans="1:1" x14ac:dyDescent="0.25">
      <c r="A2198" s="36"/>
    </row>
    <row r="2199" spans="1:1" x14ac:dyDescent="0.25">
      <c r="A2199" s="36"/>
    </row>
    <row r="2200" spans="1:1" x14ac:dyDescent="0.25">
      <c r="A2200" s="36"/>
    </row>
    <row r="2201" spans="1:1" x14ac:dyDescent="0.25">
      <c r="A2201" s="36"/>
    </row>
    <row r="2202" spans="1:1" x14ac:dyDescent="0.25">
      <c r="A2202" s="36"/>
    </row>
    <row r="2203" spans="1:1" x14ac:dyDescent="0.25">
      <c r="A2203" s="36"/>
    </row>
    <row r="2204" spans="1:1" x14ac:dyDescent="0.25">
      <c r="A2204" s="36"/>
    </row>
    <row r="2205" spans="1:1" x14ac:dyDescent="0.25">
      <c r="A2205" s="36"/>
    </row>
    <row r="2206" spans="1:1" x14ac:dyDescent="0.25">
      <c r="A2206" s="36"/>
    </row>
    <row r="2207" spans="1:1" x14ac:dyDescent="0.25">
      <c r="A2207" s="36"/>
    </row>
    <row r="2208" spans="1:1" x14ac:dyDescent="0.25">
      <c r="A2208" s="36"/>
    </row>
    <row r="2209" spans="1:1" x14ac:dyDescent="0.25">
      <c r="A2209" s="36"/>
    </row>
    <row r="2210" spans="1:1" x14ac:dyDescent="0.25">
      <c r="A2210" s="36"/>
    </row>
    <row r="2211" spans="1:1" x14ac:dyDescent="0.25">
      <c r="A2211" s="36"/>
    </row>
    <row r="2212" spans="1:1" x14ac:dyDescent="0.25">
      <c r="A2212" s="36"/>
    </row>
    <row r="2213" spans="1:1" x14ac:dyDescent="0.25">
      <c r="A2213" s="36"/>
    </row>
    <row r="2214" spans="1:1" x14ac:dyDescent="0.25">
      <c r="A2214" s="36"/>
    </row>
    <row r="2215" spans="1:1" x14ac:dyDescent="0.25">
      <c r="A2215" s="36"/>
    </row>
    <row r="2216" spans="1:1" x14ac:dyDescent="0.25">
      <c r="A2216" s="36"/>
    </row>
    <row r="2217" spans="1:1" x14ac:dyDescent="0.25">
      <c r="A2217" s="36"/>
    </row>
    <row r="2218" spans="1:1" x14ac:dyDescent="0.25">
      <c r="A2218" s="36"/>
    </row>
    <row r="2219" spans="1:1" x14ac:dyDescent="0.25">
      <c r="A2219" s="36"/>
    </row>
    <row r="2220" spans="1:1" x14ac:dyDescent="0.25">
      <c r="A2220" s="36"/>
    </row>
    <row r="2221" spans="1:1" x14ac:dyDescent="0.25">
      <c r="A2221" s="36"/>
    </row>
    <row r="2222" spans="1:1" x14ac:dyDescent="0.25">
      <c r="A2222" s="36"/>
    </row>
    <row r="2223" spans="1:1" x14ac:dyDescent="0.25">
      <c r="A2223" s="36"/>
    </row>
    <row r="2224" spans="1:1" x14ac:dyDescent="0.25">
      <c r="A2224" s="36"/>
    </row>
    <row r="2225" spans="1:1" x14ac:dyDescent="0.25">
      <c r="A2225" s="36"/>
    </row>
    <row r="2226" spans="1:1" x14ac:dyDescent="0.25">
      <c r="A2226" s="36"/>
    </row>
    <row r="2227" spans="1:1" x14ac:dyDescent="0.25">
      <c r="A2227" s="36"/>
    </row>
    <row r="2228" spans="1:1" x14ac:dyDescent="0.25">
      <c r="A2228" s="36"/>
    </row>
    <row r="2229" spans="1:1" x14ac:dyDescent="0.25">
      <c r="A2229" s="36"/>
    </row>
    <row r="2230" spans="1:1" x14ac:dyDescent="0.25">
      <c r="A2230" s="36"/>
    </row>
    <row r="2231" spans="1:1" x14ac:dyDescent="0.25">
      <c r="A2231" s="36"/>
    </row>
    <row r="2232" spans="1:1" x14ac:dyDescent="0.25">
      <c r="A2232" s="36"/>
    </row>
    <row r="2233" spans="1:1" x14ac:dyDescent="0.25">
      <c r="A2233" s="36"/>
    </row>
    <row r="2234" spans="1:1" x14ac:dyDescent="0.25">
      <c r="A2234" s="36"/>
    </row>
    <row r="2235" spans="1:1" x14ac:dyDescent="0.25">
      <c r="A2235" s="36"/>
    </row>
    <row r="2236" spans="1:1" x14ac:dyDescent="0.25">
      <c r="A2236" s="36"/>
    </row>
    <row r="2237" spans="1:1" x14ac:dyDescent="0.25">
      <c r="A2237" s="36"/>
    </row>
    <row r="2238" spans="1:1" x14ac:dyDescent="0.25">
      <c r="A2238" s="36"/>
    </row>
    <row r="2239" spans="1:1" x14ac:dyDescent="0.25">
      <c r="A2239" s="36"/>
    </row>
    <row r="2240" spans="1:1" x14ac:dyDescent="0.25">
      <c r="A2240" s="36"/>
    </row>
    <row r="2241" spans="1:1" x14ac:dyDescent="0.25">
      <c r="A2241" s="36"/>
    </row>
    <row r="2242" spans="1:1" x14ac:dyDescent="0.25">
      <c r="A2242" s="36"/>
    </row>
    <row r="2243" spans="1:1" x14ac:dyDescent="0.25">
      <c r="A2243" s="36"/>
    </row>
    <row r="2244" spans="1:1" x14ac:dyDescent="0.25">
      <c r="A2244" s="36"/>
    </row>
    <row r="2245" spans="1:1" x14ac:dyDescent="0.25">
      <c r="A2245" s="36"/>
    </row>
    <row r="2246" spans="1:1" x14ac:dyDescent="0.25">
      <c r="A2246" s="36"/>
    </row>
    <row r="2247" spans="1:1" x14ac:dyDescent="0.25">
      <c r="A2247" s="36"/>
    </row>
    <row r="2248" spans="1:1" x14ac:dyDescent="0.25">
      <c r="A2248" s="36"/>
    </row>
    <row r="2249" spans="1:1" x14ac:dyDescent="0.25">
      <c r="A2249" s="36"/>
    </row>
    <row r="2250" spans="1:1" x14ac:dyDescent="0.25">
      <c r="A2250" s="36"/>
    </row>
    <row r="2251" spans="1:1" x14ac:dyDescent="0.25">
      <c r="A2251" s="36"/>
    </row>
    <row r="2252" spans="1:1" x14ac:dyDescent="0.25">
      <c r="A2252" s="36"/>
    </row>
    <row r="2253" spans="1:1" x14ac:dyDescent="0.25">
      <c r="A2253" s="36"/>
    </row>
    <row r="2254" spans="1:1" x14ac:dyDescent="0.25">
      <c r="A2254" s="36"/>
    </row>
    <row r="2255" spans="1:1" x14ac:dyDescent="0.25">
      <c r="A2255" s="36"/>
    </row>
    <row r="2256" spans="1:1" x14ac:dyDescent="0.25">
      <c r="A2256" s="36"/>
    </row>
    <row r="2257" spans="1:1" x14ac:dyDescent="0.25">
      <c r="A2257" s="36"/>
    </row>
    <row r="2258" spans="1:1" x14ac:dyDescent="0.25">
      <c r="A2258" s="36"/>
    </row>
    <row r="2259" spans="1:1" x14ac:dyDescent="0.25">
      <c r="A2259" s="36"/>
    </row>
    <row r="2260" spans="1:1" x14ac:dyDescent="0.25">
      <c r="A2260" s="36"/>
    </row>
    <row r="2261" spans="1:1" x14ac:dyDescent="0.25">
      <c r="A2261" s="36"/>
    </row>
    <row r="2262" spans="1:1" x14ac:dyDescent="0.25">
      <c r="A2262" s="36"/>
    </row>
    <row r="2263" spans="1:1" x14ac:dyDescent="0.25">
      <c r="A2263" s="36"/>
    </row>
    <row r="2264" spans="1:1" x14ac:dyDescent="0.25">
      <c r="A2264" s="36"/>
    </row>
    <row r="2265" spans="1:1" x14ac:dyDescent="0.25">
      <c r="A2265" s="36"/>
    </row>
    <row r="2266" spans="1:1" x14ac:dyDescent="0.25">
      <c r="A2266" s="36"/>
    </row>
    <row r="2267" spans="1:1" x14ac:dyDescent="0.25">
      <c r="A2267" s="36"/>
    </row>
    <row r="2268" spans="1:1" x14ac:dyDescent="0.25">
      <c r="A2268" s="36"/>
    </row>
    <row r="2269" spans="1:1" x14ac:dyDescent="0.25">
      <c r="A2269" s="36"/>
    </row>
    <row r="2270" spans="1:1" x14ac:dyDescent="0.25">
      <c r="A2270" s="36"/>
    </row>
    <row r="2271" spans="1:1" x14ac:dyDescent="0.25">
      <c r="A2271" s="36"/>
    </row>
    <row r="2272" spans="1:1" x14ac:dyDescent="0.25">
      <c r="A2272" s="36"/>
    </row>
    <row r="2273" spans="1:1" x14ac:dyDescent="0.25">
      <c r="A2273" s="36"/>
    </row>
    <row r="2274" spans="1:1" x14ac:dyDescent="0.25">
      <c r="A2274" s="36"/>
    </row>
    <row r="2275" spans="1:1" x14ac:dyDescent="0.25">
      <c r="A2275" s="36"/>
    </row>
    <row r="2276" spans="1:1" x14ac:dyDescent="0.25">
      <c r="A2276" s="36"/>
    </row>
    <row r="2277" spans="1:1" x14ac:dyDescent="0.25">
      <c r="A2277" s="36"/>
    </row>
    <row r="2278" spans="1:1" x14ac:dyDescent="0.25">
      <c r="A2278" s="36"/>
    </row>
    <row r="2279" spans="1:1" x14ac:dyDescent="0.25">
      <c r="A2279" s="36"/>
    </row>
    <row r="2280" spans="1:1" x14ac:dyDescent="0.25">
      <c r="A2280" s="36"/>
    </row>
    <row r="2281" spans="1:1" x14ac:dyDescent="0.25">
      <c r="A2281" s="36"/>
    </row>
    <row r="2282" spans="1:1" x14ac:dyDescent="0.25">
      <c r="A2282" s="36"/>
    </row>
    <row r="2283" spans="1:1" x14ac:dyDescent="0.25">
      <c r="A2283" s="36"/>
    </row>
    <row r="2284" spans="1:1" x14ac:dyDescent="0.25">
      <c r="A2284" s="36"/>
    </row>
    <row r="2285" spans="1:1" x14ac:dyDescent="0.25">
      <c r="A2285" s="36"/>
    </row>
    <row r="2286" spans="1:1" x14ac:dyDescent="0.25">
      <c r="A2286" s="36"/>
    </row>
    <row r="2287" spans="1:1" x14ac:dyDescent="0.25">
      <c r="A2287" s="36"/>
    </row>
    <row r="2288" spans="1:1" x14ac:dyDescent="0.25">
      <c r="A2288" s="36"/>
    </row>
    <row r="2289" spans="1:1" x14ac:dyDescent="0.25">
      <c r="A2289" s="36"/>
    </row>
    <row r="2290" spans="1:1" x14ac:dyDescent="0.25">
      <c r="A2290" s="36"/>
    </row>
    <row r="2291" spans="1:1" x14ac:dyDescent="0.25">
      <c r="A2291" s="36"/>
    </row>
    <row r="2292" spans="1:1" x14ac:dyDescent="0.25">
      <c r="A2292" s="36"/>
    </row>
    <row r="2293" spans="1:1" x14ac:dyDescent="0.25">
      <c r="A2293" s="36"/>
    </row>
    <row r="2294" spans="1:1" x14ac:dyDescent="0.25">
      <c r="A2294" s="36"/>
    </row>
    <row r="2295" spans="1:1" x14ac:dyDescent="0.25">
      <c r="A2295" s="36"/>
    </row>
    <row r="2296" spans="1:1" x14ac:dyDescent="0.25">
      <c r="A2296" s="36"/>
    </row>
    <row r="2297" spans="1:1" x14ac:dyDescent="0.25">
      <c r="A2297" s="36"/>
    </row>
    <row r="2298" spans="1:1" x14ac:dyDescent="0.25">
      <c r="A2298" s="36"/>
    </row>
    <row r="2299" spans="1:1" x14ac:dyDescent="0.25">
      <c r="A2299" s="36"/>
    </row>
    <row r="2300" spans="1:1" x14ac:dyDescent="0.25">
      <c r="A2300" s="36"/>
    </row>
    <row r="2301" spans="1:1" x14ac:dyDescent="0.25">
      <c r="A2301" s="36"/>
    </row>
    <row r="2302" spans="1:1" x14ac:dyDescent="0.25">
      <c r="A2302" s="36"/>
    </row>
    <row r="2303" spans="1:1" x14ac:dyDescent="0.25">
      <c r="A2303" s="36"/>
    </row>
    <row r="2304" spans="1:1" x14ac:dyDescent="0.25">
      <c r="A2304" s="36"/>
    </row>
    <row r="2305" spans="1:1" x14ac:dyDescent="0.25">
      <c r="A2305" s="36"/>
    </row>
    <row r="2306" spans="1:1" x14ac:dyDescent="0.25">
      <c r="A2306" s="36"/>
    </row>
    <row r="2307" spans="1:1" x14ac:dyDescent="0.25">
      <c r="A2307" s="36"/>
    </row>
    <row r="2308" spans="1:1" x14ac:dyDescent="0.25">
      <c r="A2308" s="36"/>
    </row>
    <row r="2309" spans="1:1" x14ac:dyDescent="0.25">
      <c r="A2309" s="36"/>
    </row>
    <row r="2310" spans="1:1" x14ac:dyDescent="0.25">
      <c r="A2310" s="36"/>
    </row>
    <row r="2311" spans="1:1" x14ac:dyDescent="0.25">
      <c r="A2311" s="36"/>
    </row>
    <row r="2312" spans="1:1" x14ac:dyDescent="0.25">
      <c r="A2312" s="36"/>
    </row>
    <row r="2313" spans="1:1" x14ac:dyDescent="0.25">
      <c r="A2313" s="36"/>
    </row>
    <row r="2314" spans="1:1" x14ac:dyDescent="0.25">
      <c r="A2314" s="36"/>
    </row>
    <row r="2315" spans="1:1" x14ac:dyDescent="0.25">
      <c r="A2315" s="36"/>
    </row>
    <row r="2316" spans="1:1" x14ac:dyDescent="0.25">
      <c r="A2316" s="36"/>
    </row>
    <row r="2317" spans="1:1" x14ac:dyDescent="0.25">
      <c r="A2317" s="36"/>
    </row>
    <row r="2318" spans="1:1" x14ac:dyDescent="0.25">
      <c r="A2318" s="36"/>
    </row>
    <row r="2319" spans="1:1" x14ac:dyDescent="0.25">
      <c r="A2319" s="36"/>
    </row>
    <row r="2320" spans="1:1" x14ac:dyDescent="0.25">
      <c r="A2320" s="36"/>
    </row>
    <row r="2321" spans="1:1" x14ac:dyDescent="0.25">
      <c r="A2321" s="36"/>
    </row>
    <row r="2322" spans="1:1" x14ac:dyDescent="0.25">
      <c r="A2322" s="36"/>
    </row>
    <row r="2323" spans="1:1" x14ac:dyDescent="0.25">
      <c r="A2323" s="36"/>
    </row>
    <row r="2324" spans="1:1" x14ac:dyDescent="0.25">
      <c r="A2324" s="36"/>
    </row>
    <row r="2325" spans="1:1" x14ac:dyDescent="0.25">
      <c r="A2325" s="36"/>
    </row>
    <row r="2326" spans="1:1" x14ac:dyDescent="0.25">
      <c r="A2326" s="36"/>
    </row>
    <row r="2327" spans="1:1" x14ac:dyDescent="0.25">
      <c r="A2327" s="36"/>
    </row>
    <row r="2328" spans="1:1" x14ac:dyDescent="0.25">
      <c r="A2328" s="36"/>
    </row>
    <row r="2329" spans="1:1" x14ac:dyDescent="0.25">
      <c r="A2329" s="36"/>
    </row>
    <row r="2330" spans="1:1" x14ac:dyDescent="0.25">
      <c r="A2330" s="36"/>
    </row>
    <row r="2331" spans="1:1" x14ac:dyDescent="0.25">
      <c r="A2331" s="36"/>
    </row>
    <row r="2332" spans="1:1" x14ac:dyDescent="0.25">
      <c r="A2332" s="36"/>
    </row>
    <row r="2333" spans="1:1" x14ac:dyDescent="0.25">
      <c r="A2333" s="36"/>
    </row>
    <row r="2334" spans="1:1" x14ac:dyDescent="0.25">
      <c r="A2334" s="36"/>
    </row>
    <row r="2335" spans="1:1" x14ac:dyDescent="0.25">
      <c r="A2335" s="36"/>
    </row>
    <row r="2336" spans="1:1" x14ac:dyDescent="0.25">
      <c r="A2336" s="36"/>
    </row>
    <row r="2337" spans="1:1" x14ac:dyDescent="0.25">
      <c r="A2337" s="36"/>
    </row>
    <row r="2338" spans="1:1" x14ac:dyDescent="0.25">
      <c r="A2338" s="36"/>
    </row>
    <row r="2339" spans="1:1" x14ac:dyDescent="0.25">
      <c r="A2339" s="36"/>
    </row>
    <row r="2340" spans="1:1" x14ac:dyDescent="0.25">
      <c r="A2340" s="36"/>
    </row>
    <row r="2341" spans="1:1" x14ac:dyDescent="0.25">
      <c r="A2341" s="36"/>
    </row>
    <row r="2342" spans="1:1" x14ac:dyDescent="0.25">
      <c r="A2342" s="36"/>
    </row>
    <row r="2343" spans="1:1" x14ac:dyDescent="0.25">
      <c r="A2343" s="36"/>
    </row>
    <row r="2344" spans="1:1" x14ac:dyDescent="0.25">
      <c r="A2344" s="36"/>
    </row>
    <row r="2345" spans="1:1" x14ac:dyDescent="0.25">
      <c r="A2345" s="36"/>
    </row>
    <row r="2346" spans="1:1" x14ac:dyDescent="0.25">
      <c r="A2346" s="36"/>
    </row>
    <row r="2347" spans="1:1" x14ac:dyDescent="0.25">
      <c r="A2347" s="36"/>
    </row>
    <row r="2348" spans="1:1" x14ac:dyDescent="0.25">
      <c r="A2348" s="36"/>
    </row>
    <row r="2349" spans="1:1" x14ac:dyDescent="0.25">
      <c r="A2349" s="36"/>
    </row>
    <row r="2350" spans="1:1" x14ac:dyDescent="0.25">
      <c r="A2350" s="36"/>
    </row>
    <row r="2351" spans="1:1" x14ac:dyDescent="0.25">
      <c r="A2351" s="36"/>
    </row>
    <row r="2352" spans="1:1" x14ac:dyDescent="0.25">
      <c r="A2352" s="36"/>
    </row>
    <row r="2353" spans="1:1" x14ac:dyDescent="0.25">
      <c r="A2353" s="36"/>
    </row>
    <row r="2354" spans="1:1" x14ac:dyDescent="0.25">
      <c r="A2354" s="36"/>
    </row>
    <row r="2355" spans="1:1" x14ac:dyDescent="0.25">
      <c r="A2355" s="36"/>
    </row>
    <row r="2356" spans="1:1" x14ac:dyDescent="0.25">
      <c r="A2356" s="36"/>
    </row>
    <row r="2357" spans="1:1" x14ac:dyDescent="0.25">
      <c r="A2357" s="36"/>
    </row>
    <row r="2358" spans="1:1" x14ac:dyDescent="0.25">
      <c r="A2358" s="36"/>
    </row>
    <row r="2359" spans="1:1" x14ac:dyDescent="0.25">
      <c r="A2359" s="36"/>
    </row>
    <row r="2360" spans="1:1" x14ac:dyDescent="0.25">
      <c r="A2360" s="36"/>
    </row>
    <row r="2361" spans="1:1" x14ac:dyDescent="0.25">
      <c r="A2361" s="36"/>
    </row>
    <row r="2362" spans="1:1" x14ac:dyDescent="0.25">
      <c r="A2362" s="36"/>
    </row>
    <row r="2363" spans="1:1" x14ac:dyDescent="0.25">
      <c r="A2363" s="36"/>
    </row>
    <row r="2364" spans="1:1" x14ac:dyDescent="0.25">
      <c r="A2364" s="36"/>
    </row>
    <row r="2365" spans="1:1" x14ac:dyDescent="0.25">
      <c r="A2365" s="36"/>
    </row>
    <row r="2366" spans="1:1" x14ac:dyDescent="0.25">
      <c r="A2366" s="36"/>
    </row>
    <row r="2367" spans="1:1" x14ac:dyDescent="0.25">
      <c r="A2367" s="36"/>
    </row>
    <row r="2368" spans="1:1" x14ac:dyDescent="0.25">
      <c r="A2368" s="36"/>
    </row>
    <row r="2369" spans="1:1" x14ac:dyDescent="0.25">
      <c r="A2369" s="36"/>
    </row>
    <row r="2370" spans="1:1" x14ac:dyDescent="0.25">
      <c r="A2370" s="36"/>
    </row>
    <row r="2371" spans="1:1" x14ac:dyDescent="0.25">
      <c r="A2371" s="36"/>
    </row>
    <row r="2372" spans="1:1" x14ac:dyDescent="0.25">
      <c r="A2372" s="36"/>
    </row>
    <row r="2373" spans="1:1" x14ac:dyDescent="0.25">
      <c r="A2373" s="36"/>
    </row>
    <row r="2374" spans="1:1" x14ac:dyDescent="0.25">
      <c r="A2374" s="36"/>
    </row>
    <row r="2375" spans="1:1" x14ac:dyDescent="0.25">
      <c r="A2375" s="36"/>
    </row>
    <row r="2376" spans="1:1" x14ac:dyDescent="0.25">
      <c r="A2376" s="36"/>
    </row>
    <row r="2377" spans="1:1" x14ac:dyDescent="0.25">
      <c r="A2377" s="36"/>
    </row>
    <row r="2378" spans="1:1" x14ac:dyDescent="0.25">
      <c r="A2378" s="36"/>
    </row>
    <row r="2379" spans="1:1" x14ac:dyDescent="0.25">
      <c r="A2379" s="36"/>
    </row>
    <row r="2380" spans="1:1" x14ac:dyDescent="0.25">
      <c r="A2380" s="36"/>
    </row>
    <row r="2381" spans="1:1" x14ac:dyDescent="0.25">
      <c r="A2381" s="36"/>
    </row>
    <row r="2382" spans="1:1" x14ac:dyDescent="0.25">
      <c r="A2382" s="36"/>
    </row>
    <row r="2383" spans="1:1" x14ac:dyDescent="0.25">
      <c r="A2383" s="36"/>
    </row>
    <row r="2384" spans="1:1" x14ac:dyDescent="0.25">
      <c r="A2384" s="36"/>
    </row>
    <row r="2385" spans="1:1" x14ac:dyDescent="0.25">
      <c r="A2385" s="36"/>
    </row>
    <row r="2386" spans="1:1" x14ac:dyDescent="0.25">
      <c r="A2386" s="36"/>
    </row>
    <row r="2387" spans="1:1" x14ac:dyDescent="0.25">
      <c r="A2387" s="36"/>
    </row>
    <row r="2388" spans="1:1" x14ac:dyDescent="0.25">
      <c r="A2388" s="36"/>
    </row>
    <row r="2389" spans="1:1" x14ac:dyDescent="0.25">
      <c r="A2389" s="36"/>
    </row>
    <row r="2390" spans="1:1" x14ac:dyDescent="0.25">
      <c r="A2390" s="36"/>
    </row>
    <row r="2391" spans="1:1" x14ac:dyDescent="0.25">
      <c r="A2391" s="36"/>
    </row>
    <row r="2392" spans="1:1" x14ac:dyDescent="0.25">
      <c r="A2392" s="36"/>
    </row>
    <row r="2393" spans="1:1" x14ac:dyDescent="0.25">
      <c r="A2393" s="36"/>
    </row>
    <row r="2394" spans="1:1" x14ac:dyDescent="0.25">
      <c r="A2394" s="36"/>
    </row>
    <row r="2395" spans="1:1" x14ac:dyDescent="0.25">
      <c r="A2395" s="36"/>
    </row>
    <row r="2396" spans="1:1" x14ac:dyDescent="0.25">
      <c r="A2396" s="36"/>
    </row>
    <row r="2397" spans="1:1" x14ac:dyDescent="0.25">
      <c r="A2397" s="36"/>
    </row>
    <row r="2398" spans="1:1" x14ac:dyDescent="0.25">
      <c r="A2398" s="36"/>
    </row>
    <row r="2399" spans="1:1" x14ac:dyDescent="0.25">
      <c r="A2399" s="36"/>
    </row>
    <row r="2400" spans="1:1" x14ac:dyDescent="0.25">
      <c r="A2400" s="36"/>
    </row>
    <row r="2401" spans="1:1" x14ac:dyDescent="0.25">
      <c r="A2401" s="36"/>
    </row>
    <row r="2402" spans="1:1" x14ac:dyDescent="0.25">
      <c r="A2402" s="36"/>
    </row>
    <row r="2403" spans="1:1" x14ac:dyDescent="0.25">
      <c r="A2403" s="36"/>
    </row>
    <row r="2404" spans="1:1" x14ac:dyDescent="0.25">
      <c r="A2404" s="36"/>
    </row>
    <row r="2405" spans="1:1" x14ac:dyDescent="0.25">
      <c r="A2405" s="36"/>
    </row>
    <row r="2406" spans="1:1" x14ac:dyDescent="0.25">
      <c r="A2406" s="36"/>
    </row>
    <row r="2407" spans="1:1" x14ac:dyDescent="0.25">
      <c r="A2407" s="36"/>
    </row>
    <row r="2408" spans="1:1" x14ac:dyDescent="0.25">
      <c r="A2408" s="36"/>
    </row>
    <row r="2409" spans="1:1" x14ac:dyDescent="0.25">
      <c r="A2409" s="36"/>
    </row>
    <row r="2410" spans="1:1" x14ac:dyDescent="0.25">
      <c r="A2410" s="36"/>
    </row>
    <row r="2411" spans="1:1" x14ac:dyDescent="0.25">
      <c r="A2411" s="36"/>
    </row>
    <row r="2412" spans="1:1" x14ac:dyDescent="0.25">
      <c r="A2412" s="36"/>
    </row>
    <row r="2413" spans="1:1" x14ac:dyDescent="0.25">
      <c r="A2413" s="36"/>
    </row>
    <row r="2414" spans="1:1" x14ac:dyDescent="0.25">
      <c r="A2414" s="36"/>
    </row>
    <row r="2415" spans="1:1" x14ac:dyDescent="0.25">
      <c r="A2415" s="36"/>
    </row>
    <row r="2416" spans="1:1" x14ac:dyDescent="0.25">
      <c r="A2416" s="36"/>
    </row>
    <row r="2417" spans="1:1" x14ac:dyDescent="0.25">
      <c r="A2417" s="36"/>
    </row>
    <row r="2418" spans="1:1" x14ac:dyDescent="0.25">
      <c r="A2418" s="36"/>
    </row>
    <row r="2419" spans="1:1" x14ac:dyDescent="0.25">
      <c r="A2419" s="36"/>
    </row>
    <row r="2420" spans="1:1" x14ac:dyDescent="0.25">
      <c r="A2420" s="36"/>
    </row>
    <row r="2421" spans="1:1" x14ac:dyDescent="0.25">
      <c r="A2421" s="36"/>
    </row>
    <row r="2422" spans="1:1" x14ac:dyDescent="0.25">
      <c r="A2422" s="36"/>
    </row>
    <row r="2423" spans="1:1" x14ac:dyDescent="0.25">
      <c r="A2423" s="36"/>
    </row>
    <row r="2424" spans="1:1" x14ac:dyDescent="0.25">
      <c r="A2424" s="36"/>
    </row>
    <row r="2425" spans="1:1" x14ac:dyDescent="0.25">
      <c r="A2425" s="36"/>
    </row>
    <row r="2426" spans="1:1" x14ac:dyDescent="0.25">
      <c r="A2426" s="36"/>
    </row>
    <row r="2427" spans="1:1" x14ac:dyDescent="0.25">
      <c r="A2427" s="36"/>
    </row>
    <row r="2428" spans="1:1" x14ac:dyDescent="0.25">
      <c r="A2428" s="36"/>
    </row>
    <row r="2429" spans="1:1" x14ac:dyDescent="0.25">
      <c r="A2429" s="36"/>
    </row>
    <row r="2430" spans="1:1" x14ac:dyDescent="0.25">
      <c r="A2430" s="36"/>
    </row>
    <row r="2431" spans="1:1" x14ac:dyDescent="0.25">
      <c r="A2431" s="36"/>
    </row>
    <row r="2432" spans="1:1" x14ac:dyDescent="0.25">
      <c r="A2432" s="36"/>
    </row>
    <row r="2433" spans="1:1" x14ac:dyDescent="0.25">
      <c r="A2433" s="36"/>
    </row>
    <row r="2434" spans="1:1" x14ac:dyDescent="0.25">
      <c r="A2434" s="36"/>
    </row>
    <row r="2435" spans="1:1" x14ac:dyDescent="0.25">
      <c r="A2435" s="36"/>
    </row>
    <row r="2436" spans="1:1" x14ac:dyDescent="0.25">
      <c r="A2436" s="36"/>
    </row>
    <row r="2437" spans="1:1" x14ac:dyDescent="0.25">
      <c r="A2437" s="36"/>
    </row>
    <row r="2438" spans="1:1" x14ac:dyDescent="0.25">
      <c r="A2438" s="36"/>
    </row>
    <row r="2439" spans="1:1" x14ac:dyDescent="0.25">
      <c r="A2439" s="36"/>
    </row>
    <row r="2440" spans="1:1" x14ac:dyDescent="0.25">
      <c r="A2440" s="36"/>
    </row>
    <row r="2441" spans="1:1" x14ac:dyDescent="0.25">
      <c r="A2441" s="36"/>
    </row>
    <row r="2442" spans="1:1" x14ac:dyDescent="0.25">
      <c r="A2442" s="36"/>
    </row>
    <row r="2443" spans="1:1" x14ac:dyDescent="0.25">
      <c r="A2443" s="36"/>
    </row>
    <row r="2444" spans="1:1" x14ac:dyDescent="0.25">
      <c r="A2444" s="36"/>
    </row>
    <row r="2445" spans="1:1" x14ac:dyDescent="0.25">
      <c r="A2445" s="36"/>
    </row>
    <row r="2446" spans="1:1" x14ac:dyDescent="0.25">
      <c r="A2446" s="36"/>
    </row>
    <row r="2447" spans="1:1" x14ac:dyDescent="0.25">
      <c r="A2447" s="36"/>
    </row>
    <row r="2448" spans="1:1" x14ac:dyDescent="0.25">
      <c r="A2448" s="36"/>
    </row>
    <row r="2449" spans="1:1" x14ac:dyDescent="0.25">
      <c r="A2449" s="36"/>
    </row>
    <row r="2450" spans="1:1" x14ac:dyDescent="0.25">
      <c r="A2450" s="36"/>
    </row>
    <row r="2451" spans="1:1" x14ac:dyDescent="0.25">
      <c r="A2451" s="36"/>
    </row>
    <row r="2452" spans="1:1" x14ac:dyDescent="0.25">
      <c r="A2452" s="36"/>
    </row>
    <row r="2453" spans="1:1" x14ac:dyDescent="0.25">
      <c r="A2453" s="36"/>
    </row>
    <row r="2454" spans="1:1" x14ac:dyDescent="0.25">
      <c r="A2454" s="36"/>
    </row>
    <row r="2455" spans="1:1" x14ac:dyDescent="0.25">
      <c r="A2455" s="36"/>
    </row>
    <row r="2456" spans="1:1" x14ac:dyDescent="0.25">
      <c r="A2456" s="36"/>
    </row>
    <row r="2457" spans="1:1" x14ac:dyDescent="0.25">
      <c r="A2457" s="36"/>
    </row>
    <row r="2458" spans="1:1" x14ac:dyDescent="0.25">
      <c r="A2458" s="36"/>
    </row>
    <row r="2459" spans="1:1" x14ac:dyDescent="0.25">
      <c r="A2459" s="36"/>
    </row>
    <row r="2460" spans="1:1" x14ac:dyDescent="0.25">
      <c r="A2460" s="36"/>
    </row>
    <row r="2461" spans="1:1" x14ac:dyDescent="0.25">
      <c r="A2461" s="36"/>
    </row>
    <row r="2462" spans="1:1" x14ac:dyDescent="0.25">
      <c r="A2462" s="36"/>
    </row>
    <row r="2463" spans="1:1" x14ac:dyDescent="0.25">
      <c r="A2463" s="36"/>
    </row>
    <row r="2464" spans="1:1" x14ac:dyDescent="0.25">
      <c r="A2464" s="36"/>
    </row>
    <row r="2465" spans="1:1" x14ac:dyDescent="0.25">
      <c r="A2465" s="36"/>
    </row>
    <row r="2466" spans="1:1" x14ac:dyDescent="0.25">
      <c r="A2466" s="36"/>
    </row>
    <row r="2467" spans="1:1" x14ac:dyDescent="0.25">
      <c r="A2467" s="36"/>
    </row>
    <row r="2468" spans="1:1" x14ac:dyDescent="0.25">
      <c r="A2468" s="36"/>
    </row>
    <row r="2469" spans="1:1" x14ac:dyDescent="0.25">
      <c r="A2469" s="36"/>
    </row>
    <row r="2470" spans="1:1" x14ac:dyDescent="0.25">
      <c r="A2470" s="36"/>
    </row>
    <row r="2471" spans="1:1" x14ac:dyDescent="0.25">
      <c r="A2471" s="36"/>
    </row>
    <row r="2472" spans="1:1" x14ac:dyDescent="0.25">
      <c r="A2472" s="36"/>
    </row>
    <row r="2473" spans="1:1" x14ac:dyDescent="0.25">
      <c r="A2473" s="36"/>
    </row>
    <row r="2474" spans="1:1" x14ac:dyDescent="0.25">
      <c r="A2474" s="36"/>
    </row>
    <row r="2475" spans="1:1" x14ac:dyDescent="0.25">
      <c r="A2475" s="36"/>
    </row>
    <row r="2476" spans="1:1" x14ac:dyDescent="0.25">
      <c r="A2476" s="36"/>
    </row>
    <row r="2477" spans="1:1" x14ac:dyDescent="0.25">
      <c r="A2477" s="36"/>
    </row>
    <row r="2478" spans="1:1" x14ac:dyDescent="0.25">
      <c r="A2478" s="36"/>
    </row>
    <row r="2479" spans="1:1" x14ac:dyDescent="0.25">
      <c r="A2479" s="36"/>
    </row>
    <row r="2480" spans="1:1" x14ac:dyDescent="0.25">
      <c r="A2480" s="36"/>
    </row>
    <row r="2481" spans="1:1" x14ac:dyDescent="0.25">
      <c r="A2481" s="36"/>
    </row>
    <row r="2482" spans="1:1" x14ac:dyDescent="0.25">
      <c r="A2482" s="36"/>
    </row>
    <row r="2483" spans="1:1" x14ac:dyDescent="0.25">
      <c r="A2483" s="36"/>
    </row>
    <row r="2484" spans="1:1" x14ac:dyDescent="0.25">
      <c r="A2484" s="36"/>
    </row>
    <row r="2485" spans="1:1" x14ac:dyDescent="0.25">
      <c r="A2485" s="36"/>
    </row>
    <row r="2486" spans="1:1" x14ac:dyDescent="0.25">
      <c r="A2486" s="36"/>
    </row>
    <row r="2487" spans="1:1" x14ac:dyDescent="0.25">
      <c r="A2487" s="36"/>
    </row>
    <row r="2488" spans="1:1" x14ac:dyDescent="0.25">
      <c r="A2488" s="36"/>
    </row>
    <row r="2489" spans="1:1" x14ac:dyDescent="0.25">
      <c r="A2489" s="36"/>
    </row>
    <row r="2490" spans="1:1" x14ac:dyDescent="0.25">
      <c r="A2490" s="36"/>
    </row>
    <row r="2491" spans="1:1" x14ac:dyDescent="0.25">
      <c r="A2491" s="36"/>
    </row>
    <row r="2492" spans="1:1" x14ac:dyDescent="0.25">
      <c r="A2492" s="36"/>
    </row>
    <row r="2493" spans="1:1" x14ac:dyDescent="0.25">
      <c r="A2493" s="36"/>
    </row>
    <row r="2494" spans="1:1" x14ac:dyDescent="0.25">
      <c r="A2494" s="36"/>
    </row>
    <row r="2495" spans="1:1" x14ac:dyDescent="0.25">
      <c r="A2495" s="36"/>
    </row>
    <row r="2496" spans="1:1" x14ac:dyDescent="0.25">
      <c r="A2496" s="36"/>
    </row>
    <row r="2497" spans="1:1" x14ac:dyDescent="0.25">
      <c r="A2497" s="36"/>
    </row>
    <row r="2498" spans="1:1" x14ac:dyDescent="0.25">
      <c r="A2498" s="36"/>
    </row>
    <row r="2499" spans="1:1" x14ac:dyDescent="0.25">
      <c r="A2499" s="36"/>
    </row>
    <row r="2500" spans="1:1" x14ac:dyDescent="0.25">
      <c r="A2500" s="36"/>
    </row>
    <row r="2501" spans="1:1" x14ac:dyDescent="0.25">
      <c r="A2501" s="36"/>
    </row>
    <row r="2502" spans="1:1" x14ac:dyDescent="0.25">
      <c r="A2502" s="36"/>
    </row>
    <row r="2503" spans="1:1" x14ac:dyDescent="0.25">
      <c r="A2503" s="36"/>
    </row>
    <row r="2504" spans="1:1" x14ac:dyDescent="0.25">
      <c r="A2504" s="36"/>
    </row>
    <row r="2505" spans="1:1" x14ac:dyDescent="0.25">
      <c r="A2505" s="36"/>
    </row>
    <row r="2506" spans="1:1" x14ac:dyDescent="0.25">
      <c r="A2506" s="36"/>
    </row>
    <row r="2507" spans="1:1" x14ac:dyDescent="0.25">
      <c r="A2507" s="36"/>
    </row>
    <row r="2508" spans="1:1" x14ac:dyDescent="0.25">
      <c r="A2508" s="36"/>
    </row>
    <row r="2509" spans="1:1" x14ac:dyDescent="0.25">
      <c r="A2509" s="36"/>
    </row>
    <row r="2510" spans="1:1" x14ac:dyDescent="0.25">
      <c r="A2510" s="36"/>
    </row>
    <row r="2511" spans="1:1" x14ac:dyDescent="0.25">
      <c r="A2511" s="36"/>
    </row>
    <row r="2512" spans="1:1" x14ac:dyDescent="0.25">
      <c r="A2512" s="36"/>
    </row>
    <row r="2513" spans="1:1" x14ac:dyDescent="0.25">
      <c r="A2513" s="36"/>
    </row>
    <row r="2514" spans="1:1" x14ac:dyDescent="0.25">
      <c r="A2514" s="36"/>
    </row>
    <row r="2515" spans="1:1" x14ac:dyDescent="0.25">
      <c r="A2515" s="36"/>
    </row>
    <row r="2516" spans="1:1" x14ac:dyDescent="0.25">
      <c r="A2516" s="36"/>
    </row>
    <row r="2517" spans="1:1" x14ac:dyDescent="0.25">
      <c r="A2517" s="36"/>
    </row>
    <row r="2518" spans="1:1" x14ac:dyDescent="0.25">
      <c r="A2518" s="36"/>
    </row>
    <row r="2519" spans="1:1" x14ac:dyDescent="0.25">
      <c r="A2519" s="36"/>
    </row>
    <row r="2520" spans="1:1" x14ac:dyDescent="0.25">
      <c r="A2520" s="36"/>
    </row>
    <row r="2521" spans="1:1" x14ac:dyDescent="0.25">
      <c r="A2521" s="36"/>
    </row>
    <row r="2522" spans="1:1" x14ac:dyDescent="0.25">
      <c r="A2522" s="36"/>
    </row>
    <row r="2523" spans="1:1" x14ac:dyDescent="0.25">
      <c r="A2523" s="36"/>
    </row>
    <row r="2524" spans="1:1" x14ac:dyDescent="0.25">
      <c r="A2524" s="36"/>
    </row>
    <row r="2525" spans="1:1" x14ac:dyDescent="0.25">
      <c r="A2525" s="36"/>
    </row>
    <row r="2526" spans="1:1" x14ac:dyDescent="0.25">
      <c r="A2526" s="36"/>
    </row>
    <row r="2527" spans="1:1" x14ac:dyDescent="0.25">
      <c r="A2527" s="36"/>
    </row>
    <row r="2528" spans="1:1" x14ac:dyDescent="0.25">
      <c r="A2528" s="36"/>
    </row>
    <row r="2529" spans="1:1" x14ac:dyDescent="0.25">
      <c r="A2529" s="36"/>
    </row>
    <row r="2530" spans="1:1" x14ac:dyDescent="0.25">
      <c r="A2530" s="36"/>
    </row>
    <row r="2531" spans="1:1" x14ac:dyDescent="0.25">
      <c r="A2531" s="36"/>
    </row>
    <row r="2532" spans="1:1" x14ac:dyDescent="0.25">
      <c r="A2532" s="36"/>
    </row>
    <row r="2533" spans="1:1" x14ac:dyDescent="0.25">
      <c r="A2533" s="36"/>
    </row>
    <row r="2534" spans="1:1" x14ac:dyDescent="0.25">
      <c r="A2534" s="36"/>
    </row>
    <row r="2535" spans="1:1" x14ac:dyDescent="0.25">
      <c r="A2535" s="36"/>
    </row>
    <row r="2536" spans="1:1" x14ac:dyDescent="0.25">
      <c r="A2536" s="36"/>
    </row>
    <row r="2537" spans="1:1" x14ac:dyDescent="0.25">
      <c r="A2537" s="36"/>
    </row>
    <row r="2538" spans="1:1" x14ac:dyDescent="0.25">
      <c r="A2538" s="36"/>
    </row>
    <row r="2539" spans="1:1" x14ac:dyDescent="0.25">
      <c r="A2539" s="36"/>
    </row>
    <row r="2540" spans="1:1" x14ac:dyDescent="0.25">
      <c r="A2540" s="36"/>
    </row>
    <row r="2541" spans="1:1" x14ac:dyDescent="0.25">
      <c r="A2541" s="36"/>
    </row>
    <row r="2542" spans="1:1" x14ac:dyDescent="0.25">
      <c r="A2542" s="36"/>
    </row>
    <row r="2543" spans="1:1" x14ac:dyDescent="0.25">
      <c r="A2543" s="36"/>
    </row>
    <row r="2544" spans="1:1" x14ac:dyDescent="0.25">
      <c r="A2544" s="36"/>
    </row>
    <row r="2545" spans="1:1" x14ac:dyDescent="0.25">
      <c r="A2545" s="36"/>
    </row>
    <row r="2546" spans="1:1" x14ac:dyDescent="0.25">
      <c r="A2546" s="36"/>
    </row>
    <row r="2547" spans="1:1" x14ac:dyDescent="0.25">
      <c r="A2547" s="36"/>
    </row>
    <row r="2548" spans="1:1" x14ac:dyDescent="0.25">
      <c r="A2548" s="36"/>
    </row>
    <row r="2549" spans="1:1" x14ac:dyDescent="0.25">
      <c r="A2549" s="36"/>
    </row>
    <row r="2550" spans="1:1" x14ac:dyDescent="0.25">
      <c r="A2550" s="36"/>
    </row>
    <row r="2551" spans="1:1" x14ac:dyDescent="0.25">
      <c r="A2551" s="36"/>
    </row>
    <row r="2552" spans="1:1" x14ac:dyDescent="0.25">
      <c r="A2552" s="36"/>
    </row>
    <row r="2553" spans="1:1" x14ac:dyDescent="0.25">
      <c r="A2553" s="36"/>
    </row>
    <row r="2554" spans="1:1" x14ac:dyDescent="0.25">
      <c r="A2554" s="36"/>
    </row>
    <row r="2555" spans="1:1" x14ac:dyDescent="0.25">
      <c r="A2555" s="36"/>
    </row>
    <row r="2556" spans="1:1" x14ac:dyDescent="0.25">
      <c r="A2556" s="36"/>
    </row>
    <row r="2557" spans="1:1" x14ac:dyDescent="0.25">
      <c r="A2557" s="36"/>
    </row>
    <row r="2558" spans="1:1" x14ac:dyDescent="0.25">
      <c r="A2558" s="36"/>
    </row>
    <row r="2559" spans="1:1" x14ac:dyDescent="0.25">
      <c r="A2559" s="36"/>
    </row>
    <row r="2560" spans="1:1" x14ac:dyDescent="0.25">
      <c r="A2560" s="36"/>
    </row>
    <row r="2561" spans="1:1" x14ac:dyDescent="0.25">
      <c r="A2561" s="36"/>
    </row>
    <row r="2562" spans="1:1" x14ac:dyDescent="0.25">
      <c r="A2562" s="36"/>
    </row>
    <row r="2563" spans="1:1" x14ac:dyDescent="0.25">
      <c r="A2563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Recup_Perf">
                <anchor moveWithCells="1" sizeWithCells="1">
                  <from>
                    <xdr:col>3</xdr:col>
                    <xdr:colOff>0</xdr:colOff>
                    <xdr:row>0</xdr:row>
                    <xdr:rowOff>171450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LJ30"/>
  <sheetViews>
    <sheetView workbookViewId="0">
      <selection activeCell="J21" sqref="J21"/>
    </sheetView>
  </sheetViews>
  <sheetFormatPr baseColWidth="10" defaultColWidth="11.42578125" defaultRowHeight="12" zeroHeight="1" x14ac:dyDescent="0.2"/>
  <cols>
    <col min="1" max="1" width="3.28515625" style="1" customWidth="1"/>
    <col min="2" max="2" width="16" style="1" customWidth="1"/>
    <col min="3" max="3" width="14" style="1" customWidth="1"/>
    <col min="4" max="5" width="11.42578125" style="1" customWidth="1"/>
    <col min="6" max="6" width="15.85546875" style="1" customWidth="1"/>
    <col min="7" max="11" width="11.42578125" style="1" customWidth="1"/>
    <col min="12" max="12" width="13" style="1" customWidth="1"/>
    <col min="13" max="16" width="11.42578125" style="1" customWidth="1"/>
    <col min="17" max="17" width="11.85546875" style="1" bestFit="1" customWidth="1"/>
    <col min="18" max="16384" width="11.42578125" style="1"/>
  </cols>
  <sheetData>
    <row r="1" spans="1:322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</row>
    <row r="2" spans="1:322" x14ac:dyDescent="0.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</row>
    <row r="3" spans="1:322" x14ac:dyDescent="0.2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</row>
    <row r="4" spans="1:322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</row>
    <row r="5" spans="1:322" x14ac:dyDescent="0.2">
      <c r="A5" s="11"/>
      <c r="B5" s="11"/>
      <c r="C5" s="11"/>
      <c r="D5" s="12"/>
      <c r="E5" s="12"/>
      <c r="F5" s="13" t="s">
        <v>36</v>
      </c>
      <c r="G5" s="13" t="s">
        <v>37</v>
      </c>
      <c r="H5" s="13" t="s">
        <v>38</v>
      </c>
      <c r="I5" s="13" t="s">
        <v>39</v>
      </c>
      <c r="J5" s="13" t="s">
        <v>40</v>
      </c>
      <c r="K5" s="13" t="s">
        <v>41</v>
      </c>
      <c r="L5" s="13" t="s">
        <v>42</v>
      </c>
      <c r="M5" s="13" t="s">
        <v>43</v>
      </c>
      <c r="N5" s="13" t="s">
        <v>44</v>
      </c>
      <c r="O5" s="13" t="s">
        <v>45</v>
      </c>
      <c r="P5" s="13" t="s">
        <v>46</v>
      </c>
      <c r="Q5" s="13" t="s">
        <v>59</v>
      </c>
      <c r="R5" s="13" t="s">
        <v>60</v>
      </c>
      <c r="S5" s="13" t="s">
        <v>61</v>
      </c>
      <c r="T5" s="13" t="s">
        <v>62</v>
      </c>
      <c r="U5" s="13" t="s">
        <v>63</v>
      </c>
      <c r="V5" s="13" t="s">
        <v>64</v>
      </c>
      <c r="W5" s="13" t="s">
        <v>65</v>
      </c>
      <c r="X5" s="13" t="s">
        <v>66</v>
      </c>
      <c r="Y5" s="13" t="s">
        <v>67</v>
      </c>
      <c r="Z5" s="13" t="s">
        <v>68</v>
      </c>
      <c r="AA5" s="13" t="s">
        <v>69</v>
      </c>
      <c r="AB5" s="13" t="s">
        <v>70</v>
      </c>
      <c r="AC5" s="13" t="s">
        <v>71</v>
      </c>
      <c r="AD5" s="13" t="s">
        <v>72</v>
      </c>
      <c r="AE5" s="13" t="s">
        <v>73</v>
      </c>
      <c r="AF5" s="13" t="s">
        <v>74</v>
      </c>
      <c r="AG5" s="13" t="s">
        <v>75</v>
      </c>
      <c r="AH5" s="13" t="s">
        <v>76</v>
      </c>
      <c r="AI5" s="13" t="s">
        <v>77</v>
      </c>
      <c r="AJ5" s="13" t="s">
        <v>78</v>
      </c>
      <c r="AK5" s="13" t="s">
        <v>79</v>
      </c>
      <c r="AL5" s="13" t="s">
        <v>80</v>
      </c>
      <c r="AM5" s="13" t="s">
        <v>81</v>
      </c>
      <c r="AN5" s="13" t="s">
        <v>82</v>
      </c>
      <c r="AO5" s="13" t="s">
        <v>83</v>
      </c>
      <c r="AP5" s="13" t="s">
        <v>84</v>
      </c>
      <c r="AQ5" s="13" t="s">
        <v>85</v>
      </c>
      <c r="AR5" s="13" t="s">
        <v>86</v>
      </c>
      <c r="AS5" s="13" t="s">
        <v>87</v>
      </c>
      <c r="AT5" s="13" t="s">
        <v>88</v>
      </c>
      <c r="AU5" s="13" t="s">
        <v>89</v>
      </c>
      <c r="AV5" s="13" t="s">
        <v>90</v>
      </c>
      <c r="AW5" s="13" t="s">
        <v>91</v>
      </c>
      <c r="AX5" s="13" t="s">
        <v>92</v>
      </c>
      <c r="AY5" s="13" t="s">
        <v>93</v>
      </c>
      <c r="AZ5" s="13" t="s">
        <v>94</v>
      </c>
      <c r="BA5" s="13" t="s">
        <v>95</v>
      </c>
      <c r="BB5" s="13" t="s">
        <v>96</v>
      </c>
      <c r="BC5" s="13" t="s">
        <v>97</v>
      </c>
      <c r="BD5" s="13" t="s">
        <v>98</v>
      </c>
      <c r="BE5" s="13" t="s">
        <v>99</v>
      </c>
      <c r="BF5" s="13" t="s">
        <v>100</v>
      </c>
      <c r="BG5" s="13" t="s">
        <v>101</v>
      </c>
      <c r="BH5" s="13" t="s">
        <v>102</v>
      </c>
      <c r="BI5" s="13" t="s">
        <v>103</v>
      </c>
      <c r="BJ5" s="13" t="s">
        <v>104</v>
      </c>
      <c r="BK5" s="13" t="s">
        <v>105</v>
      </c>
      <c r="BL5" s="13" t="s">
        <v>106</v>
      </c>
      <c r="BM5" s="13" t="s">
        <v>107</v>
      </c>
      <c r="BN5" s="13" t="s">
        <v>108</v>
      </c>
      <c r="BO5" s="13" t="s">
        <v>109</v>
      </c>
      <c r="BP5" s="13" t="s">
        <v>110</v>
      </c>
      <c r="BQ5" s="13" t="s">
        <v>111</v>
      </c>
      <c r="BR5" s="13" t="s">
        <v>112</v>
      </c>
      <c r="BS5" s="13" t="s">
        <v>113</v>
      </c>
      <c r="BT5" s="13" t="s">
        <v>114</v>
      </c>
      <c r="BU5" s="13" t="s">
        <v>115</v>
      </c>
      <c r="BV5" s="13" t="s">
        <v>116</v>
      </c>
      <c r="BW5" s="13" t="s">
        <v>117</v>
      </c>
      <c r="BX5" s="13" t="s">
        <v>118</v>
      </c>
      <c r="BY5" s="13" t="s">
        <v>119</v>
      </c>
      <c r="BZ5" s="13" t="s">
        <v>120</v>
      </c>
      <c r="CA5" s="13" t="s">
        <v>121</v>
      </c>
      <c r="CB5" s="13" t="s">
        <v>122</v>
      </c>
      <c r="CC5" s="13" t="s">
        <v>123</v>
      </c>
      <c r="CD5" s="13" t="s">
        <v>124</v>
      </c>
      <c r="CE5" s="13" t="s">
        <v>125</v>
      </c>
      <c r="CF5" s="13" t="s">
        <v>126</v>
      </c>
      <c r="CG5" s="13" t="s">
        <v>127</v>
      </c>
      <c r="CH5" s="13" t="s">
        <v>128</v>
      </c>
      <c r="CI5" s="13" t="s">
        <v>129</v>
      </c>
      <c r="CJ5" s="13" t="s">
        <v>130</v>
      </c>
      <c r="CK5" s="13" t="s">
        <v>131</v>
      </c>
      <c r="CL5" s="13" t="s">
        <v>132</v>
      </c>
      <c r="CM5" s="13" t="s">
        <v>133</v>
      </c>
      <c r="CN5" s="13" t="s">
        <v>134</v>
      </c>
      <c r="CO5" s="13" t="s">
        <v>135</v>
      </c>
      <c r="CP5" s="13" t="s">
        <v>136</v>
      </c>
      <c r="CQ5" s="13" t="s">
        <v>137</v>
      </c>
      <c r="CR5" s="13" t="s">
        <v>138</v>
      </c>
      <c r="CS5" s="13" t="s">
        <v>139</v>
      </c>
      <c r="CT5" s="13" t="s">
        <v>140</v>
      </c>
      <c r="CU5" s="13" t="s">
        <v>141</v>
      </c>
      <c r="CV5" s="13" t="s">
        <v>142</v>
      </c>
      <c r="CW5" s="13" t="s">
        <v>143</v>
      </c>
      <c r="CX5" s="13" t="s">
        <v>144</v>
      </c>
      <c r="CY5" s="13" t="s">
        <v>145</v>
      </c>
      <c r="CZ5" s="13" t="s">
        <v>146</v>
      </c>
      <c r="DA5" s="13" t="s">
        <v>147</v>
      </c>
      <c r="DB5" s="13" t="s">
        <v>148</v>
      </c>
      <c r="DC5" s="13" t="s">
        <v>149</v>
      </c>
      <c r="DD5" s="13" t="s">
        <v>150</v>
      </c>
      <c r="DE5" s="13" t="s">
        <v>151</v>
      </c>
      <c r="DF5" s="13" t="s">
        <v>152</v>
      </c>
      <c r="DG5" s="13" t="s">
        <v>153</v>
      </c>
      <c r="DH5" s="13" t="s">
        <v>154</v>
      </c>
      <c r="DI5" s="13" t="s">
        <v>155</v>
      </c>
      <c r="DJ5" s="13" t="s">
        <v>156</v>
      </c>
      <c r="DK5" s="13" t="s">
        <v>157</v>
      </c>
      <c r="DL5" s="13" t="s">
        <v>158</v>
      </c>
      <c r="DM5" s="13" t="s">
        <v>159</v>
      </c>
      <c r="DN5" s="13" t="s">
        <v>160</v>
      </c>
      <c r="DO5" s="13" t="s">
        <v>161</v>
      </c>
      <c r="DP5" s="13" t="s">
        <v>162</v>
      </c>
      <c r="DQ5" s="13" t="s">
        <v>163</v>
      </c>
      <c r="DR5" s="13" t="s">
        <v>164</v>
      </c>
      <c r="DS5" s="13" t="s">
        <v>165</v>
      </c>
      <c r="DT5" s="13" t="s">
        <v>166</v>
      </c>
      <c r="DU5" s="13" t="s">
        <v>167</v>
      </c>
      <c r="DV5" s="13" t="s">
        <v>168</v>
      </c>
      <c r="DW5" s="13" t="s">
        <v>169</v>
      </c>
      <c r="DX5" s="13" t="s">
        <v>170</v>
      </c>
      <c r="DY5" s="13" t="s">
        <v>171</v>
      </c>
      <c r="DZ5" s="13" t="s">
        <v>172</v>
      </c>
      <c r="EA5" s="13" t="s">
        <v>173</v>
      </c>
      <c r="EB5" s="13" t="s">
        <v>174</v>
      </c>
      <c r="EC5" s="13" t="s">
        <v>175</v>
      </c>
      <c r="ED5" s="13" t="s">
        <v>176</v>
      </c>
      <c r="EE5" s="13" t="s">
        <v>177</v>
      </c>
      <c r="EF5" s="13" t="s">
        <v>178</v>
      </c>
      <c r="EG5" s="13" t="s">
        <v>179</v>
      </c>
      <c r="EH5" s="13" t="s">
        <v>180</v>
      </c>
      <c r="EI5" s="13" t="s">
        <v>181</v>
      </c>
      <c r="EJ5" s="13" t="s">
        <v>182</v>
      </c>
      <c r="EK5" s="13" t="s">
        <v>183</v>
      </c>
      <c r="EL5" s="13" t="s">
        <v>184</v>
      </c>
      <c r="EM5" s="13" t="s">
        <v>185</v>
      </c>
      <c r="EN5" s="13" t="s">
        <v>186</v>
      </c>
      <c r="EO5" s="13" t="s">
        <v>187</v>
      </c>
      <c r="EP5" s="13" t="s">
        <v>188</v>
      </c>
      <c r="EQ5" s="13" t="s">
        <v>189</v>
      </c>
      <c r="ER5" s="13" t="s">
        <v>190</v>
      </c>
      <c r="ES5" s="13" t="s">
        <v>191</v>
      </c>
      <c r="ET5" s="13" t="s">
        <v>192</v>
      </c>
      <c r="EU5" s="13" t="s">
        <v>193</v>
      </c>
      <c r="EV5" s="13" t="s">
        <v>194</v>
      </c>
      <c r="EW5" s="13" t="s">
        <v>195</v>
      </c>
      <c r="EX5" s="13" t="s">
        <v>196</v>
      </c>
      <c r="EY5" s="13" t="s">
        <v>197</v>
      </c>
      <c r="EZ5" s="13" t="s">
        <v>198</v>
      </c>
      <c r="FA5" s="13" t="s">
        <v>199</v>
      </c>
      <c r="FB5" s="13" t="s">
        <v>200</v>
      </c>
      <c r="FC5" s="13" t="s">
        <v>201</v>
      </c>
      <c r="FD5" s="13" t="s">
        <v>202</v>
      </c>
      <c r="FE5" s="13" t="s">
        <v>203</v>
      </c>
      <c r="FF5" s="13" t="s">
        <v>204</v>
      </c>
      <c r="FG5" s="13" t="s">
        <v>205</v>
      </c>
      <c r="FH5" s="13" t="s">
        <v>206</v>
      </c>
      <c r="FI5" s="13" t="s">
        <v>207</v>
      </c>
      <c r="FJ5" s="13" t="s">
        <v>208</v>
      </c>
      <c r="FK5" s="13" t="s">
        <v>209</v>
      </c>
      <c r="FL5" s="13" t="s">
        <v>210</v>
      </c>
      <c r="FM5" s="13" t="s">
        <v>211</v>
      </c>
      <c r="FN5" s="13" t="s">
        <v>212</v>
      </c>
      <c r="FO5" s="13" t="s">
        <v>213</v>
      </c>
      <c r="FP5" s="13" t="s">
        <v>214</v>
      </c>
      <c r="FQ5" s="13" t="s">
        <v>215</v>
      </c>
      <c r="FR5" s="13" t="s">
        <v>216</v>
      </c>
      <c r="FS5" s="13" t="s">
        <v>217</v>
      </c>
      <c r="FT5" s="13" t="s">
        <v>218</v>
      </c>
      <c r="FU5" s="13" t="s">
        <v>219</v>
      </c>
      <c r="FV5" s="13" t="s">
        <v>220</v>
      </c>
      <c r="FW5" s="13" t="s">
        <v>221</v>
      </c>
      <c r="FX5" s="13" t="s">
        <v>222</v>
      </c>
      <c r="FY5" s="13" t="s">
        <v>223</v>
      </c>
      <c r="FZ5" s="13" t="s">
        <v>224</v>
      </c>
      <c r="GA5" s="13" t="s">
        <v>225</v>
      </c>
      <c r="GB5" s="13" t="s">
        <v>226</v>
      </c>
      <c r="GC5" s="13" t="s">
        <v>227</v>
      </c>
      <c r="GD5" s="13" t="s">
        <v>228</v>
      </c>
      <c r="GE5" s="13" t="s">
        <v>229</v>
      </c>
      <c r="GF5" s="13" t="s">
        <v>230</v>
      </c>
      <c r="GG5" s="13" t="s">
        <v>231</v>
      </c>
      <c r="GH5" s="13" t="s">
        <v>232</v>
      </c>
      <c r="GI5" s="13" t="s">
        <v>233</v>
      </c>
      <c r="GJ5" s="13" t="s">
        <v>234</v>
      </c>
      <c r="GK5" s="13" t="s">
        <v>235</v>
      </c>
      <c r="GL5" s="13" t="s">
        <v>236</v>
      </c>
      <c r="GM5" s="13" t="s">
        <v>237</v>
      </c>
      <c r="GN5" s="13" t="s">
        <v>238</v>
      </c>
      <c r="GO5" s="13" t="s">
        <v>239</v>
      </c>
      <c r="GP5" s="13" t="s">
        <v>240</v>
      </c>
      <c r="GQ5" s="13" t="s">
        <v>241</v>
      </c>
      <c r="GR5" s="13" t="s">
        <v>242</v>
      </c>
      <c r="GS5" s="13" t="s">
        <v>243</v>
      </c>
      <c r="GT5" s="13" t="s">
        <v>244</v>
      </c>
      <c r="GU5" s="13" t="s">
        <v>245</v>
      </c>
      <c r="GV5" s="13" t="s">
        <v>246</v>
      </c>
      <c r="GW5" s="13" t="s">
        <v>247</v>
      </c>
      <c r="GX5" s="13" t="s">
        <v>248</v>
      </c>
      <c r="GY5" s="13" t="s">
        <v>249</v>
      </c>
      <c r="GZ5" s="13" t="s">
        <v>250</v>
      </c>
      <c r="HA5" s="13" t="s">
        <v>251</v>
      </c>
      <c r="HB5" s="13" t="s">
        <v>252</v>
      </c>
      <c r="HC5" s="13" t="s">
        <v>253</v>
      </c>
      <c r="HD5" s="13" t="s">
        <v>254</v>
      </c>
      <c r="HE5" s="13" t="s">
        <v>255</v>
      </c>
      <c r="HF5" s="13" t="s">
        <v>256</v>
      </c>
      <c r="HG5" s="13" t="s">
        <v>257</v>
      </c>
      <c r="HH5" s="13" t="s">
        <v>258</v>
      </c>
      <c r="HI5" s="13" t="s">
        <v>259</v>
      </c>
      <c r="HJ5" s="13" t="s">
        <v>260</v>
      </c>
      <c r="HK5" s="13" t="s">
        <v>261</v>
      </c>
      <c r="HL5" s="13" t="s">
        <v>262</v>
      </c>
      <c r="HM5" s="13" t="s">
        <v>263</v>
      </c>
      <c r="HN5" s="13" t="s">
        <v>264</v>
      </c>
      <c r="HO5" s="13" t="s">
        <v>265</v>
      </c>
      <c r="HP5" s="13" t="s">
        <v>266</v>
      </c>
      <c r="HQ5" s="13" t="s">
        <v>267</v>
      </c>
      <c r="HR5" s="13" t="s">
        <v>268</v>
      </c>
      <c r="HS5" s="13" t="s">
        <v>269</v>
      </c>
      <c r="HT5" s="13" t="s">
        <v>270</v>
      </c>
      <c r="HU5" s="13" t="s">
        <v>271</v>
      </c>
      <c r="HV5" s="13" t="s">
        <v>272</v>
      </c>
      <c r="HW5" s="13" t="s">
        <v>273</v>
      </c>
      <c r="HX5" s="13" t="s">
        <v>274</v>
      </c>
      <c r="HY5" s="13" t="s">
        <v>275</v>
      </c>
      <c r="HZ5" s="13" t="s">
        <v>276</v>
      </c>
      <c r="IA5" s="13" t="s">
        <v>277</v>
      </c>
      <c r="IB5" s="13" t="s">
        <v>278</v>
      </c>
      <c r="IC5" s="13" t="s">
        <v>279</v>
      </c>
      <c r="ID5" s="13" t="s">
        <v>280</v>
      </c>
      <c r="IE5" s="13" t="s">
        <v>281</v>
      </c>
      <c r="IF5" s="13" t="s">
        <v>282</v>
      </c>
      <c r="IG5" s="13" t="s">
        <v>283</v>
      </c>
      <c r="IH5" s="13" t="s">
        <v>284</v>
      </c>
      <c r="II5" s="13" t="s">
        <v>285</v>
      </c>
      <c r="IJ5" s="13" t="s">
        <v>286</v>
      </c>
      <c r="IK5" s="13" t="s">
        <v>287</v>
      </c>
      <c r="IL5" s="13" t="s">
        <v>288</v>
      </c>
      <c r="IM5" s="13" t="s">
        <v>289</v>
      </c>
      <c r="IN5" s="13" t="s">
        <v>290</v>
      </c>
      <c r="IO5" s="13" t="s">
        <v>291</v>
      </c>
      <c r="IP5" s="13" t="s">
        <v>292</v>
      </c>
      <c r="IQ5" s="13" t="s">
        <v>293</v>
      </c>
      <c r="IR5" s="13" t="s">
        <v>294</v>
      </c>
      <c r="IS5" s="13" t="s">
        <v>295</v>
      </c>
      <c r="IT5" s="13" t="s">
        <v>296</v>
      </c>
      <c r="IU5" s="13" t="s">
        <v>297</v>
      </c>
      <c r="IV5" s="13" t="s">
        <v>298</v>
      </c>
      <c r="IW5" s="13" t="s">
        <v>299</v>
      </c>
      <c r="IX5" s="13" t="s">
        <v>300</v>
      </c>
      <c r="IY5" s="13" t="s">
        <v>301</v>
      </c>
      <c r="IZ5" s="13" t="s">
        <v>302</v>
      </c>
      <c r="JA5" s="13" t="s">
        <v>303</v>
      </c>
      <c r="JB5" s="13" t="s">
        <v>304</v>
      </c>
      <c r="JC5" s="13" t="s">
        <v>305</v>
      </c>
      <c r="JD5" s="13" t="s">
        <v>306</v>
      </c>
      <c r="JE5" s="13" t="s">
        <v>307</v>
      </c>
      <c r="JF5" s="13" t="s">
        <v>308</v>
      </c>
      <c r="JG5" s="13" t="s">
        <v>309</v>
      </c>
      <c r="JH5" s="13" t="s">
        <v>310</v>
      </c>
      <c r="JI5" s="13" t="s">
        <v>311</v>
      </c>
      <c r="JJ5" s="13" t="s">
        <v>312</v>
      </c>
      <c r="JK5" s="13" t="s">
        <v>313</v>
      </c>
      <c r="JL5" s="13" t="s">
        <v>314</v>
      </c>
      <c r="JM5" s="13" t="s">
        <v>315</v>
      </c>
      <c r="JN5" s="13" t="s">
        <v>316</v>
      </c>
      <c r="JO5" s="13" t="s">
        <v>317</v>
      </c>
      <c r="JP5" s="13" t="s">
        <v>318</v>
      </c>
      <c r="JQ5" s="13" t="s">
        <v>319</v>
      </c>
      <c r="JR5" s="13" t="s">
        <v>320</v>
      </c>
      <c r="JS5" s="13" t="s">
        <v>321</v>
      </c>
      <c r="JT5" s="13" t="s">
        <v>322</v>
      </c>
      <c r="JU5" s="13" t="s">
        <v>323</v>
      </c>
      <c r="JV5" s="13" t="s">
        <v>324</v>
      </c>
      <c r="JW5" s="13" t="s">
        <v>325</v>
      </c>
      <c r="JX5" s="13" t="s">
        <v>326</v>
      </c>
      <c r="JY5" s="13" t="s">
        <v>327</v>
      </c>
      <c r="JZ5" s="13" t="s">
        <v>328</v>
      </c>
      <c r="KA5" s="13" t="s">
        <v>329</v>
      </c>
      <c r="KB5" s="13" t="s">
        <v>330</v>
      </c>
      <c r="KC5" s="13" t="s">
        <v>331</v>
      </c>
      <c r="KD5" s="13" t="s">
        <v>332</v>
      </c>
      <c r="KE5" s="13" t="s">
        <v>333</v>
      </c>
      <c r="KF5" s="13" t="s">
        <v>334</v>
      </c>
      <c r="KG5" s="13" t="s">
        <v>335</v>
      </c>
      <c r="KH5" s="13" t="s">
        <v>336</v>
      </c>
      <c r="KI5" s="13" t="s">
        <v>337</v>
      </c>
      <c r="KJ5" s="13" t="s">
        <v>338</v>
      </c>
      <c r="KK5" s="13" t="s">
        <v>339</v>
      </c>
      <c r="KL5" s="13" t="s">
        <v>340</v>
      </c>
      <c r="KM5" s="13" t="s">
        <v>341</v>
      </c>
      <c r="KN5" s="13" t="s">
        <v>342</v>
      </c>
      <c r="KO5" s="13" t="s">
        <v>343</v>
      </c>
      <c r="KP5" s="13" t="s">
        <v>344</v>
      </c>
      <c r="KQ5" s="13" t="s">
        <v>345</v>
      </c>
      <c r="KR5" s="13" t="s">
        <v>346</v>
      </c>
      <c r="KS5" s="13" t="s">
        <v>347</v>
      </c>
      <c r="KT5" s="13" t="s">
        <v>348</v>
      </c>
      <c r="KU5" s="13" t="s">
        <v>349</v>
      </c>
      <c r="KV5" s="13" t="s">
        <v>350</v>
      </c>
      <c r="KW5" s="13" t="s">
        <v>351</v>
      </c>
      <c r="KX5" s="13" t="s">
        <v>352</v>
      </c>
      <c r="KY5" s="13" t="s">
        <v>353</v>
      </c>
      <c r="KZ5" s="13" t="s">
        <v>354</v>
      </c>
      <c r="LA5" s="13" t="s">
        <v>355</v>
      </c>
      <c r="LB5" s="13" t="s">
        <v>356</v>
      </c>
      <c r="LC5" s="13" t="s">
        <v>357</v>
      </c>
      <c r="LD5" s="13" t="s">
        <v>358</v>
      </c>
      <c r="LE5" s="13" t="s">
        <v>359</v>
      </c>
      <c r="LF5" s="13" t="s">
        <v>360</v>
      </c>
      <c r="LG5" s="13" t="s">
        <v>361</v>
      </c>
      <c r="LH5" s="13" t="s">
        <v>362</v>
      </c>
      <c r="LI5" s="13" t="s">
        <v>363</v>
      </c>
      <c r="LJ5" s="13" t="s">
        <v>364</v>
      </c>
    </row>
    <row r="6" spans="1:322" x14ac:dyDescent="0.2">
      <c r="A6" s="11"/>
      <c r="B6" s="132" t="s">
        <v>47</v>
      </c>
      <c r="C6" s="133"/>
      <c r="D6" s="134"/>
      <c r="E6" s="12"/>
      <c r="F6" s="40">
        <f>Inputs_prix_emission</f>
        <v>1</v>
      </c>
      <c r="G6" s="62"/>
      <c r="H6" s="62"/>
      <c r="I6" s="62"/>
      <c r="J6" s="62"/>
      <c r="K6" s="62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</row>
    <row r="7" spans="1:322" x14ac:dyDescent="0.2">
      <c r="A7" s="11"/>
      <c r="B7" s="135" t="s">
        <v>48</v>
      </c>
      <c r="C7" s="136"/>
      <c r="D7" s="137"/>
      <c r="E7" s="12"/>
      <c r="F7" s="42">
        <f>Date_strike</f>
        <v>43448</v>
      </c>
      <c r="G7" s="15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</row>
    <row r="8" spans="1:322" x14ac:dyDescent="0.2">
      <c r="A8" s="11"/>
      <c r="B8" s="135" t="s">
        <v>49</v>
      </c>
      <c r="C8" s="136"/>
      <c r="D8" s="137"/>
      <c r="E8" s="12"/>
      <c r="F8" s="17"/>
      <c r="G8" s="15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</row>
    <row r="9" spans="1:322" x14ac:dyDescent="0.2">
      <c r="A9" s="11"/>
      <c r="B9" s="135" t="s">
        <v>50</v>
      </c>
      <c r="C9" s="136"/>
      <c r="D9" s="137"/>
      <c r="E9" s="12"/>
      <c r="F9" s="43">
        <f>Inputs_frais_gestion</f>
        <v>0.01</v>
      </c>
      <c r="G9" s="18"/>
      <c r="H9" s="19"/>
      <c r="I9" s="19"/>
      <c r="J9" s="19"/>
      <c r="K9" s="19"/>
      <c r="L9" s="118" t="s">
        <v>458</v>
      </c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</row>
    <row r="10" spans="1:322" x14ac:dyDescent="0.2">
      <c r="A10" s="11"/>
      <c r="B10" s="138" t="s">
        <v>51</v>
      </c>
      <c r="C10" s="139"/>
      <c r="D10" s="140"/>
      <c r="E10" s="12"/>
      <c r="F10" s="41">
        <f>Premiere_NDR</f>
        <v>43829</v>
      </c>
      <c r="G10" s="41">
        <f>Derniere_NDR</f>
        <v>46749</v>
      </c>
      <c r="H10" s="41">
        <f>Echeance</f>
        <v>47115</v>
      </c>
      <c r="I10" s="41">
        <f>Echeance</f>
        <v>47115</v>
      </c>
      <c r="J10" s="41">
        <f>Echeance</f>
        <v>47115</v>
      </c>
      <c r="K10" s="41">
        <f>Echeance</f>
        <v>47115</v>
      </c>
      <c r="L10" s="41">
        <f>Echeance</f>
        <v>47115</v>
      </c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  <c r="IT10" s="20"/>
      <c r="IU10" s="20"/>
      <c r="IV10" s="20"/>
      <c r="IW10" s="20"/>
      <c r="IX10" s="20"/>
      <c r="IY10" s="20"/>
      <c r="IZ10" s="20"/>
      <c r="JA10" s="20"/>
      <c r="JB10" s="20"/>
      <c r="JC10" s="20"/>
      <c r="JD10" s="20"/>
      <c r="JE10" s="20"/>
      <c r="JF10" s="20"/>
      <c r="JG10" s="20"/>
      <c r="JH10" s="20"/>
      <c r="JI10" s="20"/>
      <c r="JJ10" s="20"/>
      <c r="JK10" s="20"/>
      <c r="JL10" s="20"/>
      <c r="JM10" s="20"/>
      <c r="JN10" s="20"/>
      <c r="JO10" s="20"/>
      <c r="JP10" s="20"/>
      <c r="JQ10" s="20"/>
      <c r="JR10" s="20"/>
      <c r="JS10" s="20"/>
      <c r="JT10" s="20"/>
      <c r="JU10" s="20"/>
      <c r="JV10" s="20"/>
      <c r="JW10" s="20"/>
      <c r="JX10" s="20"/>
      <c r="JY10" s="20"/>
      <c r="JZ10" s="20"/>
      <c r="KA10" s="20"/>
      <c r="KB10" s="20"/>
      <c r="KC10" s="20"/>
      <c r="KD10" s="20"/>
      <c r="KE10" s="20"/>
      <c r="KF10" s="20"/>
      <c r="KG10" s="20"/>
      <c r="KH10" s="20"/>
      <c r="KI10" s="20"/>
      <c r="KJ10" s="20"/>
      <c r="KK10" s="20"/>
      <c r="KL10" s="20"/>
      <c r="KM10" s="20"/>
      <c r="KN10" s="20"/>
      <c r="KO10" s="20"/>
      <c r="KP10" s="20"/>
      <c r="KQ10" s="20"/>
      <c r="KR10" s="20"/>
      <c r="KS10" s="20"/>
      <c r="KT10" s="20"/>
      <c r="KU10" s="20"/>
      <c r="KV10" s="20"/>
      <c r="KW10" s="20"/>
      <c r="KX10" s="20"/>
      <c r="KY10" s="20"/>
      <c r="KZ10" s="20"/>
      <c r="LA10" s="20"/>
      <c r="LB10" s="20"/>
      <c r="LC10" s="20"/>
      <c r="LD10" s="20"/>
      <c r="LE10" s="20"/>
      <c r="LF10" s="20"/>
      <c r="LG10" s="20"/>
      <c r="LH10" s="20"/>
      <c r="LI10" s="20"/>
      <c r="LJ10" s="20"/>
    </row>
    <row r="11" spans="1:322" x14ac:dyDescent="0.2">
      <c r="A11" s="11"/>
      <c r="B11" s="141" t="s">
        <v>52</v>
      </c>
      <c r="C11" s="142"/>
      <c r="D11" s="143"/>
      <c r="E11" s="12"/>
      <c r="F11" s="24">
        <v>1.04</v>
      </c>
      <c r="G11" s="24">
        <v>1.3599999999999999</v>
      </c>
      <c r="H11" s="24">
        <v>1.4</v>
      </c>
      <c r="I11" s="24">
        <v>1</v>
      </c>
      <c r="J11" s="24">
        <v>0.6</v>
      </c>
      <c r="K11" s="24">
        <v>0.96</v>
      </c>
      <c r="L11" s="24">
        <f>J11-0.05</f>
        <v>0.54999999999999993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</row>
    <row r="12" spans="1:322" x14ac:dyDescent="0.2">
      <c r="A12" s="11"/>
      <c r="B12" s="12"/>
      <c r="C12" s="12"/>
      <c r="D12" s="12"/>
      <c r="E12" s="12"/>
      <c r="F12" s="25"/>
      <c r="G12" s="25"/>
      <c r="H12" s="25"/>
      <c r="I12" s="25"/>
      <c r="J12" s="25"/>
      <c r="K12" s="25"/>
      <c r="L12" s="24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12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12"/>
      <c r="JX12" s="12"/>
      <c r="JY12" s="12"/>
      <c r="JZ12" s="12"/>
      <c r="KA12" s="12"/>
      <c r="KB12" s="12"/>
      <c r="KC12" s="12"/>
      <c r="KD12" s="12"/>
      <c r="KE12" s="12"/>
      <c r="KF12" s="12"/>
      <c r="KG12" s="12"/>
      <c r="KH12" s="12"/>
      <c r="KI12" s="12"/>
      <c r="KJ12" s="12"/>
      <c r="KK12" s="12"/>
      <c r="KL12" s="12"/>
      <c r="KM12" s="12"/>
      <c r="KN12" s="12"/>
      <c r="KO12" s="12"/>
      <c r="KP12" s="12"/>
      <c r="KQ12" s="12"/>
      <c r="KR12" s="12"/>
      <c r="KS12" s="12"/>
      <c r="KT12" s="12"/>
      <c r="KU12" s="12"/>
      <c r="KV12" s="12"/>
      <c r="KW12" s="12"/>
      <c r="KX12" s="12"/>
      <c r="KY12" s="12"/>
      <c r="KZ12" s="12"/>
      <c r="LA12" s="12"/>
      <c r="LB12" s="12"/>
      <c r="LC12" s="12"/>
      <c r="LD12" s="12"/>
      <c r="LE12" s="12"/>
      <c r="LF12" s="12"/>
      <c r="LG12" s="12"/>
      <c r="LH12" s="12"/>
      <c r="LI12" s="12"/>
      <c r="LJ12" s="12"/>
    </row>
    <row r="13" spans="1:322" x14ac:dyDescent="0.2">
      <c r="A13" s="11"/>
      <c r="B13" s="120" t="s">
        <v>53</v>
      </c>
      <c r="C13" s="121"/>
      <c r="D13" s="122"/>
      <c r="E13" s="12"/>
      <c r="F13" s="26">
        <v>1.0438356164383562</v>
      </c>
      <c r="G13" s="26">
        <v>9.043835616438356</v>
      </c>
      <c r="H13" s="26">
        <v>10.046575342465754</v>
      </c>
      <c r="I13" s="26">
        <v>10.046575342465754</v>
      </c>
      <c r="J13" s="26">
        <v>10.046575342465754</v>
      </c>
      <c r="K13" s="26">
        <v>10.046575342465754</v>
      </c>
      <c r="L13" s="26">
        <v>10.046575342465754</v>
      </c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</row>
    <row r="14" spans="1:322" x14ac:dyDescent="0.2">
      <c r="A14" s="11"/>
      <c r="B14" s="12"/>
      <c r="C14" s="12"/>
      <c r="D14" s="12"/>
      <c r="E14" s="12"/>
      <c r="F14" s="25"/>
      <c r="G14" s="25"/>
      <c r="H14" s="25"/>
      <c r="I14" s="25"/>
      <c r="J14" s="25"/>
      <c r="K14" s="25"/>
      <c r="L14" s="24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  <c r="JQ14" s="12"/>
      <c r="JR14" s="12"/>
      <c r="JS14" s="12"/>
      <c r="JT14" s="12"/>
      <c r="JU14" s="12"/>
      <c r="JV14" s="12"/>
      <c r="JW14" s="12"/>
      <c r="JX14" s="12"/>
      <c r="JY14" s="12"/>
      <c r="JZ14" s="12"/>
      <c r="KA14" s="12"/>
      <c r="KB14" s="12"/>
      <c r="KC14" s="12"/>
      <c r="KD14" s="12"/>
      <c r="KE14" s="12"/>
      <c r="KF14" s="12"/>
      <c r="KG14" s="12"/>
      <c r="KH14" s="12"/>
      <c r="KI14" s="12"/>
      <c r="KJ14" s="12"/>
      <c r="KK14" s="12"/>
      <c r="KL14" s="12"/>
      <c r="KM14" s="12"/>
      <c r="KN14" s="12"/>
      <c r="KO14" s="12"/>
      <c r="KP14" s="12"/>
      <c r="KQ14" s="12"/>
      <c r="KR14" s="12"/>
      <c r="KS14" s="12"/>
      <c r="KT14" s="12"/>
      <c r="KU14" s="12"/>
      <c r="KV14" s="12"/>
      <c r="KW14" s="12"/>
      <c r="KX14" s="12"/>
      <c r="KY14" s="12"/>
      <c r="KZ14" s="12"/>
      <c r="LA14" s="12"/>
      <c r="LB14" s="12"/>
      <c r="LC14" s="12"/>
      <c r="LD14" s="12"/>
      <c r="LE14" s="12"/>
      <c r="LF14" s="12"/>
      <c r="LG14" s="12"/>
      <c r="LH14" s="12"/>
      <c r="LI14" s="12"/>
      <c r="LJ14" s="12"/>
    </row>
    <row r="15" spans="1:322" x14ac:dyDescent="0.2">
      <c r="A15" s="11"/>
      <c r="B15" s="120" t="s">
        <v>54</v>
      </c>
      <c r="C15" s="121"/>
      <c r="D15" s="122"/>
      <c r="E15" s="12"/>
      <c r="F15" s="27">
        <v>3.8288463260051975E-2</v>
      </c>
      <c r="G15" s="27">
        <v>3.4583953384855981E-2</v>
      </c>
      <c r="H15" s="27">
        <v>3.4058382314112734E-2</v>
      </c>
      <c r="I15" s="27">
        <v>0</v>
      </c>
      <c r="J15" s="27">
        <v>-4.9574734417704769E-2</v>
      </c>
      <c r="K15" s="27">
        <v>-4.0550306806507175E-3</v>
      </c>
      <c r="L15" s="24">
        <v>-5.7770634543435784E-2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22"/>
      <c r="FZ15" s="22"/>
      <c r="GA15" s="22"/>
      <c r="GB15" s="22"/>
      <c r="GC15" s="22"/>
      <c r="GD15" s="22"/>
      <c r="GE15" s="22"/>
      <c r="GF15" s="22"/>
      <c r="GG15" s="22"/>
      <c r="GH15" s="22"/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22"/>
      <c r="GZ15" s="22"/>
      <c r="HA15" s="22"/>
      <c r="HB15" s="22"/>
      <c r="HC15" s="22"/>
      <c r="HD15" s="22"/>
      <c r="HE15" s="22"/>
      <c r="HF15" s="22"/>
      <c r="HG15" s="22"/>
      <c r="HH15" s="22"/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22"/>
      <c r="HZ15" s="22"/>
      <c r="IA15" s="22"/>
      <c r="IB15" s="22"/>
      <c r="IC15" s="22"/>
      <c r="ID15" s="22"/>
      <c r="IE15" s="22"/>
      <c r="IF15" s="22"/>
      <c r="IG15" s="22"/>
      <c r="IH15" s="22"/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22"/>
      <c r="IZ15" s="22"/>
      <c r="JA15" s="22"/>
      <c r="JB15" s="22"/>
      <c r="JC15" s="22"/>
      <c r="JD15" s="22"/>
      <c r="JE15" s="22"/>
      <c r="JF15" s="22"/>
      <c r="JG15" s="22"/>
      <c r="JH15" s="22"/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22"/>
      <c r="JZ15" s="22"/>
      <c r="KA15" s="22"/>
      <c r="KB15" s="22"/>
      <c r="KC15" s="22"/>
      <c r="KD15" s="22"/>
      <c r="KE15" s="22"/>
      <c r="KF15" s="22"/>
      <c r="KG15" s="22"/>
      <c r="KH15" s="22"/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22"/>
      <c r="KZ15" s="22"/>
      <c r="LA15" s="22"/>
      <c r="LB15" s="22"/>
      <c r="LC15" s="22"/>
      <c r="LD15" s="22"/>
      <c r="LE15" s="22"/>
      <c r="LF15" s="22"/>
      <c r="LG15" s="22"/>
      <c r="LH15" s="22"/>
      <c r="LI15" s="22"/>
      <c r="LJ15" s="22"/>
    </row>
    <row r="16" spans="1:322" x14ac:dyDescent="0.2">
      <c r="A16" s="11"/>
      <c r="B16" s="120" t="s">
        <v>55</v>
      </c>
      <c r="C16" s="121"/>
      <c r="D16" s="122"/>
      <c r="E16" s="12"/>
      <c r="F16" s="27">
        <v>2.7905578627451355E-2</v>
      </c>
      <c r="G16" s="27">
        <v>2.4238113851007492E-2</v>
      </c>
      <c r="H16" s="27">
        <v>2.3717798490971553E-2</v>
      </c>
      <c r="I16" s="27">
        <v>-1.0000000000000009E-2</v>
      </c>
      <c r="J16" s="27">
        <v>-5.9078987073527767E-2</v>
      </c>
      <c r="K16" s="27">
        <v>-1.4014480373844229E-2</v>
      </c>
      <c r="L16" s="24">
        <v>-6.7192928198001489E-2</v>
      </c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22"/>
      <c r="EZ16" s="22"/>
      <c r="FA16" s="22"/>
      <c r="FB16" s="22"/>
      <c r="FC16" s="22"/>
      <c r="FD16" s="22"/>
      <c r="FE16" s="22"/>
      <c r="FF16" s="22"/>
      <c r="FG16" s="22"/>
      <c r="FH16" s="22"/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22"/>
      <c r="FZ16" s="22"/>
      <c r="GA16" s="22"/>
      <c r="GB16" s="22"/>
      <c r="GC16" s="22"/>
      <c r="GD16" s="22"/>
      <c r="GE16" s="22"/>
      <c r="GF16" s="22"/>
      <c r="GG16" s="22"/>
      <c r="GH16" s="22"/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22"/>
      <c r="GZ16" s="22"/>
      <c r="HA16" s="22"/>
      <c r="HB16" s="22"/>
      <c r="HC16" s="22"/>
      <c r="HD16" s="22"/>
      <c r="HE16" s="22"/>
      <c r="HF16" s="22"/>
      <c r="HG16" s="22"/>
      <c r="HH16" s="22"/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22"/>
      <c r="HZ16" s="22"/>
      <c r="IA16" s="22"/>
      <c r="IB16" s="22"/>
      <c r="IC16" s="22"/>
      <c r="ID16" s="22"/>
      <c r="IE16" s="22"/>
      <c r="IF16" s="22"/>
      <c r="IG16" s="22"/>
      <c r="IH16" s="22"/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22"/>
      <c r="IZ16" s="22"/>
      <c r="JA16" s="22"/>
      <c r="JB16" s="22"/>
      <c r="JC16" s="22"/>
      <c r="JD16" s="22"/>
      <c r="JE16" s="22"/>
      <c r="JF16" s="22"/>
      <c r="JG16" s="22"/>
      <c r="JH16" s="22"/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22"/>
      <c r="JZ16" s="22"/>
      <c r="KA16" s="22"/>
      <c r="KB16" s="22"/>
      <c r="KC16" s="22"/>
      <c r="KD16" s="22"/>
      <c r="KE16" s="22"/>
      <c r="KF16" s="22"/>
      <c r="KG16" s="22"/>
      <c r="KH16" s="22"/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22"/>
      <c r="KZ16" s="22"/>
      <c r="LA16" s="22"/>
      <c r="LB16" s="22"/>
      <c r="LC16" s="22"/>
      <c r="LD16" s="22"/>
      <c r="LE16" s="22"/>
      <c r="LF16" s="22"/>
      <c r="LG16" s="22"/>
      <c r="LH16" s="22"/>
      <c r="LI16" s="22"/>
      <c r="LJ16" s="22"/>
    </row>
    <row r="17" spans="1:322" x14ac:dyDescent="0.2">
      <c r="A17" s="11"/>
      <c r="B17" s="120" t="s">
        <v>56</v>
      </c>
      <c r="C17" s="121"/>
      <c r="D17" s="122"/>
      <c r="E17" s="12"/>
      <c r="F17" s="27"/>
      <c r="G17" s="27"/>
      <c r="H17" s="27"/>
      <c r="I17" s="27"/>
      <c r="J17" s="27"/>
      <c r="K17" s="27"/>
      <c r="L17" s="24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22"/>
      <c r="FZ17" s="22"/>
      <c r="GA17" s="22"/>
      <c r="GB17" s="22"/>
      <c r="GC17" s="22"/>
      <c r="GD17" s="22"/>
      <c r="GE17" s="22"/>
      <c r="GF17" s="22"/>
      <c r="GG17" s="22"/>
      <c r="GH17" s="22"/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22"/>
      <c r="GZ17" s="22"/>
      <c r="HA17" s="22"/>
      <c r="HB17" s="22"/>
      <c r="HC17" s="22"/>
      <c r="HD17" s="22"/>
      <c r="HE17" s="22"/>
      <c r="HF17" s="22"/>
      <c r="HG17" s="22"/>
      <c r="HH17" s="22"/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22"/>
      <c r="HZ17" s="22"/>
      <c r="IA17" s="22"/>
      <c r="IB17" s="22"/>
      <c r="IC17" s="22"/>
      <c r="ID17" s="22"/>
      <c r="IE17" s="22"/>
      <c r="IF17" s="22"/>
      <c r="IG17" s="22"/>
      <c r="IH17" s="22"/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22"/>
      <c r="IZ17" s="22"/>
      <c r="JA17" s="22"/>
      <c r="JB17" s="22"/>
      <c r="JC17" s="22"/>
      <c r="JD17" s="22"/>
      <c r="JE17" s="22"/>
      <c r="JF17" s="22"/>
      <c r="JG17" s="22"/>
      <c r="JH17" s="22"/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22"/>
      <c r="JZ17" s="22"/>
      <c r="KA17" s="22"/>
      <c r="KB17" s="22"/>
      <c r="KC17" s="22"/>
      <c r="KD17" s="22"/>
      <c r="KE17" s="22"/>
      <c r="KF17" s="22"/>
      <c r="KG17" s="22"/>
      <c r="KH17" s="22"/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22"/>
      <c r="KZ17" s="22"/>
      <c r="LA17" s="22"/>
      <c r="LB17" s="22"/>
      <c r="LC17" s="22"/>
      <c r="LD17" s="22"/>
      <c r="LE17" s="22"/>
      <c r="LF17" s="22"/>
      <c r="LG17" s="22"/>
      <c r="LH17" s="22"/>
      <c r="LI17" s="22"/>
      <c r="LJ17" s="22"/>
    </row>
    <row r="18" spans="1:322" x14ac:dyDescent="0.2">
      <c r="A18" s="11"/>
      <c r="B18" s="12"/>
      <c r="C18" s="12"/>
      <c r="D18" s="12"/>
      <c r="E18" s="12"/>
      <c r="F18" s="12"/>
      <c r="G18" s="12"/>
      <c r="H18" s="12"/>
      <c r="I18" s="12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</row>
    <row r="19" spans="1:322" x14ac:dyDescent="0.2">
      <c r="A19" s="11"/>
      <c r="B19" s="144" t="s">
        <v>57</v>
      </c>
      <c r="C19" s="145"/>
      <c r="D19" s="145"/>
      <c r="E19" s="145"/>
      <c r="F19" s="145"/>
      <c r="G19" s="145"/>
      <c r="H19" s="146"/>
      <c r="I19" s="12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</row>
    <row r="20" spans="1:322" x14ac:dyDescent="0.2">
      <c r="A20" s="11"/>
      <c r="B20" s="123" t="s">
        <v>58</v>
      </c>
      <c r="C20" s="124"/>
      <c r="D20" s="124"/>
      <c r="E20" s="124"/>
      <c r="F20" s="124"/>
      <c r="G20" s="124"/>
      <c r="H20" s="125"/>
      <c r="I20" s="12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</row>
    <row r="21" spans="1:322" x14ac:dyDescent="0.2">
      <c r="A21" s="11"/>
      <c r="B21" s="126"/>
      <c r="C21" s="127"/>
      <c r="D21" s="127"/>
      <c r="E21" s="127"/>
      <c r="F21" s="127"/>
      <c r="G21" s="127"/>
      <c r="H21" s="128"/>
      <c r="I21" s="12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</row>
    <row r="22" spans="1:322" x14ac:dyDescent="0.2">
      <c r="A22" s="11"/>
      <c r="B22" s="129"/>
      <c r="C22" s="130"/>
      <c r="D22" s="130"/>
      <c r="E22" s="130"/>
      <c r="F22" s="130"/>
      <c r="G22" s="130"/>
      <c r="H22" s="131"/>
      <c r="I22" s="12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</row>
    <row r="23" spans="1:322" x14ac:dyDescent="0.2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/>
      <c r="LI23" s="11"/>
      <c r="LJ23" s="11"/>
    </row>
    <row r="24" spans="1:322" x14ac:dyDescent="0.2">
      <c r="A24" s="28"/>
      <c r="B24" s="120" t="s">
        <v>365</v>
      </c>
      <c r="C24" s="121"/>
      <c r="D24" s="122"/>
      <c r="E24" s="28"/>
      <c r="F24" s="29">
        <v>1</v>
      </c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</row>
    <row r="25" spans="1:322" x14ac:dyDescent="0.2">
      <c r="A25" s="28"/>
      <c r="B25" s="28"/>
      <c r="C25" s="28"/>
      <c r="D25" s="28"/>
      <c r="E25" s="28"/>
      <c r="F25" s="12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</row>
    <row r="26" spans="1:322" hidden="1" x14ac:dyDescent="0.2"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</row>
    <row r="27" spans="1:322" hidden="1" x14ac:dyDescent="0.2"/>
    <row r="28" spans="1:322" hidden="1" x14ac:dyDescent="0.2">
      <c r="F28" s="7"/>
    </row>
    <row r="29" spans="1:322" hidden="1" x14ac:dyDescent="0.2">
      <c r="F29" s="7"/>
    </row>
    <row r="30" spans="1:322" hidden="1" x14ac:dyDescent="0.2">
      <c r="E30" s="2"/>
    </row>
  </sheetData>
  <mergeCells count="13">
    <mergeCell ref="B24:D24"/>
    <mergeCell ref="B20:H22"/>
    <mergeCell ref="B6:D6"/>
    <mergeCell ref="B7:D7"/>
    <mergeCell ref="B8:D8"/>
    <mergeCell ref="B9:D9"/>
    <mergeCell ref="B10:D10"/>
    <mergeCell ref="B11:D11"/>
    <mergeCell ref="B13:D13"/>
    <mergeCell ref="B15:D15"/>
    <mergeCell ref="B16:D16"/>
    <mergeCell ref="B17:D17"/>
    <mergeCell ref="B19:H1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>
                <anchor moveWithCells="1" sizeWithCells="1">
                  <from>
                    <xdr:col>3</xdr:col>
                    <xdr:colOff>342900</xdr:colOff>
                    <xdr:row>1</xdr:row>
                    <xdr:rowOff>0</xdr:rowOff>
                  </from>
                  <to>
                    <xdr:col>5</xdr:col>
                    <xdr:colOff>533400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alcul_TRA">
                <anchor moveWithCells="1" sizeWithCells="1">
                  <from>
                    <xdr:col>3</xdr:col>
                    <xdr:colOff>342900</xdr:colOff>
                    <xdr:row>1</xdr:row>
                    <xdr:rowOff>0</xdr:rowOff>
                  </from>
                  <to>
                    <xdr:col>5</xdr:col>
                    <xdr:colOff>533400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2:IT24"/>
  <sheetViews>
    <sheetView workbookViewId="0">
      <selection activeCell="H22" sqref="H22"/>
    </sheetView>
  </sheetViews>
  <sheetFormatPr baseColWidth="10" defaultRowHeight="15" x14ac:dyDescent="0.25"/>
  <cols>
    <col min="1" max="1" width="14.85546875" bestFit="1" customWidth="1"/>
    <col min="2" max="2" width="21.28515625" customWidth="1"/>
    <col min="3" max="3" width="18.7109375" customWidth="1"/>
    <col min="4" max="4" width="21.28515625" customWidth="1"/>
    <col min="5" max="5" width="23.7109375" customWidth="1"/>
    <col min="6" max="6" width="17.42578125" customWidth="1"/>
    <col min="7" max="7" width="14.42578125" customWidth="1"/>
    <col min="8" max="8" width="25" customWidth="1"/>
    <col min="9" max="9" width="14.7109375" customWidth="1"/>
  </cols>
  <sheetData>
    <row r="2" spans="1:254" s="66" customFormat="1" x14ac:dyDescent="0.25"/>
    <row r="3" spans="1:254" x14ac:dyDescent="0.25"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>
        <v>5</v>
      </c>
      <c r="AL3" s="45">
        <v>5</v>
      </c>
      <c r="AM3" s="45">
        <v>5</v>
      </c>
      <c r="AN3" s="45">
        <v>5</v>
      </c>
      <c r="AO3" s="45">
        <v>5</v>
      </c>
      <c r="AP3" s="45">
        <v>5</v>
      </c>
      <c r="AQ3" s="45">
        <v>5</v>
      </c>
      <c r="AR3" s="45">
        <v>5</v>
      </c>
      <c r="AS3" s="45">
        <v>5</v>
      </c>
      <c r="AT3" s="45">
        <v>5</v>
      </c>
      <c r="AU3" s="45">
        <v>5</v>
      </c>
      <c r="AV3" s="45">
        <v>5</v>
      </c>
      <c r="AW3" s="45">
        <v>5</v>
      </c>
      <c r="AX3" s="45">
        <v>5</v>
      </c>
      <c r="AY3" s="45">
        <v>5</v>
      </c>
      <c r="AZ3" s="45">
        <v>5</v>
      </c>
      <c r="BA3" s="45">
        <v>5</v>
      </c>
      <c r="BB3" s="45">
        <v>5</v>
      </c>
      <c r="BC3" s="45">
        <v>5</v>
      </c>
      <c r="BD3" s="45">
        <v>5</v>
      </c>
      <c r="BE3" s="45">
        <v>5</v>
      </c>
      <c r="BF3" s="45">
        <v>5</v>
      </c>
      <c r="BG3" s="45">
        <v>5</v>
      </c>
      <c r="BH3" s="45">
        <v>5</v>
      </c>
      <c r="BI3" s="45">
        <v>5</v>
      </c>
      <c r="BJ3" s="45">
        <v>5</v>
      </c>
      <c r="BK3" s="45">
        <v>5</v>
      </c>
      <c r="BL3" s="45">
        <v>5</v>
      </c>
      <c r="BM3" s="45">
        <v>5</v>
      </c>
      <c r="BN3" s="45">
        <v>5</v>
      </c>
      <c r="BO3" s="45">
        <v>5</v>
      </c>
      <c r="BP3" s="45">
        <v>5</v>
      </c>
      <c r="BQ3" s="45">
        <v>5</v>
      </c>
      <c r="BR3" s="45">
        <v>5</v>
      </c>
      <c r="BS3" s="45">
        <v>5</v>
      </c>
      <c r="BT3" s="45">
        <v>5</v>
      </c>
      <c r="BU3" s="45">
        <v>5</v>
      </c>
      <c r="BV3" s="45">
        <v>5</v>
      </c>
      <c r="BW3" s="45">
        <v>5</v>
      </c>
      <c r="BX3" s="45">
        <v>5</v>
      </c>
      <c r="BY3" s="45">
        <v>5</v>
      </c>
      <c r="BZ3" s="45">
        <v>5</v>
      </c>
      <c r="CA3" s="45">
        <v>5</v>
      </c>
      <c r="CB3" s="45">
        <v>5</v>
      </c>
      <c r="CC3" s="45">
        <v>5</v>
      </c>
      <c r="CD3" s="45">
        <v>5</v>
      </c>
      <c r="CE3" s="45">
        <v>5</v>
      </c>
      <c r="CF3" s="45">
        <v>5</v>
      </c>
      <c r="CG3" s="45">
        <v>5</v>
      </c>
      <c r="CH3" s="45">
        <v>5</v>
      </c>
      <c r="CI3" s="45">
        <v>5</v>
      </c>
      <c r="CJ3" s="45">
        <v>5</v>
      </c>
      <c r="CK3" s="45">
        <v>5</v>
      </c>
      <c r="CL3" s="45">
        <v>5</v>
      </c>
      <c r="CM3" s="45">
        <v>5</v>
      </c>
      <c r="CN3" s="45">
        <v>5</v>
      </c>
      <c r="CO3" s="45">
        <v>5</v>
      </c>
      <c r="CP3" s="45">
        <v>5</v>
      </c>
      <c r="CQ3" s="45">
        <v>5</v>
      </c>
      <c r="CR3" s="45">
        <v>5</v>
      </c>
      <c r="CS3" s="45">
        <v>5</v>
      </c>
      <c r="CT3" s="45">
        <v>5</v>
      </c>
      <c r="CU3" s="45">
        <v>5</v>
      </c>
      <c r="CV3" s="45">
        <v>5</v>
      </c>
      <c r="CW3" s="45">
        <v>5</v>
      </c>
      <c r="CX3" s="45">
        <v>5</v>
      </c>
      <c r="CY3" s="45">
        <v>5</v>
      </c>
      <c r="CZ3" s="45">
        <v>5</v>
      </c>
      <c r="DA3" s="45">
        <v>5</v>
      </c>
      <c r="DB3" s="45">
        <v>5</v>
      </c>
      <c r="DC3" s="45">
        <v>5</v>
      </c>
      <c r="DD3" s="45">
        <v>5</v>
      </c>
      <c r="DE3" s="45">
        <v>5</v>
      </c>
      <c r="DF3" s="45">
        <v>5</v>
      </c>
      <c r="DG3" s="45">
        <v>5</v>
      </c>
      <c r="DH3" s="45">
        <v>5</v>
      </c>
      <c r="DI3" s="45">
        <v>5</v>
      </c>
      <c r="DJ3" s="45">
        <v>5</v>
      </c>
      <c r="DK3" s="45">
        <v>5</v>
      </c>
      <c r="DL3" s="45">
        <v>5</v>
      </c>
      <c r="DM3" s="45">
        <v>5</v>
      </c>
      <c r="DN3" s="45">
        <v>5</v>
      </c>
      <c r="DO3" s="45">
        <v>5</v>
      </c>
      <c r="DP3" s="45">
        <v>5</v>
      </c>
      <c r="DQ3" s="45">
        <v>5</v>
      </c>
      <c r="DR3" s="45">
        <v>5</v>
      </c>
      <c r="DS3" s="45">
        <v>5</v>
      </c>
      <c r="DT3" s="45">
        <v>5</v>
      </c>
      <c r="DU3" s="45">
        <v>5</v>
      </c>
      <c r="DV3" s="45">
        <v>5</v>
      </c>
      <c r="DW3" s="45">
        <v>5</v>
      </c>
      <c r="DX3" s="45">
        <v>5</v>
      </c>
      <c r="DY3" s="45">
        <v>5</v>
      </c>
      <c r="DZ3" s="45">
        <v>5</v>
      </c>
      <c r="EA3" s="45">
        <v>5</v>
      </c>
      <c r="EB3" s="45">
        <v>5</v>
      </c>
      <c r="EC3" s="45">
        <v>5</v>
      </c>
      <c r="ED3" s="45">
        <v>5</v>
      </c>
      <c r="EE3" s="45">
        <v>5</v>
      </c>
      <c r="EF3" s="45">
        <v>5</v>
      </c>
      <c r="EG3" s="45">
        <v>5</v>
      </c>
      <c r="EH3" s="45">
        <v>5</v>
      </c>
      <c r="EI3" s="45">
        <v>5</v>
      </c>
      <c r="EJ3" s="45">
        <v>5</v>
      </c>
      <c r="EK3" s="45">
        <v>5</v>
      </c>
      <c r="EL3" s="45">
        <v>5</v>
      </c>
      <c r="EM3" s="45">
        <v>5</v>
      </c>
      <c r="EN3" s="45">
        <v>5</v>
      </c>
      <c r="EO3" s="45">
        <v>5</v>
      </c>
      <c r="EP3" s="45">
        <v>5</v>
      </c>
      <c r="EQ3" s="45">
        <v>5</v>
      </c>
      <c r="ER3" s="45">
        <v>5</v>
      </c>
      <c r="ES3" s="45">
        <v>5</v>
      </c>
      <c r="ET3" s="45">
        <v>5</v>
      </c>
      <c r="EU3" s="45">
        <v>5</v>
      </c>
      <c r="EV3" s="45">
        <v>5</v>
      </c>
      <c r="EW3" s="45">
        <v>5</v>
      </c>
      <c r="EX3" s="45">
        <v>5</v>
      </c>
      <c r="EY3" s="45">
        <v>5</v>
      </c>
      <c r="EZ3" s="45">
        <v>5</v>
      </c>
      <c r="FA3" s="45">
        <v>5</v>
      </c>
      <c r="FB3" s="45">
        <v>5</v>
      </c>
      <c r="FC3" s="45">
        <v>5</v>
      </c>
      <c r="FD3" s="45">
        <v>5</v>
      </c>
      <c r="FE3" s="45">
        <v>5</v>
      </c>
      <c r="FF3" s="45">
        <v>5</v>
      </c>
      <c r="FG3" s="45">
        <v>5</v>
      </c>
      <c r="FH3" s="45">
        <v>5</v>
      </c>
      <c r="FI3" s="45">
        <v>5</v>
      </c>
      <c r="FJ3" s="45">
        <v>5</v>
      </c>
      <c r="FK3" s="45">
        <v>5</v>
      </c>
      <c r="FL3" s="45">
        <v>5</v>
      </c>
      <c r="FM3" s="45">
        <v>5</v>
      </c>
      <c r="FN3" s="45">
        <v>5</v>
      </c>
      <c r="FO3" s="45">
        <v>5</v>
      </c>
      <c r="FP3" s="45">
        <v>5</v>
      </c>
      <c r="FQ3" s="45">
        <v>5</v>
      </c>
      <c r="FR3" s="45">
        <v>5</v>
      </c>
      <c r="FS3" s="45">
        <v>5</v>
      </c>
      <c r="FT3" s="45">
        <v>5</v>
      </c>
      <c r="FU3" s="45">
        <v>5</v>
      </c>
      <c r="FV3" s="45">
        <v>5</v>
      </c>
      <c r="FW3" s="45">
        <v>5</v>
      </c>
      <c r="FX3" s="45">
        <v>5</v>
      </c>
      <c r="FY3" s="45">
        <v>5</v>
      </c>
      <c r="FZ3" s="45">
        <v>5</v>
      </c>
      <c r="GA3" s="45">
        <v>5</v>
      </c>
      <c r="GB3" s="45">
        <v>5</v>
      </c>
      <c r="GC3" s="45">
        <v>5</v>
      </c>
      <c r="GD3" s="45">
        <v>5</v>
      </c>
      <c r="GE3" s="45">
        <v>5</v>
      </c>
      <c r="GF3" s="45">
        <v>5</v>
      </c>
      <c r="GG3" s="45">
        <v>5</v>
      </c>
      <c r="GH3" s="45">
        <v>5</v>
      </c>
      <c r="GI3" s="45">
        <v>5</v>
      </c>
      <c r="GJ3" s="45">
        <v>5</v>
      </c>
      <c r="GK3" s="45">
        <v>5</v>
      </c>
      <c r="GL3" s="45">
        <v>5</v>
      </c>
      <c r="GM3" s="45">
        <v>5</v>
      </c>
      <c r="GN3" s="45">
        <v>5</v>
      </c>
      <c r="GO3" s="45">
        <v>5</v>
      </c>
      <c r="GP3" s="45">
        <v>5</v>
      </c>
      <c r="GQ3" s="45">
        <v>5</v>
      </c>
      <c r="GR3" s="45">
        <v>5</v>
      </c>
      <c r="GS3" s="45">
        <v>5</v>
      </c>
      <c r="GT3" s="45">
        <v>5</v>
      </c>
      <c r="GU3" s="45">
        <v>5</v>
      </c>
      <c r="GV3" s="45">
        <v>5</v>
      </c>
      <c r="GW3" s="45">
        <v>5</v>
      </c>
      <c r="GX3" s="45">
        <v>5</v>
      </c>
      <c r="GY3" s="45">
        <v>5</v>
      </c>
      <c r="GZ3" s="45">
        <v>5</v>
      </c>
      <c r="HA3" s="45">
        <v>5</v>
      </c>
      <c r="HB3" s="45">
        <v>5</v>
      </c>
      <c r="HC3" s="45">
        <v>5</v>
      </c>
      <c r="HD3" s="45">
        <v>5</v>
      </c>
      <c r="HE3" s="45">
        <v>5</v>
      </c>
      <c r="HF3" s="45">
        <v>5</v>
      </c>
      <c r="HG3" s="45">
        <v>5</v>
      </c>
      <c r="HH3" s="45">
        <v>5</v>
      </c>
      <c r="HI3" s="45">
        <v>5</v>
      </c>
      <c r="HJ3" s="45">
        <v>5</v>
      </c>
      <c r="HK3" s="45">
        <v>5</v>
      </c>
      <c r="HL3" s="45">
        <v>5</v>
      </c>
      <c r="HM3" s="45">
        <v>5</v>
      </c>
      <c r="HN3" s="45">
        <v>5</v>
      </c>
      <c r="HO3" s="45">
        <v>5</v>
      </c>
      <c r="HP3" s="45">
        <v>5</v>
      </c>
      <c r="HQ3" s="45">
        <v>5</v>
      </c>
      <c r="HR3" s="45">
        <v>5</v>
      </c>
      <c r="HS3" s="45">
        <v>5</v>
      </c>
      <c r="HT3" s="45">
        <v>5</v>
      </c>
      <c r="HU3" s="45">
        <v>5</v>
      </c>
      <c r="HV3" s="45">
        <v>5</v>
      </c>
      <c r="HW3" s="45">
        <v>5</v>
      </c>
      <c r="HX3" s="45">
        <v>5</v>
      </c>
      <c r="HY3" s="45">
        <v>5</v>
      </c>
      <c r="HZ3" s="45">
        <v>5</v>
      </c>
      <c r="IA3" s="45">
        <v>5</v>
      </c>
      <c r="IB3" s="45">
        <v>5</v>
      </c>
      <c r="IC3" s="45">
        <v>5</v>
      </c>
      <c r="ID3" s="45">
        <v>5</v>
      </c>
      <c r="IE3" s="45">
        <v>5</v>
      </c>
      <c r="IF3" s="45">
        <v>5</v>
      </c>
      <c r="IG3" s="45">
        <v>5</v>
      </c>
      <c r="IH3" s="45">
        <v>5</v>
      </c>
      <c r="II3" s="45">
        <v>5</v>
      </c>
      <c r="IJ3" s="45">
        <v>5</v>
      </c>
      <c r="IK3" s="45">
        <v>5</v>
      </c>
      <c r="IL3" s="45">
        <v>5</v>
      </c>
      <c r="IM3" s="45">
        <v>5</v>
      </c>
      <c r="IN3" s="45">
        <v>5</v>
      </c>
      <c r="IO3" s="45">
        <v>5</v>
      </c>
      <c r="IP3" s="45">
        <v>5</v>
      </c>
      <c r="IQ3" s="45">
        <v>5</v>
      </c>
      <c r="IR3" s="45">
        <v>5</v>
      </c>
      <c r="IS3" s="45">
        <v>5</v>
      </c>
      <c r="IT3" s="45">
        <v>5</v>
      </c>
    </row>
    <row r="4" spans="1:254" s="67" customFormat="1" x14ac:dyDescent="0.25"/>
    <row r="7" spans="1:254" x14ac:dyDescent="0.25">
      <c r="B7" s="147" t="s">
        <v>428</v>
      </c>
      <c r="C7" s="147"/>
      <c r="D7" s="147" t="s">
        <v>429</v>
      </c>
      <c r="E7" s="147"/>
      <c r="F7" s="147" t="s">
        <v>430</v>
      </c>
      <c r="G7" s="147"/>
    </row>
    <row r="8" spans="1:254" x14ac:dyDescent="0.25">
      <c r="B8" s="68" t="s">
        <v>431</v>
      </c>
      <c r="C8" s="68" t="s">
        <v>432</v>
      </c>
      <c r="D8" s="68" t="s">
        <v>431</v>
      </c>
      <c r="E8" s="68" t="s">
        <v>432</v>
      </c>
      <c r="F8" s="68" t="s">
        <v>431</v>
      </c>
      <c r="G8" s="68" t="s">
        <v>432</v>
      </c>
      <c r="H8" s="71" t="s">
        <v>423</v>
      </c>
    </row>
    <row r="9" spans="1:254" x14ac:dyDescent="0.25">
      <c r="A9" s="68" t="s">
        <v>420</v>
      </c>
      <c r="B9" s="75">
        <v>3.9265364408493054E-3</v>
      </c>
      <c r="C9" s="77">
        <v>3.9964833855628976E-2</v>
      </c>
      <c r="D9" s="75">
        <v>-4.975992143154144E-2</v>
      </c>
      <c r="E9" s="75">
        <v>-4.9945384263992317E-3</v>
      </c>
      <c r="F9" s="75">
        <v>2.9802322387695314E-9</v>
      </c>
      <c r="G9" s="75">
        <v>3.6583569645881664E-2</v>
      </c>
      <c r="H9" s="75">
        <v>3.9777734875679024E-2</v>
      </c>
    </row>
    <row r="10" spans="1:254" x14ac:dyDescent="0.25">
      <c r="A10" s="68" t="s">
        <v>421</v>
      </c>
      <c r="B10" s="75">
        <v>-6.1127275228500368E-3</v>
      </c>
      <c r="C10" s="77">
        <v>2.9565188288688659E-2</v>
      </c>
      <c r="D10" s="75">
        <v>-5.9262320399284363E-2</v>
      </c>
      <c r="E10" s="75">
        <v>-1.4944592118263243E-2</v>
      </c>
      <c r="F10" s="75">
        <v>-9.9999994039535606E-3</v>
      </c>
      <c r="G10" s="75">
        <v>2.6217737793922426E-2</v>
      </c>
      <c r="H10" s="75">
        <v>2.9379960894584656E-2</v>
      </c>
    </row>
    <row r="13" spans="1:254" x14ac:dyDescent="0.25">
      <c r="C13" s="72"/>
      <c r="D13" s="72"/>
      <c r="E13" s="72"/>
    </row>
    <row r="14" spans="1:254" hidden="1" x14ac:dyDescent="0.25">
      <c r="C14" s="72"/>
      <c r="D14" s="72"/>
      <c r="E14" s="72"/>
    </row>
    <row r="15" spans="1:254" hidden="1" x14ac:dyDescent="0.25">
      <c r="A15" s="70" t="s">
        <v>417</v>
      </c>
      <c r="B15" s="74">
        <f>Inputs_frais_gestion</f>
        <v>0.01</v>
      </c>
      <c r="C15" s="69"/>
      <c r="D15" s="69"/>
      <c r="E15" s="69"/>
      <c r="F15" s="69"/>
      <c r="G15" s="69"/>
    </row>
    <row r="16" spans="1:254" s="64" customFormat="1" hidden="1" x14ac:dyDescent="0.25">
      <c r="A16" s="95" t="s">
        <v>370</v>
      </c>
      <c r="B16" s="64">
        <v>43448</v>
      </c>
      <c r="C16" s="64">
        <v>43815</v>
      </c>
      <c r="D16" s="64">
        <v>44179</v>
      </c>
      <c r="E16" s="64">
        <v>44544</v>
      </c>
      <c r="F16" s="64">
        <v>44909</v>
      </c>
      <c r="G16" s="64">
        <v>45274</v>
      </c>
      <c r="H16" s="64">
        <v>45642</v>
      </c>
      <c r="I16" s="64">
        <v>46006</v>
      </c>
      <c r="J16" s="64">
        <v>46370</v>
      </c>
      <c r="K16" s="64">
        <v>46735</v>
      </c>
      <c r="L16" s="64">
        <v>47101</v>
      </c>
    </row>
    <row r="17" spans="1:12" s="76" customFormat="1" hidden="1" x14ac:dyDescent="0.25">
      <c r="A17" s="69" t="s">
        <v>418</v>
      </c>
      <c r="B17" s="76">
        <v>-1</v>
      </c>
      <c r="C17" s="76">
        <v>1.04</v>
      </c>
      <c r="D17" s="76">
        <v>0</v>
      </c>
      <c r="E17" s="76">
        <v>0</v>
      </c>
      <c r="F17" s="76">
        <v>0</v>
      </c>
      <c r="G17" s="76">
        <v>0</v>
      </c>
      <c r="H17" s="76">
        <v>0</v>
      </c>
      <c r="I17" s="76">
        <v>0</v>
      </c>
      <c r="J17" s="76">
        <v>0</v>
      </c>
      <c r="K17" s="76">
        <v>0</v>
      </c>
      <c r="L17" s="76">
        <v>1</v>
      </c>
    </row>
    <row r="18" spans="1:12" s="76" customFormat="1" hidden="1" x14ac:dyDescent="0.25">
      <c r="A18" s="70" t="s">
        <v>419</v>
      </c>
      <c r="B18" s="76">
        <v>-1</v>
      </c>
      <c r="C18" s="76">
        <v>1.029543301145913</v>
      </c>
      <c r="D18" s="76">
        <v>0</v>
      </c>
      <c r="E18" s="76">
        <v>0</v>
      </c>
      <c r="F18" s="76">
        <v>0</v>
      </c>
      <c r="G18" s="76">
        <v>0</v>
      </c>
      <c r="H18" s="76">
        <v>0</v>
      </c>
      <c r="I18" s="76">
        <v>0</v>
      </c>
      <c r="J18" s="76">
        <v>0</v>
      </c>
      <c r="K18" s="76">
        <v>0</v>
      </c>
      <c r="L18" s="76">
        <v>0.90430737116067417</v>
      </c>
    </row>
    <row r="19" spans="1:12" hidden="1" x14ac:dyDescent="0.25">
      <c r="A19" s="70" t="s">
        <v>420</v>
      </c>
      <c r="B19" s="72">
        <f>XIRR(B17:S17,B16:S16)</f>
        <v>0.21365758776664734</v>
      </c>
      <c r="C19" s="69"/>
      <c r="D19" s="69"/>
      <c r="E19" s="69"/>
      <c r="F19" s="69"/>
      <c r="G19" s="69"/>
    </row>
    <row r="20" spans="1:12" hidden="1" x14ac:dyDescent="0.25">
      <c r="A20" s="70" t="s">
        <v>421</v>
      </c>
      <c r="B20" s="72">
        <f>XIRR(B18:S18,B16:S16)</f>
        <v>0.20152100920677188</v>
      </c>
      <c r="C20" s="69"/>
      <c r="D20" s="69"/>
      <c r="E20" s="69"/>
      <c r="F20" s="69"/>
      <c r="G20" s="69"/>
    </row>
    <row r="21" spans="1:12" hidden="1" x14ac:dyDescent="0.25">
      <c r="I21" s="73"/>
    </row>
    <row r="22" spans="1:12" x14ac:dyDescent="0.25">
      <c r="I22" s="70"/>
    </row>
    <row r="23" spans="1:12" x14ac:dyDescent="0.25">
      <c r="I23" s="69"/>
    </row>
    <row r="24" spans="1:12" x14ac:dyDescent="0.25">
      <c r="I24" s="69"/>
    </row>
  </sheetData>
  <mergeCells count="3">
    <mergeCell ref="B7:C7"/>
    <mergeCell ref="D7:E7"/>
    <mergeCell ref="F7: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RI">
                <anchor moveWithCells="1" sizeWithCells="1">
                  <from>
                    <xdr:col>7</xdr:col>
                    <xdr:colOff>581025</xdr:colOff>
                    <xdr:row>1</xdr:row>
                    <xdr:rowOff>123825</xdr:rowOff>
                  </from>
                  <to>
                    <xdr:col>8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"/>
  <sheetViews>
    <sheetView tabSelected="1" workbookViewId="0">
      <selection activeCell="B25" sqref="B25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FillForms">
                <anchor moveWithCells="1" sizeWithCells="1">
                  <from>
                    <xdr:col>0</xdr:col>
                    <xdr:colOff>704850</xdr:colOff>
                    <xdr:row>1</xdr:row>
                    <xdr:rowOff>28575</xdr:rowOff>
                  </from>
                  <to>
                    <xdr:col>2</xdr:col>
                    <xdr:colOff>38100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138</vt:i4>
      </vt:variant>
    </vt:vector>
  </HeadingPairs>
  <TitlesOfParts>
    <vt:vector size="148" baseType="lpstr">
      <vt:lpstr>MOS</vt:lpstr>
      <vt:lpstr>Inputs</vt:lpstr>
      <vt:lpstr>Listes</vt:lpstr>
      <vt:lpstr>Dates</vt:lpstr>
      <vt:lpstr>Sous-Jacent</vt:lpstr>
      <vt:lpstr>Graphe</vt:lpstr>
      <vt:lpstr>Perf Historique</vt:lpstr>
      <vt:lpstr>TRA</vt:lpstr>
      <vt:lpstr>TRA Distribuant</vt:lpstr>
      <vt:lpstr>Formes</vt:lpstr>
      <vt:lpstr>Arangeur</vt:lpstr>
      <vt:lpstr>Base1</vt:lpstr>
      <vt:lpstr>Base2</vt:lpstr>
      <vt:lpstr>Base3</vt:lpstr>
      <vt:lpstr>Bounce_effect</vt:lpstr>
      <vt:lpstr>Cas_defavorable</vt:lpstr>
      <vt:lpstr>Cas_favorable</vt:lpstr>
      <vt:lpstr>Cas_intermediaire</vt:lpstr>
      <vt:lpstr>Cloture1</vt:lpstr>
      <vt:lpstr>Cloture2</vt:lpstr>
      <vt:lpstr>Cloture3</vt:lpstr>
      <vt:lpstr>Code_bloomberg</vt:lpstr>
      <vt:lpstr>Commissions_relatives</vt:lpstr>
      <vt:lpstr>Constatation_finale</vt:lpstr>
      <vt:lpstr>Constatation_initiale</vt:lpstr>
      <vt:lpstr>Coupon</vt:lpstr>
      <vt:lpstr>Date_emission</vt:lpstr>
      <vt:lpstr>Date_fin_commercialisation</vt:lpstr>
      <vt:lpstr>Date_prospectus</vt:lpstr>
      <vt:lpstr>Date_strike</vt:lpstr>
      <vt:lpstr>Dated</vt:lpstr>
      <vt:lpstr>Derniere_NDR</vt:lpstr>
      <vt:lpstr>Description</vt:lpstr>
      <vt:lpstr>Devise</vt:lpstr>
      <vt:lpstr>DMax</vt:lpstr>
      <vt:lpstr>Droit_applicable</vt:lpstr>
      <vt:lpstr>Echeance</vt:lpstr>
      <vt:lpstr>Emetteur</vt:lpstr>
      <vt:lpstr>End_date</vt:lpstr>
      <vt:lpstr>Evaluation</vt:lpstr>
      <vt:lpstr>Evaluation_f</vt:lpstr>
      <vt:lpstr>Evaluation_i</vt:lpstr>
      <vt:lpstr>Evaluation1</vt:lpstr>
      <vt:lpstr>Field</vt:lpstr>
      <vt:lpstr>Flux_bruts</vt:lpstr>
      <vt:lpstr>Flux_nets</vt:lpstr>
      <vt:lpstr>FMax</vt:lpstr>
      <vt:lpstr>Forme_juridique</vt:lpstr>
      <vt:lpstr>Garant</vt:lpstr>
      <vt:lpstr>Graphe_dates1</vt:lpstr>
      <vt:lpstr>Graphe_dates2</vt:lpstr>
      <vt:lpstr>Graphe_dates3</vt:lpstr>
      <vt:lpstr>Graphe_dates4</vt:lpstr>
      <vt:lpstr>Graphe_f1</vt:lpstr>
      <vt:lpstr>Graphe_f2</vt:lpstr>
      <vt:lpstr>Graphe_f3</vt:lpstr>
      <vt:lpstr>Graphe_f4</vt:lpstr>
      <vt:lpstr>Graphe_niveau1</vt:lpstr>
      <vt:lpstr>Graphe_niveau2</vt:lpstr>
      <vt:lpstr>Graphe_niveau3</vt:lpstr>
      <vt:lpstr>Graphe_niveau4</vt:lpstr>
      <vt:lpstr>Graphe_seuil_perte</vt:lpstr>
      <vt:lpstr>Graphe_seuil_phoenix1</vt:lpstr>
      <vt:lpstr>Graphe_seuil_phoenix2</vt:lpstr>
      <vt:lpstr>Graphe_seuil_phoenix3</vt:lpstr>
      <vt:lpstr>Graphe_seuil_phoenix4</vt:lpstr>
      <vt:lpstr>Graphe_seuil1</vt:lpstr>
      <vt:lpstr>Graphe_seuil2</vt:lpstr>
      <vt:lpstr>Graphe_seuil3</vt:lpstr>
      <vt:lpstr>Graphe_seuil4</vt:lpstr>
      <vt:lpstr>Horizon</vt:lpstr>
      <vt:lpstr>Hyperlien</vt:lpstr>
      <vt:lpstr>IMax</vt:lpstr>
      <vt:lpstr>Indice</vt:lpstr>
      <vt:lpstr>Indice_base</vt:lpstr>
      <vt:lpstr>Inputs_frais_gestion</vt:lpstr>
      <vt:lpstr>Inputs_prix_emission</vt:lpstr>
      <vt:lpstr>Isin</vt:lpstr>
      <vt:lpstr>Lieu_cotation</vt:lpstr>
      <vt:lpstr>Marqueur1</vt:lpstr>
      <vt:lpstr>Marqueur2</vt:lpstr>
      <vt:lpstr>Marqueur3</vt:lpstr>
      <vt:lpstr>Marqueur4</vt:lpstr>
      <vt:lpstr>Max_defavorable</vt:lpstr>
      <vt:lpstr>Max_favorable</vt:lpstr>
      <vt:lpstr>Max_intermédiaire</vt:lpstr>
      <vt:lpstr>Min_defavorable</vt:lpstr>
      <vt:lpstr>Min_favorable</vt:lpstr>
      <vt:lpstr>Min_intermedaire</vt:lpstr>
      <vt:lpstr>Min_intermédiaire</vt:lpstr>
      <vt:lpstr>Minimum</vt:lpstr>
      <vt:lpstr>Montant_minimum</vt:lpstr>
      <vt:lpstr>Nbre_periode_écoulée</vt:lpstr>
      <vt:lpstr>Nbre_ss_jacent</vt:lpstr>
      <vt:lpstr>Niveau_seuil</vt:lpstr>
      <vt:lpstr>Niveau_seuil_phoenix</vt:lpstr>
      <vt:lpstr>Nominal</vt:lpstr>
      <vt:lpstr>Num_prospectus</vt:lpstr>
      <vt:lpstr>Observation</vt:lpstr>
      <vt:lpstr>OBSERVATIONS</vt:lpstr>
      <vt:lpstr>Perf_dates1</vt:lpstr>
      <vt:lpstr>Perf_dates2</vt:lpstr>
      <vt:lpstr>Perf_dates3</vt:lpstr>
      <vt:lpstr>Periode</vt:lpstr>
      <vt:lpstr>Periode_exacte</vt:lpstr>
      <vt:lpstr>PERIODICITE</vt:lpstr>
      <vt:lpstr>Plafonnement</vt:lpstr>
      <vt:lpstr>PMax</vt:lpstr>
      <vt:lpstr>Premiere_NDR</vt:lpstr>
      <vt:lpstr>Produit</vt:lpstr>
      <vt:lpstr>Rating_DBRS</vt:lpstr>
      <vt:lpstr>Rating_fitch</vt:lpstr>
      <vt:lpstr>Rating_moodys</vt:lpstr>
      <vt:lpstr>Rating_sp</vt:lpstr>
      <vt:lpstr>Remboursement</vt:lpstr>
      <vt:lpstr>Remboursement1</vt:lpstr>
      <vt:lpstr>Scenario_maturite</vt:lpstr>
      <vt:lpstr>Seuil_perte</vt:lpstr>
      <vt:lpstr>Sous_jacent</vt:lpstr>
      <vt:lpstr>Sous_Jacent_1</vt:lpstr>
      <vt:lpstr>Souscripteur_juridique</vt:lpstr>
      <vt:lpstr>Start_date</vt:lpstr>
      <vt:lpstr>TauxRA1</vt:lpstr>
      <vt:lpstr>TauxRA2</vt:lpstr>
      <vt:lpstr>TauxRA3</vt:lpstr>
      <vt:lpstr>TauxRA4</vt:lpstr>
      <vt:lpstr>TauxRA5</vt:lpstr>
      <vt:lpstr>TauxRA6</vt:lpstr>
      <vt:lpstr>TauxRA7</vt:lpstr>
      <vt:lpstr>Tickers1</vt:lpstr>
      <vt:lpstr>Tickers2</vt:lpstr>
      <vt:lpstr>Tickers3</vt:lpstr>
      <vt:lpstr>TRA_brut</vt:lpstr>
      <vt:lpstr>TRA_date_remboursement</vt:lpstr>
      <vt:lpstr>TRA_dis_dates</vt:lpstr>
      <vt:lpstr>TRA_frais_gestion</vt:lpstr>
      <vt:lpstr>TRA_net</vt:lpstr>
      <vt:lpstr>TRA_prix_emission</vt:lpstr>
      <vt:lpstr>TRA_valeur_remboursement</vt:lpstr>
      <vt:lpstr>TRI_brut</vt:lpstr>
      <vt:lpstr>TRI_net</vt:lpstr>
      <vt:lpstr>TYPE</vt:lpstr>
      <vt:lpstr>Type_produit</vt:lpstr>
      <vt:lpstr>Type_sous_jacent</vt:lpstr>
      <vt:lpstr>TYPE_SS_JACENT</vt:lpstr>
      <vt:lpstr>Valeur_nominale</vt:lpstr>
      <vt:lpstr>Visa_approuve</vt:lpstr>
      <vt:lpstr>Zone_marche</vt:lpstr>
    </vt:vector>
  </TitlesOfParts>
  <Company>BNP Paribas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Jacques Olivier PONGO EKOUM</dc:creator>
  <cp:keywords>Classification=Select Classification Level, Classification=Internal</cp:keywords>
  <cp:lastModifiedBy>Jacques Olivier PONGO EKOUM</cp:lastModifiedBy>
  <cp:lastPrinted>2019-07-19T14:42:40Z</cp:lastPrinted>
  <dcterms:created xsi:type="dcterms:W3CDTF">2019-04-05T14:28:03Z</dcterms:created>
  <dcterms:modified xsi:type="dcterms:W3CDTF">2019-08-22T15:48:57Z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c1af53f5-79df-4b59-842e-dcbdf1e98f9c</vt:lpwstr>
  </property>
  <property fmtid="{D5CDD505-2E9C-101B-9397-08002B2CF9AE}" pid="3" name="Classification">
    <vt:lpwstr>Internal</vt:lpwstr>
  </property>
</Properties>
</file>